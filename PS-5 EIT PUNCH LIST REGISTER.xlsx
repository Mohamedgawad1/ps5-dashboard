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A4AB7D60_7356_4872_AF7D_0566D0D88F83_.wvu.FilterData">'MP Register'!$E$1:$E$5200</definedName>
    <definedName hidden="1" localSheetId="0" name="Z_44A248BA_3710_4F62_BDA3_4C94DAD224EB_.wvu.FilterData">'MP Register'!$A$1:$AE$5049</definedName>
  </definedNames>
  <calcPr/>
  <customWorkbookViews>
    <customWorkbookView activeSheetId="0" maximized="1" windowHeight="0" windowWidth="0" guid="{A4AB7D60-7356-4872-AF7D-0566D0D88F83}" name="Ellie"/>
    <customWorkbookView activeSheetId="0" maximized="1" windowHeight="0" windowWidth="0" guid="{44A248BA-3710-4F62-BDA3-4C94DAD224EB}" name="QC-01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<sst xmlns="http://schemas.openxmlformats.org/spreadsheetml/2006/main" count="82681" uniqueCount="9693">
  <si>
    <t xml:space="preserve">CORE </t>
  </si>
  <si>
    <t>EACOP PIPELINE PROJECT</t>
  </si>
  <si>
    <t>EIT MASTER PUNCHLIST ITEM REGISTER - PS5</t>
  </si>
  <si>
    <t>Date:</t>
  </si>
  <si>
    <t>Report Date: 10-07-2026</t>
  </si>
  <si>
    <t>CLOSE</t>
  </si>
  <si>
    <t>MPL No.</t>
  </si>
  <si>
    <t>PL ID</t>
  </si>
  <si>
    <t>CHECK_VLOOKUP</t>
  </si>
  <si>
    <t>RFI Number</t>
  </si>
  <si>
    <t>CPP SCOPE</t>
  </si>
  <si>
    <t>Subsystem No/Description</t>
  </si>
  <si>
    <t>Area</t>
  </si>
  <si>
    <t>TAG No.</t>
  </si>
  <si>
    <t>Punch Description</t>
  </si>
  <si>
    <t>Cat.</t>
  </si>
  <si>
    <t>Discipline
Code</t>
  </si>
  <si>
    <t>Raised By</t>
  </si>
  <si>
    <t>Action By</t>
  </si>
  <si>
    <t>Cleared and Signed Off by</t>
  </si>
  <si>
    <t>Remarks</t>
  </si>
  <si>
    <t>Status</t>
  </si>
  <si>
    <t>OVERALL PUNCHLIST STATUS</t>
  </si>
  <si>
    <t>[Test Pack]</t>
  </si>
  <si>
    <t>TOTAL PL</t>
  </si>
  <si>
    <t>[A/B/C/0]</t>
  </si>
  <si>
    <t>Contractor 
/Company</t>
  </si>
  <si>
    <t>Name</t>
  </si>
  <si>
    <t>OPEN</t>
  </si>
  <si>
    <t>Date</t>
  </si>
  <si>
    <t>Contractor</t>
  </si>
  <si>
    <t>CLOSED</t>
  </si>
  <si>
    <t>Company</t>
  </si>
  <si>
    <t>Paste PL No. Here To Check In MP Register</t>
  </si>
  <si>
    <t>PL-PS5-03673</t>
  </si>
  <si>
    <t>PL-PS5-03674</t>
  </si>
  <si>
    <t>PL-PS5-03675</t>
  </si>
  <si>
    <t>PL-PS5-03676</t>
  </si>
  <si>
    <t>PL-PS5-03677</t>
  </si>
  <si>
    <t>PL-PS5-03678</t>
  </si>
  <si>
    <t>PL-PS5-03679</t>
  </si>
  <si>
    <t>PL-PS5-03680</t>
  </si>
  <si>
    <t>PL-PS5-03681</t>
  </si>
  <si>
    <t>PL-PS5-03682</t>
  </si>
  <si>
    <t>PL-PS5-03683</t>
  </si>
  <si>
    <t>PL-PS5-03684</t>
  </si>
  <si>
    <t>PL-PS5-03685</t>
  </si>
  <si>
    <t>[A ~ Z]</t>
  </si>
  <si>
    <t>PL-PS5-03686</t>
  </si>
  <si>
    <t>PL-PS5-03687</t>
  </si>
  <si>
    <t>PL-PS5-03688</t>
  </si>
  <si>
    <t>PL-PS5-03689</t>
  </si>
  <si>
    <t>PL-PS5-03690</t>
  </si>
  <si>
    <t>PL-PS5-03691</t>
  </si>
  <si>
    <t>PL-PS5-03692</t>
  </si>
  <si>
    <t>PL-PS5-03693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</si>
  <si>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</si>
  <si>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</si>
  <si>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</si>
  <si>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</si>
  <si>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</si>
  <si>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</si>
  <si>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</si>
  <si>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</si>
  <si>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</si>
  <si>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</si>
  <si>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</si>
  <si>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</si>
  <si>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</si>
  <si>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</si>
  <si>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</si>
  <si>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</si>
  <si>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</si>
  <si>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</si>
  <si>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</si>
  <si>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</si>
  <si>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</si>
  <si>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</si>
  <si>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</si>
  <si>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</si>
  <si>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</si>
  <si>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</si>
  <si>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</si>
  <si>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</si>
  <si>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</si>
  <si>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</si>
  <si>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</si>
  <si>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</si>
  <si>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</si>
  <si>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</si>
  <si>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</si>
  <si>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</si>
  <si>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</si>
  <si>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</si>
  <si>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</si>
  <si>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</si>
  <si>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</si>
  <si>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</si>
  <si>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</si>
  <si>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</si>
  <si>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</si>
  <si>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</si>
  <si>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</si>
  <si>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</si>
  <si>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</si>
  <si>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</si>
  <si>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</si>
  <si>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</si>
  <si>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</si>
  <si>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</si>
  <si>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</si>
  <si>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</si>
  <si>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</si>
  <si>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</si>
  <si>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</si>
  <si>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</si>
  <si>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</si>
  <si>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</si>
  <si>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</si>
  <si>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</si>
  <si>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</si>
  <si>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</si>
  <si>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</si>
  <si>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</si>
  <si>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</si>
  <si>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</si>
  <si>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</si>
  <si>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</si>
  <si>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</si>
  <si>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</si>
  <si>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</si>
  <si>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</si>
  <si>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</si>
  <si>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</si>
  <si>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</si>
  <si>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</si>
  <si>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</si>
  <si>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</si>
  <si>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</si>
  <si>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</si>
  <si>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</si>
  <si>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</si>
  <si>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</si>
  <si>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</si>
  <si>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</si>
  <si>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</si>
  <si>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</si>
  <si>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</si>
  <si>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</si>
  <si>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</si>
  <si>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</si>
  <si>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</si>
  <si>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</si>
  <si>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</si>
  <si>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</si>
  <si>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</si>
  <si>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</si>
  <si>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</si>
  <si>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</si>
  <si>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</si>
  <si>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</si>
  <si>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</si>
  <si>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</si>
  <si>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</si>
  <si>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</si>
  <si>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</si>
  <si>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</si>
  <si>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</si>
  <si>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</si>
  <si>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</si>
  <si>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</si>
  <si>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</si>
  <si>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</si>
  <si>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</si>
  <si>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</si>
  <si>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</si>
  <si>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</si>
  <si>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</si>
  <si>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</si>
  <si>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</si>
  <si>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</si>
  <si>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</si>
  <si>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</si>
  <si>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</si>
  <si>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</si>
  <si>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</si>
  <si>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</si>
  <si>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</si>
  <si>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</si>
  <si>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</si>
  <si>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</si>
  <si>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</si>
  <si>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</si>
  <si>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</si>
  <si>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</si>
  <si>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</si>
  <si>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</si>
  <si>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</si>
  <si>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</si>
  <si>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</si>
  <si>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</si>
  <si>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</si>
  <si>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</si>
  <si>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</si>
  <si>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</si>
  <si>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</si>
  <si>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</si>
  <si>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</si>
  <si>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</si>
  <si>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</si>
  <si>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</si>
  <si>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</si>
  <si>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</si>
  <si>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</si>
  <si>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</si>
  <si>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</si>
  <si>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</si>
  <si>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</si>
  <si>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</si>
  <si>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</si>
  <si>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</si>
  <si>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</si>
  <si>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</si>
  <si>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</si>
  <si>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</si>
  <si>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</si>
  <si>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</si>
  <si>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</si>
  <si>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</si>
  <si>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</si>
  <si>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</si>
  <si>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</si>
  <si>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</si>
  <si>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</si>
  <si>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</si>
  <si>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</si>
  <si>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</si>
  <si>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</si>
  <si>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</si>
  <si>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</si>
  <si>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</si>
  <si>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</si>
  <si>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</si>
  <si>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</si>
  <si>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</si>
  <si>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</si>
  <si>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</si>
  <si>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</si>
  <si>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</si>
  <si>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</si>
  <si>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</si>
  <si>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</si>
  <si>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</si>
  <si>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</si>
  <si>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</si>
  <si>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</si>
  <si>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</si>
  <si>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</si>
  <si>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</si>
  <si>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</si>
  <si>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</si>
  <si>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</si>
  <si>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</si>
  <si>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</si>
  <si>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</si>
  <si>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</si>
  <si>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</si>
  <si>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</si>
  <si>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</si>
  <si>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</si>
  <si>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</si>
  <si>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</si>
  <si>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</si>
  <si>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</si>
  <si>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</si>
  <si>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</si>
  <si>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</si>
  <si>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</si>
  <si>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</si>
  <si>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</si>
  <si>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</si>
  <si>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</si>
  <si>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</si>
  <si>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</si>
  <si>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</si>
  <si>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</si>
  <si>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</si>
  <si>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</si>
  <si>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</si>
  <si>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</si>
  <si>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</si>
  <si>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</si>
  <si>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</si>
  <si>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</si>
  <si>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</si>
  <si>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</si>
  <si>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</si>
  <si>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</si>
  <si>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</si>
  <si>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</si>
  <si>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</si>
  <si>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</si>
  <si>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</si>
  <si>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</si>
  <si>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</si>
  <si>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</si>
  <si>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</si>
  <si>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</si>
  <si>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</si>
  <si>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</si>
  <si>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</si>
  <si>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</si>
  <si>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</si>
  <si>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</si>
  <si>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</si>
  <si>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</si>
  <si>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</si>
  <si>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</si>
  <si>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</si>
  <si>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</si>
  <si>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</si>
  <si>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</si>
  <si>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</si>
  <si>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</si>
  <si>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</si>
  <si>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</si>
  <si>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</si>
  <si>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</si>
  <si>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</si>
  <si>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</si>
  <si>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</si>
  <si>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</si>
  <si>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</si>
  <si>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</si>
  <si>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</si>
  <si>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</si>
  <si>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</si>
  <si>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</si>
  <si>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</si>
  <si>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</si>
  <si>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</si>
  <si>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</si>
  <si>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</si>
  <si>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</si>
  <si>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</si>
  <si>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</si>
  <si>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</si>
  <si>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</si>
  <si>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</si>
  <si>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</si>
  <si>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</si>
  <si>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</si>
  <si>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</si>
  <si>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</si>
  <si>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</si>
  <si>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</si>
  <si>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</si>
  <si>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</si>
  <si>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</si>
  <si>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</si>
  <si>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</si>
  <si>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</si>
  <si>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</si>
  <si>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</si>
  <si>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</si>
  <si>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</si>
  <si>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</si>
  <si>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</si>
  <si>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</si>
  <si>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</si>
  <si>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</si>
  <si>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</si>
  <si>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</si>
  <si>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</si>
  <si>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</si>
  <si>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</si>
  <si>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</si>
  <si>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</si>
  <si>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</si>
  <si>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</si>
  <si>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</si>
  <si>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</si>
  <si>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</si>
  <si>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</si>
  <si>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</si>
  <si>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</si>
  <si>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</si>
  <si>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</si>
  <si>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</si>
  <si>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</si>
  <si>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</si>
  <si>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</si>
  <si>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</si>
  <si>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</si>
  <si>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</si>
  <si>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</si>
  <si>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</si>
  <si>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</si>
  <si>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</si>
  <si>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</si>
  <si>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</si>
  <si>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</si>
  <si>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</si>
  <si>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</si>
  <si>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</si>
  <si>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</si>
  <si>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</si>
  <si>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</si>
  <si>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</si>
  <si>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</si>
  <si>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</si>
  <si>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</si>
  <si>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</si>
  <si>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</si>
  <si>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</si>
  <si>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</si>
  <si>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</si>
  <si>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</si>
  <si>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</si>
  <si>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</si>
  <si>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</si>
  <si>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</si>
  <si>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</si>
  <si>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</si>
  <si>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</si>
  <si>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</si>
  <si>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</si>
  <si>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</si>
  <si>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</si>
  <si>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</si>
  <si>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</si>
  <si>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</si>
  <si>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</si>
  <si>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</si>
  <si>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</si>
  <si>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</si>
  <si>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</si>
  <si>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</si>
  <si>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</si>
  <si>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</si>
  <si>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</si>
  <si>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</si>
  <si>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</si>
  <si>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</si>
  <si>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</si>
  <si>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</si>
  <si>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</si>
  <si>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</si>
  <si>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</si>
  <si>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</si>
  <si>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</si>
  <si>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</si>
  <si>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</si>
  <si>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</si>
  <si>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</si>
  <si>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</si>
  <si>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</si>
  <si>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</si>
  <si>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</si>
  <si>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</si>
  <si>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</si>
  <si>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</si>
  <si>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</si>
  <si>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</si>
  <si>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</si>
  <si>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</si>
  <si>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</si>
  <si>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</si>
  <si>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</si>
  <si>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</si>
  <si>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</si>
  <si>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</si>
  <si>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</si>
  <si>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</si>
  <si>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</si>
  <si>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</si>
  <si>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</si>
  <si>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</si>
  <si>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</si>
  <si>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</si>
  <si>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</si>
  <si>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</si>
  <si>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</si>
  <si>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</si>
  <si>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</si>
  <si>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</si>
  <si>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</si>
  <si>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</si>
  <si>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</si>
  <si>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</si>
  <si>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</si>
  <si>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</si>
  <si>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</si>
  <si>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</si>
  <si>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</si>
  <si>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</si>
  <si>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</si>
  <si>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</si>
  <si>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</si>
  <si>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</si>
  <si>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</si>
  <si>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</si>
  <si>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</si>
  <si>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</si>
  <si>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</si>
  <si>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</si>
  <si>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</si>
  <si>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</si>
  <si>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</si>
  <si>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</si>
  <si>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</si>
  <si>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</si>
  <si>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</si>
  <si>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</si>
  <si>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</si>
  <si>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</si>
  <si>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</si>
  <si>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</si>
  <si>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</si>
  <si>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</si>
  <si>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</si>
  <si>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</si>
  <si>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</si>
  <si>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</si>
  <si>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</si>
  <si>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</si>
  <si>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</si>
  <si>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</si>
  <si>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</si>
  <si>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</si>
  <si>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</si>
  <si>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</si>
  <si>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</si>
  <si>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</si>
  <si>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</si>
  <si>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</si>
  <si>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</si>
  <si>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</si>
  <si>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</si>
  <si>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</si>
  <si>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</si>
  <si>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</si>
  <si>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</si>
  <si>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</si>
  <si>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</si>
  <si>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</si>
  <si>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</si>
  <si>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</si>
  <si>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</si>
  <si>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</si>
  <si>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</si>
  <si>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</si>
  <si>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</si>
  <si>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</si>
  <si>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</si>
  <si>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</si>
  <si>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</si>
  <si>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</si>
  <si>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</si>
  <si>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</si>
  <si>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</si>
  <si>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</si>
  <si>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</si>
  <si>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</si>
  <si>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</si>
  <si>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</si>
  <si>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</si>
  <si>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</si>
  <si>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</si>
  <si>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</si>
  <si>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</si>
  <si>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</si>
  <si>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</si>
  <si>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</si>
  <si>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</si>
  <si>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</si>
  <si>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</si>
  <si>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</si>
  <si>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</si>
  <si>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</si>
  <si>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</si>
  <si>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</si>
  <si>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</si>
  <si>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</si>
  <si>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</si>
  <si>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</si>
  <si>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</si>
  <si>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</si>
  <si>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</si>
  <si>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</si>
  <si>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</si>
  <si>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</si>
  <si>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</si>
  <si>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</si>
  <si>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</si>
  <si>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</si>
  <si>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</si>
  <si>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</si>
  <si>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</si>
  <si>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</si>
  <si>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</si>
  <si>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</si>
  <si>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</si>
  <si>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</si>
  <si>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</si>
  <si>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</si>
  <si>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</si>
  <si>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</si>
  <si>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</si>
  <si>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</si>
  <si>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</si>
  <si>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</si>
  <si>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</si>
  <si>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</si>
  <si>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</si>
  <si>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</si>
  <si>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</si>
  <si>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</si>
  <si>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</si>
  <si>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</si>
  <si>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</si>
  <si>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</si>
  <si>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</si>
  <si>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</si>
  <si>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</si>
  <si>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</si>
  <si>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</si>
  <si>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</si>
  <si>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</si>
  <si>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</si>
  <si>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</si>
  <si>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</si>
  <si>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</si>
  <si>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</si>
  <si>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</si>
  <si>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</si>
  <si>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</si>
  <si>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</si>
  <si>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</si>
  <si>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</si>
  <si>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</si>
  <si>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</si>
  <si>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</si>
  <si>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</si>
  <si>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</si>
  <si>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</si>
  <si>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</si>
  <si>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</si>
  <si>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</si>
  <si>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</si>
  <si>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</si>
  <si>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</si>
  <si>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</si>
  <si>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</si>
  <si>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</si>
  <si>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</si>
  <si>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</si>
  <si>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</si>
  <si>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</si>
  <si>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</si>
  <si>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</si>
  <si>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</si>
  <si>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</si>
  <si>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</si>
  <si>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</si>
  <si>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</si>
  <si>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</si>
  <si>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</si>
  <si>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</si>
  <si>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</si>
  <si>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</si>
  <si>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</si>
  <si>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</si>
  <si>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</si>
  <si>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</si>
  <si>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</si>
  <si>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</si>
  <si>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</si>
  <si>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</si>
  <si>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</si>
  <si>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</si>
  <si>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</si>
  <si>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</si>
  <si>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</si>
  <si>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</si>
  <si>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</si>
  <si>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</si>
  <si>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</si>
  <si>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</si>
  <si>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</si>
  <si>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</si>
  <si>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</si>
  <si>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</si>
  <si>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</si>
  <si>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</si>
  <si>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</si>
  <si>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</si>
  <si>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</si>
  <si>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</si>
  <si>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</si>
  <si>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</si>
  <si>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</si>
  <si>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</si>
  <si>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</si>
  <si>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</si>
  <si>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</si>
  <si>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</si>
  <si>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</si>
  <si>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</si>
  <si>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</si>
  <si>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</si>
  <si>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</si>
  <si>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</si>
  <si>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</si>
  <si>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</si>
  <si>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</si>
  <si>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</si>
  <si>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</si>
  <si>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</si>
  <si>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</si>
  <si>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</si>
  <si>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</si>
  <si>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</si>
  <si>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</si>
  <si>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</si>
  <si>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</si>
  <si>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</si>
  <si>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</si>
  <si>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</si>
  <si>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</si>
  <si>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</si>
  <si>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</si>
  <si>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</si>
  <si>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</si>
  <si>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</si>
  <si>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</si>
  <si>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</si>
  <si>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</si>
  <si>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</si>
  <si>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</si>
  <si>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</si>
  <si>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</si>
  <si>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</si>
  <si>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</si>
  <si>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</si>
  <si>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</si>
  <si>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</si>
  <si>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</si>
  <si>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</si>
  <si>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</si>
  <si>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</si>
  <si>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</si>
  <si>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</si>
  <si>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</si>
  <si>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</si>
  <si>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</si>
  <si>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</si>
  <si>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</si>
  <si>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</si>
  <si>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</si>
  <si>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</si>
  <si>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</si>
  <si>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</si>
  <si>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</si>
  <si>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</si>
  <si>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</si>
  <si>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</si>
  <si>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</si>
  <si>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</si>
  <si>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</si>
  <si>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</si>
  <si>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</si>
  <si>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</si>
  <si>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</si>
  <si>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</si>
  <si>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</si>
  <si>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</si>
  <si>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</si>
  <si>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</si>
  <si>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</si>
  <si>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</si>
  <si>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</si>
  <si>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</si>
  <si>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</si>
  <si>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</si>
  <si>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</si>
  <si>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</si>
  <si>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</si>
  <si>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</si>
  <si>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</si>
  <si>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</si>
  <si>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</si>
  <si>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</si>
  <si>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</si>
  <si>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</si>
  <si>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</si>
  <si>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</si>
  <si>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</si>
  <si>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</si>
  <si>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</si>
  <si>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</si>
  <si>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</si>
  <si>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</si>
  <si>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</si>
  <si>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</si>
  <si>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</si>
  <si>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</si>
  <si>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</si>
  <si>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</si>
  <si>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</si>
  <si>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</si>
  <si>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</si>
  <si>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</si>
  <si>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</si>
  <si>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</si>
  <si>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</si>
  <si>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</si>
  <si>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</si>
  <si>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</si>
  <si>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</si>
  <si>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</si>
  <si>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</si>
  <si>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</si>
  <si>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</si>
  <si>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</si>
  <si>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</si>
  <si>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</si>
  <si>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</si>
  <si>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</si>
  <si>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</si>
  <si>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</si>
  <si>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</si>
  <si>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</si>
  <si>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</si>
  <si>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</si>
  <si>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</si>
  <si>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</si>
  <si>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</si>
  <si>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</si>
  <si>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</si>
  <si>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</si>
  <si>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</si>
  <si>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</si>
  <si>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</si>
  <si>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</si>
  <si>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</si>
  <si>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</si>
  <si>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</si>
  <si>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</si>
  <si>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</si>
  <si>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</si>
  <si>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</si>
  <si>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</si>
  <si>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</si>
  <si>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</si>
  <si>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</si>
  <si>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</si>
  <si>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</si>
  <si>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</si>
  <si>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</si>
  <si>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</si>
  <si>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</si>
  <si>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</si>
  <si>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</si>
  <si>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</si>
  <si>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</si>
  <si>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</si>
  <si>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</si>
  <si>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</si>
  <si>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</si>
  <si>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</si>
  <si>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</si>
  <si>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</si>
  <si>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</si>
  <si>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</si>
  <si>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</si>
  <si>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</si>
  <si>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</si>
  <si>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</si>
  <si>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</si>
  <si>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</si>
  <si>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</si>
  <si>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</si>
  <si>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</si>
  <si>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</si>
  <si>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</si>
  <si>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</si>
  <si>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</si>
  <si>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</si>
  <si>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</si>
  <si>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</si>
  <si>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</si>
  <si>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</si>
  <si>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</si>
  <si>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</si>
  <si>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</si>
  <si>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</si>
  <si>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</si>
  <si>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</si>
  <si>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</si>
  <si>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</si>
  <si>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</si>
  <si>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</si>
  <si>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</si>
  <si>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</si>
  <si>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</si>
  <si>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</si>
  <si>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</si>
  <si>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</si>
  <si>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</si>
  <si>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</si>
  <si>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</si>
  <si>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</si>
  <si>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</si>
  <si>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</si>
  <si>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</si>
  <si>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</si>
  <si>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</si>
  <si>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</si>
  <si>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</si>
  <si>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</si>
  <si>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</si>
  <si>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</si>
  <si>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</si>
  <si>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</si>
  <si>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</si>
  <si>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</si>
  <si>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</si>
  <si>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</si>
  <si>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</si>
  <si>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</si>
  <si>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</si>
  <si>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</si>
  <si>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</si>
  <si>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</si>
  <si>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</si>
  <si>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</si>
  <si>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</si>
  <si>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</si>
  <si>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</si>
  <si>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</si>
  <si>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</si>
  <si>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</si>
  <si>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</si>
  <si>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</si>
  <si>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</si>
  <si>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</si>
  <si>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</si>
  <si>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</si>
  <si>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</si>
  <si>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</si>
  <si>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</si>
  <si>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</si>
  <si>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</si>
  <si>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</si>
  <si>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</si>
  <si>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</si>
  <si>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</si>
  <si>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</si>
  <si>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</si>
  <si>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</si>
  <si>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</si>
  <si>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</si>
  <si>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</si>
  <si>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</si>
  <si>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</si>
  <si>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</si>
  <si>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</si>
  <si>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</si>
  <si>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</si>
  <si>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</si>
  <si>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</si>
  <si>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</si>
  <si>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</si>
  <si>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</si>
  <si>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</si>
  <si>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</si>
  <si>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</si>
  <si>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</si>
  <si>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</si>
  <si>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</si>
  <si>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</si>
  <si>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</si>
  <si>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</si>
  <si>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</si>
  <si>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</si>
  <si>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</si>
  <si>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</si>
  <si>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</si>
  <si>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</si>
  <si>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</si>
  <si>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</si>
  <si>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</si>
  <si>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</si>
  <si>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</si>
  <si>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</si>
  <si>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</si>
  <si>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</si>
  <si>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</si>
  <si>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</si>
  <si>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</si>
  <si>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</si>
  <si>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</si>
  <si>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</si>
  <si>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</si>
  <si>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</si>
  <si>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</si>
  <si>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</si>
  <si>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</si>
  <si>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</si>
  <si>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</si>
  <si>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</si>
  <si>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</si>
  <si>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</si>
  <si>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</si>
  <si>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</si>
  <si>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</si>
  <si>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</si>
  <si>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</si>
  <si>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</si>
  <si>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</si>
  <si>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</si>
  <si>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</si>
  <si>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</si>
  <si>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</si>
  <si>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</si>
  <si>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</si>
  <si>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</si>
  <si>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</si>
  <si>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</si>
  <si>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</si>
  <si>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</si>
  <si>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</si>
  <si>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</si>
  <si>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</si>
  <si>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</si>
  <si>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</si>
  <si>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</si>
  <si>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</si>
  <si>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</si>
  <si>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</si>
  <si>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</si>
  <si>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</si>
  <si>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</si>
  <si>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</si>
  <si>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</si>
  <si>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</si>
  <si>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</si>
  <si>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</si>
  <si>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</si>
  <si>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</si>
  <si>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</si>
  <si>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</si>
  <si>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</si>
  <si>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</si>
  <si>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</si>
  <si>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</si>
  <si>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</si>
  <si>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</si>
  <si>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</si>
  <si>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</si>
  <si>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</si>
  <si>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</si>
  <si>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</si>
  <si>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</si>
  <si>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</si>
  <si>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</si>
  <si>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</si>
  <si>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</si>
  <si>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</si>
  <si>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</si>
  <si>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</si>
  <si>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</si>
  <si>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</si>
  <si>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</si>
  <si>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</si>
  <si>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</si>
  <si>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</si>
  <si>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</si>
  <si>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</si>
  <si>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</si>
  <si>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</si>
  <si>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</si>
  <si>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</si>
  <si>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</si>
  <si>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</si>
  <si>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</si>
  <si>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</si>
  <si>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</si>
  <si>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</si>
  <si>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</si>
  <si>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</si>
  <si>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</si>
  <si>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</si>
  <si>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</si>
  <si>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</si>
  <si>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</si>
  <si>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</si>
  <si>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</si>
  <si>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</si>
  <si>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</si>
  <si>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</si>
  <si>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</si>
  <si>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</si>
  <si>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</si>
  <si>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</si>
  <si>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</si>
  <si>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</si>
  <si>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</si>
  <si>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</si>
  <si>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</si>
  <si>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</si>
  <si>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</si>
  <si>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</si>
  <si>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</si>
  <si>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</si>
  <si>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</si>
  <si>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</si>
  <si>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</si>
  <si>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</si>
  <si>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</si>
  <si>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</si>
  <si>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</si>
  <si>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</si>
  <si>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</si>
  <si>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</si>
  <si>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</si>
  <si>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</si>
  <si>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</si>
  <si>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</si>
  <si>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</si>
  <si>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</si>
  <si>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</si>
  <si>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</si>
  <si>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</si>
  <si>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</si>
  <si>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</si>
  <si>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</si>
  <si>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</si>
  <si>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</si>
  <si>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</si>
  <si>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</si>
  <si>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</si>
  <si>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</si>
  <si>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</si>
  <si>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</si>
  <si>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</si>
  <si>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</si>
  <si>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</si>
  <si>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</si>
  <si>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</si>
  <si>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</si>
  <si>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</si>
  <si>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</si>
  <si>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</si>
  <si>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</si>
  <si>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</si>
  <si>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</si>
  <si>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</si>
  <si>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</si>
  <si>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</si>
  <si>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</si>
  <si>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</si>
  <si>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</si>
  <si>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</si>
  <si>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</si>
  <si>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</si>
  <si>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</si>
  <si>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</si>
  <si>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</si>
  <si>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</si>
  <si>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</si>
  <si>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</si>
  <si>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</si>
  <si>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</si>
  <si>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</si>
  <si>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</si>
  <si>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</si>
  <si>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</si>
  <si>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</si>
  <si>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</si>
  <si>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</si>
  <si>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</si>
  <si>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</si>
  <si>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</si>
  <si>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</si>
  <si>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</si>
  <si>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</si>
  <si>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</si>
  <si>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</si>
  <si>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</si>
  <si>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</si>
  <si>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</si>
  <si>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</si>
  <si>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</si>
  <si>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</si>
  <si>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</si>
  <si>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</si>
  <si>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</si>
  <si>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</si>
  <si>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</si>
  <si>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</si>
  <si>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</si>
  <si>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</si>
  <si>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</si>
  <si>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</si>
  <si>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</si>
  <si>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</si>
  <si>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</si>
  <si>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</si>
  <si>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</si>
  <si>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</si>
  <si>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</si>
  <si>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</si>
  <si>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</si>
  <si>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</si>
  <si>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</si>
  <si>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</si>
  <si>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</si>
  <si>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</si>
  <si>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</si>
  <si>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</si>
  <si>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</si>
  <si>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</si>
  <si>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</si>
  <si>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</si>
  <si>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</si>
  <si>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</si>
  <si>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</si>
  <si>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</si>
  <si>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</si>
  <si>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</si>
  <si>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</si>
  <si>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</si>
  <si>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</si>
  <si>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</si>
  <si>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</si>
  <si>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</si>
  <si>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</si>
  <si>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</si>
  <si>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</si>
  <si>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</si>
  <si>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</si>
  <si>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</si>
  <si>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</si>
  <si>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</si>
  <si>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</si>
  <si>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</si>
  <si>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</si>
  <si>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</si>
  <si>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</si>
  <si>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</si>
  <si>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</si>
  <si>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</si>
  <si>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</si>
  <si>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</si>
  <si>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</si>
  <si>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</si>
  <si>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</si>
  <si>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</si>
  <si>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</si>
  <si>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</si>
  <si>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</si>
  <si>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</si>
  <si>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</si>
  <si>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</si>
  <si>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</si>
  <si>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</si>
  <si>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</si>
  <si>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</si>
  <si>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</si>
  <si>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</si>
  <si>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</si>
  <si>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</si>
  <si>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</si>
  <si>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</si>
  <si>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</si>
  <si>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</si>
  <si>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</si>
  <si>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</si>
  <si>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</si>
  <si>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</si>
  <si>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</si>
  <si>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</si>
  <si>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</si>
  <si>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</si>
  <si>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</si>
  <si>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</si>
  <si>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</si>
  <si>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</si>
  <si>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</si>
  <si>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</si>
  <si>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</si>
  <si>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</si>
  <si>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</si>
  <si>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</si>
  <si>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</si>
  <si>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</si>
  <si>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</si>
  <si>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</si>
  <si>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</si>
  <si>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</si>
  <si>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</si>
  <si>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</si>
  <si>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</si>
  <si>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</si>
  <si>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</si>
  <si>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</si>
  <si>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</si>
  <si>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</si>
  <si>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</si>
  <si>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</si>
  <si>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</si>
  <si>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</si>
  <si>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</si>
  <si>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</si>
  <si>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</si>
  <si>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</si>
  <si>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</si>
  <si>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</si>
  <si>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</si>
  <si>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</si>
  <si>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</si>
  <si>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</si>
  <si>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</si>
  <si>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</si>
  <si>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</si>
  <si>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</si>
  <si>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</si>
  <si>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</si>
  <si>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</si>
  <si>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</si>
  <si>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</si>
  <si>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</si>
  <si>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</si>
  <si>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</si>
  <si>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</si>
  <si>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</si>
  <si>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</si>
  <si>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</si>
  <si>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</si>
  <si>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</si>
  <si>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</si>
  <si>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</si>
  <si>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</si>
  <si>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</si>
  <si>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</si>
  <si>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</si>
  <si>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</si>
  <si>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</si>
  <si>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</si>
  <si>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</si>
  <si>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</si>
  <si>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</si>
  <si>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</si>
  <si>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</si>
  <si>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</si>
  <si>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</si>
  <si>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</si>
  <si>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</si>
  <si>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</si>
  <si>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</si>
  <si>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</si>
  <si>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</si>
  <si>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</si>
  <si>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</si>
  <si>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</si>
  <si>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</si>
  <si>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</si>
  <si>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</si>
  <si>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</si>
  <si>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</si>
  <si>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</si>
  <si>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</si>
  <si>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</si>
  <si>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</si>
  <si>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</si>
  <si>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</si>
  <si>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</si>
  <si>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</si>
  <si>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</si>
  <si>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</si>
  <si>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</si>
  <si>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</si>
  <si>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</si>
  <si>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</si>
  <si>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</si>
  <si>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</si>
  <si>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</si>
  <si>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</si>
  <si>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</si>
  <si>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</si>
  <si>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</si>
  <si>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</si>
  <si>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</si>
  <si>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</si>
  <si>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</si>
  <si>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</si>
  <si>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</si>
  <si>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</si>
  <si>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</si>
  <si>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</si>
  <si>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</si>
  <si>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</si>
  <si>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</si>
  <si>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</si>
  <si>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</si>
  <si>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</si>
  <si>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</si>
  <si>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</si>
  <si>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</si>
  <si>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</si>
  <si>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</si>
  <si>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</si>
  <si>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</si>
  <si>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</si>
  <si>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</si>
  <si>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</si>
  <si>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</si>
  <si>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</si>
  <si>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</si>
  <si>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</si>
  <si>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</si>
  <si>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</si>
  <si>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</si>
  <si>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</si>
  <si>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</si>
  <si>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</si>
  <si>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</si>
  <si>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</si>
  <si>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</si>
  <si>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</si>
  <si>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</si>
  <si>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</si>
  <si>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</si>
  <si>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</si>
  <si>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</si>
  <si>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</si>
  <si>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</si>
  <si>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</si>
  <si>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</si>
  <si>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</si>
  <si>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</si>
  <si>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</si>
  <si>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</si>
  <si>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</si>
  <si>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</si>
  <si>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</si>
  <si>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</si>
  <si>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</si>
  <si>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</si>
  <si>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</si>
  <si>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</si>
  <si>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</si>
  <si>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</si>
  <si>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</si>
  <si>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</si>
  <si>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</si>
  <si>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</si>
  <si>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</si>
  <si>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</si>
  <si>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</si>
  <si>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</si>
  <si>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</si>
  <si>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</si>
  <si>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</si>
  <si>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</si>
  <si>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</si>
  <si>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</si>
  <si>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</si>
  <si>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</si>
  <si>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</si>
  <si>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</si>
  <si>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</si>
  <si>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</si>
  <si>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</si>
  <si>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</si>
  <si>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</si>
  <si>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</si>
  <si>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</si>
  <si>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</si>
  <si>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</si>
  <si>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</si>
  <si>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</si>
  <si>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</si>
  <si>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</si>
  <si>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</si>
  <si>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</si>
  <si>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</si>
  <si>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</si>
  <si>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</si>
  <si>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</si>
  <si>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</si>
  <si>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</si>
  <si>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</si>
  <si>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</si>
  <si>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</si>
  <si>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</si>
  <si>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</si>
  <si>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</si>
  <si>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</si>
  <si>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</si>
  <si>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</si>
  <si>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</si>
  <si>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</si>
  <si>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</si>
  <si>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</si>
  <si>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</si>
  <si>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</si>
  <si>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</si>
  <si>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</si>
  <si>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</si>
  <si>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</si>
  <si>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</si>
  <si>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</si>
  <si>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</si>
  <si>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</si>
  <si>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</si>
  <si>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</si>
  <si>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</si>
  <si>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</si>
  <si>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</si>
  <si>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</si>
  <si>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</si>
  <si>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</si>
  <si>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</si>
  <si>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</si>
  <si>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</si>
  <si>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</si>
  <si>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</si>
  <si>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</si>
  <si>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</si>
  <si>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</si>
  <si>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</si>
  <si>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</si>
  <si>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</si>
  <si>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</si>
  <si>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</si>
  <si>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</si>
  <si>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</si>
  <si>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</si>
  <si>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</si>
  <si>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</si>
  <si>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</si>
  <si>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</si>
  <si>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</si>
  <si>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</si>
  <si>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</si>
  <si>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</si>
  <si>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</si>
  <si>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</si>
  <si>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</si>
  <si>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</si>
  <si>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</si>
  <si>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</si>
  <si>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</si>
  <si>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</si>
  <si>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</si>
  <si>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</si>
  <si>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</si>
  <si>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</si>
  <si>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</si>
  <si>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</si>
  <si>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</si>
  <si>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</si>
  <si>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</si>
  <si>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</si>
  <si>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</si>
  <si>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</si>
  <si>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</si>
  <si>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</si>
  <si>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</si>
  <si>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</si>
  <si>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</si>
  <si>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</si>
  <si>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</si>
  <si>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</si>
  <si>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</si>
  <si>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</si>
  <si>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</si>
  <si>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</si>
  <si>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</si>
  <si>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</si>
  <si>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</si>
  <si>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</si>
  <si>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</si>
  <si>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</si>
  <si>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</si>
  <si>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</si>
  <si>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</si>
  <si>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</si>
  <si>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</si>
  <si>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</si>
  <si>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</si>
  <si>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</si>
  <si>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</si>
  <si>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</si>
  <si>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</si>
  <si>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</si>
  <si>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</si>
  <si>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</si>
  <si>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</si>
  <si>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</si>
  <si>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</si>
  <si>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</si>
  <si>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</si>
  <si>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</si>
  <si>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</si>
  <si>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</si>
  <si>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</si>
  <si>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</si>
  <si>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</si>
  <si>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</si>
  <si>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</si>
  <si>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</si>
  <si>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</si>
  <si>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</si>
  <si>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</si>
  <si>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</si>
  <si>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</si>
  <si>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</si>
  <si>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</si>
  <si>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</si>
  <si>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</si>
  <si>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</si>
  <si>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</si>
  <si>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</si>
  <si>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</si>
  <si>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</si>
  <si>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</si>
  <si>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</si>
  <si>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</si>
  <si>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</si>
  <si>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</si>
  <si>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</si>
  <si>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</si>
  <si>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</si>
  <si>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</si>
  <si>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</si>
  <si>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</si>
  <si>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</si>
  <si>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</si>
  <si>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</si>
  <si>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</si>
  <si>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</si>
  <si>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</si>
  <si>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</si>
  <si>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</si>
  <si>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</si>
  <si>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</si>
  <si>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</si>
  <si>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</si>
  <si>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</si>
  <si>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</si>
  <si>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</si>
  <si>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</si>
  <si>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</si>
  <si>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</si>
  <si>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</si>
  <si>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</si>
  <si>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</si>
  <si>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</si>
  <si>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</si>
  <si>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</si>
  <si>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</si>
  <si>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</si>
  <si>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</si>
  <si>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</si>
  <si>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</si>
  <si>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</si>
  <si>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</si>
  <si>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</si>
  <si>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</si>
  <si>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</si>
  <si>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</si>
  <si>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</si>
  <si>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</si>
  <si>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</si>
  <si>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</si>
  <si>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</si>
  <si>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</si>
  <si>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</si>
  <si>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</si>
  <si>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</si>
  <si>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</si>
  <si>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</si>
  <si>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</si>
  <si>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</si>
  <si>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</si>
  <si>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</si>
  <si>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</si>
  <si>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</si>
  <si>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</si>
  <si>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</si>
  <si>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</si>
  <si>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</si>
  <si>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</si>
  <si>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</si>
  <si>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</si>
  <si>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</si>
  <si>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</si>
  <si>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</si>
  <si>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</si>
  <si>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</si>
  <si>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</si>
  <si>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</si>
  <si>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</si>
  <si>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</si>
  <si>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</si>
  <si>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</si>
  <si>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</si>
  <si>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</si>
  <si>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</si>
  <si>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</si>
  <si>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</si>
  <si>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</si>
  <si>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</si>
  <si>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</si>
  <si>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</si>
  <si>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</si>
  <si>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</si>
  <si>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</si>
  <si>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</si>
  <si>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</si>
  <si>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</si>
  <si>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</si>
  <si>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</si>
  <si>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</si>
  <si>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</si>
  <si>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</si>
  <si>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</si>
  <si>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</si>
  <si>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</si>
  <si>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</si>
  <si>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</si>
  <si>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</si>
  <si>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</si>
  <si>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</si>
  <si>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</si>
  <si>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</si>
  <si>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</si>
  <si>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</si>
  <si>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</si>
  <si>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</si>
  <si>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</si>
  <si>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</si>
  <si>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</si>
  <si>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</si>
  <si>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</si>
  <si>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</si>
  <si>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</si>
  <si>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</si>
  <si>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</si>
  <si>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</si>
  <si>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</si>
  <si>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</si>
  <si>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</si>
  <si>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</si>
  <si>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</si>
  <si>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</si>
  <si>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</si>
  <si>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</si>
  <si>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</si>
  <si>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</si>
  <si>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</si>
  <si>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</si>
  <si>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</si>
  <si>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</si>
  <si>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</si>
  <si>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</si>
  <si>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</si>
  <si>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</si>
  <si>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</si>
  <si>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</si>
  <si>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</si>
  <si>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</si>
  <si>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</si>
  <si>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</si>
  <si>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</si>
  <si>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</si>
  <si>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</si>
  <si>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</si>
  <si>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</si>
  <si>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</si>
  <si>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</si>
  <si>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</si>
  <si>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</si>
  <si>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</si>
  <si>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</si>
  <si>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</si>
  <si>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</si>
  <si>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</si>
  <si>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</si>
  <si>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</si>
  <si>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</si>
  <si>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</si>
  <si>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</si>
  <si>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</si>
  <si>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</si>
  <si>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</si>
  <si>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</si>
  <si>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</si>
  <si>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</si>
  <si>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</si>
  <si>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</si>
  <si>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</si>
  <si>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</si>
  <si>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</si>
  <si>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</si>
  <si>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</si>
  <si>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</si>
  <si>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</si>
  <si>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</si>
  <si>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</si>
  <si>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</si>
  <si>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</si>
  <si>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</si>
  <si>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</si>
  <si>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</si>
  <si>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</si>
  <si>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</si>
  <si>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</si>
  <si>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</si>
  <si>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</si>
  <si>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</si>
  <si>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</si>
  <si>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</si>
  <si>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</si>
  <si>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</si>
  <si>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</si>
  <si>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</si>
  <si>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</si>
  <si>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</si>
  <si>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</si>
  <si>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</si>
  <si>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</si>
  <si>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</si>
  <si>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</si>
  <si>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</si>
  <si>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</si>
  <si>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</si>
  <si>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</si>
  <si>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</si>
  <si>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</si>
  <si>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</si>
  <si>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</si>
  <si>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</si>
  <si>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</si>
  <si>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</si>
  <si>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</si>
  <si>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</si>
  <si>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</si>
  <si>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</si>
  <si>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</si>
  <si>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</si>
  <si>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</si>
  <si>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</si>
  <si>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</si>
  <si>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</si>
  <si>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</si>
  <si>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</si>
  <si>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</si>
  <si>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</si>
  <si>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</si>
  <si>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</si>
  <si>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</si>
  <si>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</si>
  <si>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</si>
  <si>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</si>
  <si>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</si>
  <si>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</si>
  <si>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</si>
  <si>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</si>
  <si>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</si>
  <si>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</si>
  <si>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</si>
  <si>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</si>
  <si>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</si>
  <si>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</si>
  <si>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</si>
  <si>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</si>
  <si>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</si>
  <si>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</si>
  <si>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</si>
  <si>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</si>
  <si>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</si>
  <si>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</si>
  <si>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</si>
  <si>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</si>
  <si>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</si>
  <si>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</si>
  <si>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</si>
  <si>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</si>
  <si>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</si>
  <si>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</si>
  <si>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</si>
  <si>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</si>
  <si>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</si>
  <si>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</si>
  <si>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</si>
  <si>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</si>
  <si>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</si>
  <si>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</si>
  <si>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</si>
  <si>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</si>
  <si>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</si>
  <si>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</si>
  <si>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</si>
  <si>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</si>
  <si>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</si>
  <si>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</si>
  <si>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</si>
  <si>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</si>
  <si>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</si>
  <si>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</si>
  <si>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</si>
  <si>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</si>
  <si>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</si>
  <si>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</si>
  <si>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</si>
  <si>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</si>
  <si>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</si>
  <si>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</si>
  <si>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</si>
  <si>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</si>
  <si>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</si>
  <si>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</si>
  <si>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</si>
  <si>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</si>
  <si>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</si>
  <si>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</si>
  <si>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</si>
  <si>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</si>
  <si>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</si>
  <si>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</si>
  <si>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</si>
  <si>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</si>
  <si>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</si>
  <si>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</si>
  <si>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</si>
  <si>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</si>
  <si>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</si>
  <si>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</si>
  <si>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</si>
  <si>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</si>
  <si>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</si>
  <si>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</si>
  <si>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</si>
  <si>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</si>
  <si>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</si>
  <si>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</si>
  <si>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</si>
  <si>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</si>
  <si>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</si>
  <si>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</si>
  <si>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</si>
  <si>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</si>
  <si>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</si>
  <si>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</si>
  <si>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</si>
  <si>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</si>
  <si>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</si>
  <si>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</si>
  <si>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</si>
  <si>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</si>
  <si>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</si>
  <si>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</si>
  <si>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</si>
  <si>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</si>
  <si>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</si>
  <si>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</si>
  <si>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</si>
  <si>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</si>
  <si>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</si>
  <si>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</si>
  <si>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</si>
  <si>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</si>
  <si>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</si>
  <si>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</si>
  <si>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</si>
  <si>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</si>
  <si>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</si>
  <si>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</si>
  <si>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</si>
  <si>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</si>
  <si>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</si>
  <si>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</si>
  <si>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</si>
  <si>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</si>
  <si>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</si>
  <si>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</si>
  <si>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</si>
  <si>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</si>
  <si>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</si>
  <si>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</si>
  <si>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</si>
  <si>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</si>
  <si>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</si>
  <si>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</si>
  <si>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</si>
  <si>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</si>
  <si>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</si>
  <si>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</si>
  <si>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</si>
  <si>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</si>
  <si>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</si>
  <si>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</si>
  <si>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</si>
  <si>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</si>
  <si>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</si>
  <si>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</si>
  <si>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</si>
  <si>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</si>
  <si>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</si>
  <si>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</si>
  <si>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</si>
  <si>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</si>
  <si>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</si>
  <si>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</si>
  <si>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</si>
  <si>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</si>
  <si>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</si>
  <si>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</si>
  <si>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</si>
  <si>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</si>
  <si>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</si>
  <si>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</si>
  <si>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</si>
  <si>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</si>
  <si>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</si>
  <si>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</si>
  <si>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</si>
  <si>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</si>
  <si>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</si>
  <si>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</si>
  <si>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</si>
  <si>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</si>
  <si>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</si>
  <si>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</si>
  <si>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</si>
  <si>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</si>
  <si>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</si>
  <si>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</si>
  <si>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</si>
  <si>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</si>
  <si>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</si>
  <si>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</si>
  <si>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</si>
  <si>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</si>
  <si>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</si>
  <si>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</si>
  <si>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</si>
  <si>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</si>
  <si>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</si>
  <si>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</si>
  <si>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</si>
  <si>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</si>
  <si>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</si>
  <si>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</si>
  <si>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</si>
  <si>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</si>
  <si>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</si>
  <si>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</si>
  <si>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</si>
  <si>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</si>
  <si>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</si>
  <si>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</si>
  <si>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</si>
  <si>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</si>
  <si>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</si>
  <si>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</si>
  <si>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</si>
  <si>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</si>
  <si>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</si>
  <si>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</si>
  <si>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</si>
  <si>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</si>
  <si>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</si>
  <si>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</si>
  <si>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</si>
  <si>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</si>
  <si>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</si>
  <si>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</si>
  <si>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</si>
  <si>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</si>
  <si>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</si>
  <si>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</si>
  <si>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</si>
  <si>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</si>
  <si>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</si>
  <si>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</si>
  <si>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</si>
  <si>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</si>
  <si>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</si>
  <si>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</si>
  <si>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</si>
  <si>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</si>
  <si>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</si>
  <si>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</si>
  <si>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</si>
  <si>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</si>
  <si>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</si>
  <si>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</si>
  <si>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</si>
  <si>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</si>
  <si>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</si>
  <si>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</si>
  <si>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</si>
  <si>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</si>
  <si>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</si>
  <si>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</si>
  <si>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</si>
  <si>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</si>
  <si>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</si>
  <si>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</si>
  <si>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</si>
  <si>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</si>
  <si>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</si>
  <si>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</si>
  <si>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</si>
  <si>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</si>
  <si>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</si>
  <si>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</si>
  <si>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</si>
  <si>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</si>
  <si>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</si>
  <si>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</si>
  <si>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</si>
  <si>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</si>
  <si>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</si>
  <si>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</si>
  <si>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</si>
  <si>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</si>
  <si>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</si>
  <si>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</si>
  <si>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</si>
  <si>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</si>
  <si>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</si>
  <si>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</si>
  <si>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</si>
  <si>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</si>
  <si>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</si>
  <si>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</si>
  <si>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</si>
  <si>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</si>
  <si>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</si>
  <si>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</si>
  <si>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</si>
  <si>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</si>
  <si>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</si>
  <si>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</si>
  <si>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</si>
  <si>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</si>
  <si>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</si>
  <si>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</si>
  <si>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</si>
  <si>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</si>
  <si>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</si>
  <si>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</si>
  <si>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</si>
  <si>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</si>
  <si>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</si>
  <si>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</si>
  <si>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</si>
  <si>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</si>
  <si>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</si>
  <si>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</si>
  <si>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</si>
  <si>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</si>
  <si>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</si>
  <si>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</si>
  <si>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</si>
  <si>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</si>
  <si>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</si>
  <si>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</si>
  <si>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</si>
  <si>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</si>
  <si>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</si>
  <si>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</si>
  <si>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</si>
  <si>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</si>
  <si>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</si>
  <si>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</si>
  <si>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</si>
  <si>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</si>
  <si>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</si>
  <si>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</si>
  <si>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</si>
  <si>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</si>
  <si>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</si>
  <si>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</si>
  <si>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</si>
  <si>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</si>
  <si>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</si>
  <si>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</si>
  <si>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</si>
  <si>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</si>
  <si>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</si>
  <si>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</si>
  <si>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</si>
  <si>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</si>
  <si>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</si>
  <si>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</si>
  <si>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</si>
  <si>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</si>
  <si>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</si>
  <si>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</si>
  <si>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</si>
  <si>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</si>
  <si>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</si>
  <si>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</si>
  <si>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</si>
  <si>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</si>
  <si>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</si>
  <si>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</si>
  <si>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</si>
  <si>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</si>
  <si>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</si>
  <si>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</si>
  <si>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</si>
  <si>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</si>
  <si>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</si>
  <si>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</si>
  <si>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</si>
  <si>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</si>
  <si>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</si>
  <si>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</si>
  <si>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</si>
  <si>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</si>
  <si>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</si>
  <si>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</si>
  <si>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</si>
  <si>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</si>
  <si>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</si>
  <si>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</si>
  <si>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</si>
  <si>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</si>
  <si>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</si>
  <si>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</si>
  <si>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</si>
  <si>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</si>
  <si>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</si>
  <si>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</si>
  <si>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</si>
  <si>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</si>
  <si>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</si>
  <si>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</si>
  <si>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</si>
  <si>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</si>
  <si>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</si>
  <si>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</si>
  <si>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</si>
  <si>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</si>
  <si>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</si>
  <si>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</si>
  <si>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</si>
  <si>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</si>
  <si>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</si>
  <si>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</si>
  <si>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</si>
  <si>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</si>
  <si>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</si>
  <si>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</si>
  <si>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</si>
  <si>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</si>
  <si>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</si>
  <si>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</si>
  <si>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</si>
  <si>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</si>
  <si>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</si>
  <si>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</si>
  <si>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</si>
  <si>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</si>
  <si>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</si>
  <si>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</si>
  <si>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</si>
  <si>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</si>
  <si>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</si>
  <si>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</si>
  <si>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</si>
  <si>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</si>
  <si>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</si>
  <si>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</si>
  <si>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</si>
  <si>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</si>
  <si>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</si>
  <si>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</si>
  <si>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</si>
  <si>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</si>
  <si>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</si>
  <si>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</si>
  <si>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</si>
  <si>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</si>
  <si>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</si>
  <si>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</si>
  <si>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</si>
  <si>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</si>
  <si>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</si>
  <si>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</si>
  <si>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</si>
  <si>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</si>
  <si>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</si>
  <si>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</si>
  <si>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</si>
  <si>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</si>
  <si>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</si>
  <si>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</si>
  <si>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</si>
  <si>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</si>
  <si>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</si>
  <si>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</si>
  <si>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</si>
  <si>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</si>
  <si>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</si>
  <si>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</si>
  <si>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</si>
  <si>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</si>
  <si>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</si>
  <si>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</si>
  <si>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</si>
  <si>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</si>
  <si>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</si>
  <si>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</si>
  <si>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</si>
  <si>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</si>
  <si>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</si>
  <si>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</si>
  <si>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</si>
  <si>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</si>
  <si>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</si>
  <si>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</si>
  <si>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</si>
  <si>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</si>
  <si>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</si>
  <si>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</si>
  <si>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</si>
  <si>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</si>
  <si>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</si>
  <si>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</si>
  <si>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</si>
  <si>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</si>
  <si>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</si>
  <si>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</si>
  <si>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</si>
  <si>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</si>
  <si>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</si>
  <si>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</si>
  <si>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</si>
  <si>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</si>
  <si>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</si>
  <si>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</si>
  <si>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</si>
  <si>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</si>
  <si>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</si>
  <si>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</si>
  <si>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</si>
  <si>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</si>
  <si>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</si>
  <si>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</si>
  <si>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</si>
  <si>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</si>
  <si>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</si>
  <si>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</si>
  <si>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</si>
  <si>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</si>
  <si>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</si>
  <si>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</si>
  <si>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</si>
  <si>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</si>
  <si>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</si>
  <si>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</si>
  <si>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</si>
  <si>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</si>
  <si>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</si>
  <si>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</si>
  <si>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</si>
  <si>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</si>
  <si>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</si>
  <si>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</si>
  <si>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</si>
  <si>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</si>
  <si>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</si>
  <si>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</si>
  <si>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</si>
  <si>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</si>
  <si>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</si>
  <si>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</si>
  <si>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</si>
  <si>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</si>
  <si>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</si>
  <si>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</si>
  <si>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</si>
  <si>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</si>
  <si>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</si>
  <si>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</si>
  <si>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</si>
  <si>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</si>
  <si>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</si>
  <si>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</si>
  <si>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</si>
  <si>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</si>
  <si>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</si>
  <si>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</si>
  <si>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</si>
  <si>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</si>
  <si>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</si>
  <si>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</si>
  <si>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</si>
  <si>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</si>
  <si>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</si>
  <si>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</si>
  <si>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</si>
  <si>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</si>
  <si>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</si>
  <si>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</si>
  <si>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</si>
  <si>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</si>
  <si>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</si>
  <si>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</si>
  <si>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</si>
  <si>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</si>
  <si>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</si>
  <si>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</si>
  <si>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</si>
  <si>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</si>
  <si>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</si>
  <si>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</si>
  <si>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</si>
  <si>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</si>
  <si>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</si>
  <si>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</si>
  <si>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</si>
  <si>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</si>
  <si>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</si>
  <si>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</si>
  <si>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</si>
  <si>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</si>
  <si>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</si>
  <si>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</si>
  <si>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</si>
  <si>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</si>
  <si>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</si>
  <si>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</si>
  <si>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</si>
  <si>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</si>
  <si>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</si>
  <si>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</si>
  <si>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</si>
  <si>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</si>
  <si>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</si>
  <si>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</si>
  <si>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</si>
  <si>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</si>
  <si>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</si>
  <si>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</si>
  <si>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</si>
  <si>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</si>
  <si>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</si>
  <si>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</si>
  <si>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</si>
  <si>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</si>
  <si>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</si>
  <si>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</si>
  <si>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</si>
  <si>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</si>
  <si>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</si>
  <si>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</si>
  <si>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</si>
  <si>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</si>
  <si>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</si>
  <si>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</si>
  <si>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</si>
  <si>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</si>
  <si>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</si>
  <si>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</si>
  <si>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</si>
  <si>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</si>
  <si>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</si>
  <si>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</si>
  <si>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</si>
  <si>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</si>
  <si>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</si>
  <si>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</si>
  <si>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</si>
  <si>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</si>
  <si>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</si>
  <si>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</si>
  <si>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</si>
  <si>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</si>
  <si>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</si>
  <si>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</si>
  <si>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</si>
  <si>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</si>
  <si>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</si>
  <si>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</si>
  <si>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</si>
  <si>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</si>
  <si>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</si>
  <si>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</si>
  <si>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</si>
  <si>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</si>
  <si>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</si>
  <si>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</si>
  <si>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</si>
  <si>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</si>
  <si>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</si>
  <si>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</si>
  <si>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</si>
  <si>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</si>
  <si>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</si>
  <si>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</si>
  <si>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</si>
  <si>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</si>
  <si>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</si>
  <si>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</si>
  <si>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</si>
  <si>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</si>
  <si>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</si>
  <si>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</si>
  <si>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</si>
  <si>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</si>
  <si>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</si>
  <si>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</si>
  <si>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</si>
  <si>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</si>
  <si>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</si>
  <si>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</si>
  <si>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</si>
  <si>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</si>
  <si>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</si>
  <si>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</si>
  <si>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</si>
  <si>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</si>
  <si>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</si>
  <si>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</si>
  <si>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</si>
  <si>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</si>
  <si>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</si>
  <si>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</si>
  <si>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</si>
  <si>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</si>
  <si>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</si>
  <si>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</si>
  <si>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</si>
  <si>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</si>
  <si>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</si>
  <si>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</si>
  <si>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</si>
  <si>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</si>
  <si>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</si>
  <si>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</si>
  <si>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</si>
  <si>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</si>
  <si>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</si>
  <si>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</si>
  <si>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</si>
  <si>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</si>
  <si>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</si>
  <si>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</si>
  <si>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</si>
  <si>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</si>
  <si>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</si>
  <si>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</si>
  <si>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</si>
  <si>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</si>
  <si>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</si>
  <si>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</si>
  <si>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</si>
  <si>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</si>
  <si>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</si>
  <si>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</si>
  <si>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</si>
  <si>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</si>
  <si>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</si>
  <si>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</si>
  <si>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</si>
  <si>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</si>
  <si>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</si>
  <si>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</si>
  <si>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</si>
  <si>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</si>
  <si>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</si>
  <si>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</si>
  <si>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</si>
  <si>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</si>
  <si>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</si>
  <si>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</si>
  <si>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</si>
  <si>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</si>
  <si>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</si>
  <si>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</si>
  <si>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</si>
  <si>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</si>
  <si>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</si>
  <si>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</si>
  <si>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</si>
  <si>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</si>
  <si>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</si>
  <si>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</si>
  <si>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</si>
  <si>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</si>
  <si>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</si>
  <si>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</si>
  <si>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</si>
  <si>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</si>
  <si>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</si>
  <si>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</si>
  <si>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</si>
  <si>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</si>
  <si>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</si>
  <si>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</si>
  <si>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</si>
  <si>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</si>
  <si>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</si>
  <si>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</si>
  <si>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</si>
  <si>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</si>
  <si>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</si>
  <si>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</si>
  <si>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</si>
  <si>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</si>
  <si>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</si>
  <si>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</si>
  <si>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</si>
  <si>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</si>
  <si>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</si>
  <si>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</si>
  <si>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</si>
  <si>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</si>
  <si>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</si>
  <si>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</si>
  <si>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</si>
  <si>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</si>
  <si>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</si>
  <si>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</si>
  <si>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</si>
  <si>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</si>
  <si>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</si>
  <si>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</si>
  <si>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</si>
  <si>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</si>
  <si>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</si>
  <si>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</si>
  <si>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</si>
  <si>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</si>
  <si>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</si>
  <si>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</si>
  <si>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</si>
  <si>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</si>
  <si>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</si>
  <si>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</si>
  <si>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</si>
  <si>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</si>
  <si>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</si>
  <si>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</si>
  <si>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</si>
  <si>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</si>
  <si>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</si>
  <si>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</si>
  <si>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</si>
  <si>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</si>
  <si>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</si>
  <si>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</si>
  <si>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</si>
  <si>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</si>
  <si>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</si>
  <si>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</si>
  <si>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</si>
  <si>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</si>
  <si>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</si>
  <si>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</si>
  <si>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</si>
  <si>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</si>
  <si>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</si>
  <si>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</si>
  <si>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</si>
  <si>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</si>
  <si>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</si>
  <si>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</si>
  <si>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</si>
  <si>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</si>
  <si>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</si>
  <si>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</si>
  <si>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</si>
  <si>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</si>
  <si>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</si>
  <si>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</si>
  <si>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</si>
  <si>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</si>
  <si>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</si>
  <si>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</si>
  <si>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</si>
  <si>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</si>
  <si>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</si>
  <si>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</si>
  <si>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</si>
  <si>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</si>
  <si>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</si>
  <si>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</si>
  <si>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</si>
  <si>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</si>
  <si>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</si>
  <si>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</si>
  <si>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</si>
  <si>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</si>
  <si>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</si>
  <si>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</si>
  <si>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</si>
  <si>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</si>
  <si>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</si>
  <si>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</si>
  <si>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</si>
  <si>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</si>
  <si>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</si>
  <si>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</si>
  <si>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</si>
  <si>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</si>
  <si>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</si>
  <si>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</si>
  <si>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</si>
  <si>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</si>
  <si>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</si>
  <si>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</si>
  <si>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</si>
  <si>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</si>
  <si>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</si>
  <si>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</si>
  <si>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</si>
  <si>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</si>
  <si>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</si>
  <si>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</si>
  <si>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</si>
  <si>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</si>
  <si>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</si>
  <si>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</si>
  <si>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</si>
  <si>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</si>
  <si>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</si>
  <si>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</si>
  <si>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</si>
  <si>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</si>
  <si>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</si>
  <si>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</si>
  <si>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</si>
  <si>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</si>
  <si>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</si>
  <si>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</si>
  <si>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</si>
  <si>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</si>
  <si>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</si>
  <si>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</si>
  <si>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</si>
  <si>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</si>
  <si>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</si>
  <si>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</si>
  <si>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</si>
  <si>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</si>
  <si>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</si>
  <si>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</si>
  <si>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</si>
  <si>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</si>
  <si>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</si>
  <si>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</si>
  <si>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</si>
  <si>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</si>
  <si>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</si>
  <si>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</si>
  <si>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</si>
  <si>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</si>
  <si>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</si>
  <si>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</si>
  <si>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</si>
  <si>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</si>
  <si>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</si>
  <si>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</si>
  <si>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</si>
  <si>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</si>
  <si>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</si>
  <si>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</si>
  <si>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</si>
  <si>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</si>
  <si>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</si>
  <si>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</si>
  <si>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</si>
  <si>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</si>
  <si>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</si>
  <si>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</si>
  <si>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</si>
  <si>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</si>
  <si>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</si>
  <si>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</si>
  <si>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</si>
  <si>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</si>
  <si>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</si>
  <si>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</si>
  <si>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</si>
  <si>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</si>
  <si>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</si>
  <si>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</si>
  <si>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</si>
  <si>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</si>
  <si>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</si>
  <si>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</si>
  <si>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</si>
  <si>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</si>
  <si>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</si>
  <si>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</si>
  <si>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</si>
  <si>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</si>
  <si>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</si>
  <si>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</si>
  <si>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</si>
  <si>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</si>
  <si>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</si>
  <si>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</si>
  <si>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</si>
  <si>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</si>
  <si>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</si>
  <si>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</si>
  <si>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</si>
  <si>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</si>
  <si>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</si>
  <si>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</si>
  <si>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</si>
  <si>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</si>
  <si>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</si>
  <si>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</si>
  <si>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</si>
  <si>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</si>
  <si>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</si>
  <si>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</si>
  <si>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</si>
  <si>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</si>
  <si>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</si>
  <si>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</si>
  <si>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</si>
  <si>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</si>
  <si>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</si>
  <si>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</si>
  <si>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</si>
  <si>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</si>
  <si>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</si>
  <si>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</si>
  <si>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</si>
  <si>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</si>
  <si>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</si>
  <si>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</si>
  <si>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</si>
  <si>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</si>
  <si>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</si>
  <si>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</si>
  <si>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</si>
  <si>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</si>
  <si>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</si>
  <si>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</si>
  <si>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</si>
  <si>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</si>
  <si>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</si>
  <si>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</si>
  <si>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</si>
  <si>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</si>
  <si>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</si>
  <si>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</si>
  <si>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</si>
  <si>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</si>
  <si>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</si>
  <si>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</si>
  <si>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</si>
  <si>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</si>
  <si>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</si>
  <si>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</si>
  <si>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</si>
  <si>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</si>
  <si>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</si>
  <si>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</si>
  <si>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</si>
  <si>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</si>
  <si>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</si>
  <si>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</si>
  <si>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</si>
  <si>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</si>
  <si>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</si>
  <si>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</si>
  <si>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</si>
  <si>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</si>
  <si>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</si>
  <si>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</si>
  <si>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</si>
  <si>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</si>
  <si>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</si>
  <si>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</si>
  <si>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</si>
  <si>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</si>
  <si>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</si>
  <si>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</si>
  <si>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</si>
  <si>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</si>
  <si>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</si>
  <si>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</si>
  <si>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</si>
  <si>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</si>
  <si>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</si>
  <si>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</si>
  <si>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</si>
  <si>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</si>
  <si>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</si>
  <si>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</si>
  <si>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</si>
  <si>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</si>
  <si>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</si>
  <si>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</si>
  <si>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</si>
  <si>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</si>
  <si>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</si>
  <si>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</si>
  <si>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</si>
  <si>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</si>
  <si>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</si>
  <si>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</si>
  <si>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</si>
  <si>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</si>
  <si>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</si>
  <si>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</si>
  <si>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</si>
  <si>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</si>
  <si>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</si>
  <si>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</si>
  <si>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</si>
  <si>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</si>
  <si>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</si>
  <si>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</si>
  <si>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</si>
  <si>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</si>
  <si>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</si>
  <si>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</si>
  <si>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</si>
  <si>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</si>
  <si>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</si>
  <si>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</si>
  <si>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</si>
  <si>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</si>
  <si>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</si>
  <si>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</si>
  <si>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</si>
  <si>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</si>
  <si>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</si>
  <si>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</si>
  <si>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</si>
  <si>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</si>
  <si>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</si>
  <si>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</si>
  <si>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</si>
  <si>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</si>
  <si>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</si>
  <si>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</si>
  <si>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</si>
  <si>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</si>
  <si>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</si>
  <si>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</si>
  <si>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</si>
  <si>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</si>
  <si>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</si>
  <si>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</si>
  <si>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</si>
  <si>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</si>
  <si>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</si>
  <si>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</si>
  <si>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</si>
  <si>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</si>
  <si>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</si>
  <si>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</si>
  <si>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</si>
  <si>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</si>
  <si>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</si>
  <si>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</si>
  <si>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</si>
  <si>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</si>
  <si>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</si>
  <si>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</si>
  <si>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</si>
  <si>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</si>
  <si>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</si>
  <si>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</si>
  <si>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</si>
  <si>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</si>
  <si>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</si>
  <si>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</si>
  <si>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</si>
  <si>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</si>
  <si>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</si>
  <si>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</si>
  <si>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</si>
  <si>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</si>
  <si>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</si>
  <si>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</si>
  <si>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</si>
  <si>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</si>
  <si>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</si>
  <si>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</si>
  <si>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</si>
  <si>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</si>
  <si>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</si>
  <si>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</si>
  <si>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</si>
  <si>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</si>
  <si>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</si>
  <si>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</si>
  <si>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</si>
  <si>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</si>
  <si>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</si>
  <si>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</si>
  <si>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</si>
  <si>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</si>
  <si>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</si>
  <si>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</si>
  <si>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</si>
  <si>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</si>
  <si>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</si>
  <si>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</si>
  <si>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</si>
  <si>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</si>
  <si>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</si>
  <si>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</si>
  <si>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</si>
  <si>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</si>
  <si>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</si>
  <si>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</si>
  <si>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</si>
  <si>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</si>
  <si>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</si>
  <si>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</si>
  <si>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</si>
  <si>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</si>
  <si>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</si>
  <si>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</si>
  <si>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</si>
  <si>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</si>
  <si>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</si>
  <si>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</si>
  <si>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</si>
  <si>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</si>
  <si>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</si>
  <si>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</si>
  <si>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</si>
  <si>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</si>
  <si>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</si>
  <si>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</si>
  <si>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</si>
  <si>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</si>
  <si>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</si>
  <si>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</si>
  <si>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</si>
  <si>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</si>
  <si>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</si>
  <si>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</si>
  <si>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</si>
  <si>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</si>
  <si>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</si>
  <si>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</si>
  <si>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</si>
  <si>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</si>
  <si>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</si>
  <si>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</si>
  <si>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</si>
  <si>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</si>
  <si>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</si>
  <si>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</si>
  <si>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</si>
  <si>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</si>
  <si>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</si>
  <si>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</si>
  <si>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</si>
  <si>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</si>
  <si>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</si>
  <si>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</si>
  <si>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</si>
  <si>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</si>
  <si>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</si>
  <si>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</si>
  <si>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</si>
  <si>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</si>
  <si>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</si>
  <si>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</si>
  <si>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</si>
  <si>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</si>
  <si>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</si>
  <si>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</si>
  <si>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</si>
  <si>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</si>
  <si>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</si>
  <si>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</si>
  <si>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</si>
  <si>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</si>
  <si>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</si>
  <si>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</si>
  <si>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</si>
  <si>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</si>
  <si>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</si>
  <si>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</si>
  <si>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</si>
  <si>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</si>
  <si>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</si>
  <si>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</si>
  <si>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</si>
  <si>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</si>
  <si>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</si>
  <si>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</si>
  <si>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</si>
  <si>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</si>
  <si>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</si>
  <si>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</si>
  <si>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</si>
  <si>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</si>
  <si>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</si>
  <si>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</si>
  <si>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</si>
  <si>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</si>
  <si>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</si>
  <si>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</si>
  <si>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</si>
  <si>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</si>
  <si>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</si>
  <si>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</si>
  <si>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</si>
  <si>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</si>
  <si>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</si>
  <si>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</si>
  <si>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</si>
  <si>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</si>
  <si>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</si>
  <si>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</si>
  <si>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</si>
  <si>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</si>
  <si>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</si>
  <si>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</si>
  <si>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</si>
  <si>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</si>
  <si>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</si>
  <si>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</si>
  <si>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</si>
  <si>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</si>
  <si>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</si>
  <si>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</si>
  <si>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</si>
  <si>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</si>
  <si>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</si>
  <si>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</si>
  <si>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</si>
  <si>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</si>
  <si>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</si>
  <si>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</si>
  <si>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</si>
  <si>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</si>
  <si>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</si>
  <si>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</si>
  <si>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</si>
  <si>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</si>
  <si>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</si>
  <si>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</si>
  <si>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</si>
  <si>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</si>
  <si>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</si>
  <si>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</si>
  <si>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</si>
  <si>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</si>
  <si>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</si>
  <si>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</si>
  <si>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</si>
  <si>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</si>
  <si>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</si>
  <si>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</si>
  <si>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</si>
  <si>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</si>
  <si>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</si>
  <si>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</si>
  <si>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</si>
  <si>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</si>
  <si>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</si>
  <si>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</si>
  <si>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</si>
  <si>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</si>
  <si>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</si>
  <si>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</si>
  <si>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</si>
  <si>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</si>
  <si>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</si>
  <si>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</si>
  <si>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</si>
  <si>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</si>
  <si>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</si>
  <si>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</si>
  <si>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</si>
  <si>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</si>
  <si>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</si>
  <si>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</si>
  <si>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</si>
  <si>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</si>
  <si>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</si>
  <si>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</si>
  <si>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</si>
  <si>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</si>
  <si>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</si>
  <si>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</si>
  <si>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</si>
  <si>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</si>
  <si>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</si>
  <si>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</si>
  <si>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</si>
  <si>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</si>
  <si>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</si>
  <si>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</si>
  <si>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</si>
  <si>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</si>
  <si>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</si>
  <si>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</si>
  <si>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</si>
  <si>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</si>
  <si>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</si>
  <si>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</si>
  <si>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</si>
  <si>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</si>
  <si>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</si>
  <si>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</si>
  <si>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</si>
  <si>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</si>
  <si>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</si>
  <si>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</si>
  <si>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</si>
  <si>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</si>
  <si>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</si>
  <si>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</si>
  <si>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</si>
  <si>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</si>
  <si>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</si>
  <si>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</si>
  <si>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</si>
  <si>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</si>
  <si>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</si>
  <si>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</si>
  <si>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</si>
  <si>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</si>
  <si>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</si>
  <si>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</si>
  <si>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</si>
  <si>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</si>
  <si>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</si>
  <si>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</si>
  <si>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</si>
  <si>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</si>
  <si>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</si>
  <si>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</si>
  <si>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</si>
  <si>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</si>
  <si>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</si>
  <si>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</si>
  <si>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</si>
  <si>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</si>
  <si>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</si>
  <si>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</si>
  <si>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</si>
  <si>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</si>
  <si>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</si>
  <si>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</si>
  <si>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</si>
  <si>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</si>
  <si>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</si>
  <si>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</si>
  <si>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</si>
  <si>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</si>
  <si>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</si>
  <si>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</si>
  <si>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</si>
  <si>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</si>
  <si>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</si>
  <si>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</si>
  <si>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</si>
  <si>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</si>
  <si>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</si>
  <si>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</si>
  <si>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</si>
  <si>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</si>
  <si>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</si>
  <si>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</si>
  <si>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</si>
  <si>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</si>
  <si>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</si>
  <si>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</si>
  <si>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</si>
  <si>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</si>
  <si>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</si>
  <si>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</si>
  <si>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</si>
  <si>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</si>
  <si>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</si>
  <si>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</si>
  <si>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</si>
  <si>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</si>
  <si>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</si>
  <si>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</si>
  <si>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</si>
  <si>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</si>
  <si>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</si>
  <si>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</si>
  <si>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</si>
  <si>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</si>
  <si>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</si>
  <si>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</si>
  <si>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</si>
  <si>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</si>
  <si>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</si>
  <si>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</si>
  <si>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</si>
  <si>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</si>
  <si>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</si>
  <si>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</si>
  <si>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</si>
  <si>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</si>
  <si>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</si>
  <si>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</si>
  <si>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</si>
  <si>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</si>
  <si>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</si>
  <si>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</si>
  <si>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</si>
  <si>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</si>
  <si>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</si>
  <si>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</si>
  <si>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</si>
  <si>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</si>
  <si>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</si>
  <si>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</si>
  <si>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</si>
  <si>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</si>
  <si>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</si>
  <si>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</si>
  <si>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</si>
  <si>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</si>
  <si>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</si>
  <si>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</si>
  <si>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</si>
  <si>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</si>
  <si>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</si>
  <si>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</si>
  <si>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</si>
  <si>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</si>
  <si>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</si>
  <si>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</si>
  <si>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</si>
  <si>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</si>
  <si>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</si>
  <si>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</si>
  <si>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</si>
  <si>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</si>
  <si>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</si>
  <si>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</si>
  <si>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</si>
  <si>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</si>
  <si>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</si>
  <si>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</si>
  <si>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</si>
  <si>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</si>
  <si>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</si>
  <si>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</si>
  <si>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</si>
  <si>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</si>
  <si>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</si>
  <si>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</si>
  <si>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</si>
  <si>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</si>
  <si>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</si>
  <si>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</si>
  <si>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</si>
  <si>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</si>
  <si>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</si>
  <si>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</si>
  <si>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</si>
  <si>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</si>
  <si>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</si>
  <si>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</si>
  <si>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</si>
  <si>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</si>
  <si>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</si>
  <si>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</si>
  <si>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</si>
  <si>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</si>
  <si>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</si>
  <si>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</si>
  <si>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</si>
  <si>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</si>
  <si>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</si>
  <si>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</si>
  <si>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</si>
  <si>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</si>
  <si>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</si>
  <si>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</si>
  <si>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</si>
  <si>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</si>
  <si>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</si>
  <si>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</si>
  <si>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</si>
  <si>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</si>
  <si>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</si>
  <si>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</si>
  <si>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</si>
  <si>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</si>
  <si>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</si>
  <si>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</si>
  <si>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</si>
  <si>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</si>
  <si>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</si>
  <si>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</si>
  <si>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</si>
  <si>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</si>
  <si>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</si>
  <si>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</si>
  <si>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</si>
  <si>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</si>
  <si>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</si>
  <si>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</si>
  <si>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</si>
  <si>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</si>
  <si>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</si>
  <si>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</si>
  <si>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</si>
  <si>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</si>
  <si>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</si>
  <si>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</si>
  <si>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</si>
  <si>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</si>
  <si>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</si>
  <si>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</si>
  <si>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</si>
  <si>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</si>
  <si>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</si>
  <si>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</si>
  <si>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</si>
  <si>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</si>
  <si>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</si>
  <si>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</si>
  <si>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</si>
  <si>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</si>
  <si>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</si>
  <si>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</si>
  <si>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</si>
  <si>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</si>
  <si>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</si>
  <si>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</si>
  <si>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</si>
  <si>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</si>
  <si>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</si>
  <si>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</si>
  <si>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</si>
  <si>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</si>
  <si>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</si>
  <si>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</si>
  <si>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</si>
  <si>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</si>
  <si>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</si>
  <si>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</si>
  <si>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</si>
  <si>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</si>
  <si>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</si>
  <si>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</si>
  <si>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</si>
  <si>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</si>
  <si>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</si>
  <si>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</si>
  <si>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</si>
  <si>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</si>
  <si>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</si>
  <si>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</si>
  <si>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</si>
  <si>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</si>
  <si>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</si>
  <si>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</si>
  <si>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</si>
  <si>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</si>
  <si>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</si>
  <si>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</si>
  <si>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</si>
  <si>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</si>
  <si>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</si>
  <si>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</si>
  <si>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</si>
  <si>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</si>
  <si>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</si>
  <si>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</si>
  <si>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</si>
  <si>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</si>
  <si>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</si>
  <si>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</si>
  <si>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</si>
  <si>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</si>
  <si>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</si>
  <si>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</si>
  <si>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</si>
  <si>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</si>
  <si>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</si>
  <si>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</si>
  <si>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</si>
  <si>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</si>
  <si>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</si>
  <si>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</si>
  <si>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</si>
  <si>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</si>
  <si>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</si>
  <si>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</si>
  <si>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</si>
  <si>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</si>
  <si>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</si>
  <si>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</si>
  <si>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</si>
  <si>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</si>
  <si>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</si>
  <si>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</si>
  <si>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</si>
  <si>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</si>
  <si>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</si>
  <si>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</si>
  <si>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</si>
  <si>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</si>
  <si>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</si>
  <si>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</si>
  <si>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</si>
  <si>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</si>
  <si>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</si>
  <si>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</si>
  <si>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</si>
  <si>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</si>
  <si>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</si>
  <si>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</si>
  <si>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</si>
  <si>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</si>
  <si>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</si>
  <si>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</si>
  <si>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</si>
  <si>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</si>
  <si>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</si>
  <si>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</si>
  <si>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</si>
  <si>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</si>
  <si>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</si>
  <si>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</si>
  <si>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</si>
  <si>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</si>
  <si>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</si>
  <si>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</si>
  <si>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</si>
  <si>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</si>
  <si>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</si>
  <si>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</si>
  <si>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</si>
  <si>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</si>
  <si>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</si>
  <si>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</si>
  <si>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</si>
  <si>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</si>
  <si>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</si>
  <si>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</si>
  <si>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</si>
  <si>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</si>
  <si>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</si>
  <si>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</si>
  <si>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</si>
  <si>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</si>
  <si>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</si>
  <si>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</si>
  <si>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</si>
  <si>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</si>
  <si>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</si>
  <si>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</si>
  <si>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</si>
  <si>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</si>
  <si>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</si>
  <si>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</si>
  <si>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</si>
  <si>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</si>
  <si>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</si>
  <si>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</si>
  <si>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</si>
  <si>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</si>
  <si>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</si>
  <si>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</si>
  <si>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</si>
  <si>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</si>
  <si>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</si>
  <si>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</si>
  <si>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</si>
  <si>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</si>
  <si>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</si>
  <si>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</si>
  <si>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</si>
  <si>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</si>
  <si>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</si>
  <si>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</si>
  <si>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</si>
  <si>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</si>
  <si>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</si>
  <si>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</si>
  <si>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</si>
  <si>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</si>
  <si>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</si>
  <si>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</si>
  <si>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</si>
  <si>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</si>
  <si>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</si>
  <si>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</si>
  <si>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</si>
  <si>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</si>
  <si>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</si>
  <si>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</si>
  <si>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</si>
  <si>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</si>
  <si>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</si>
  <si>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</si>
  <si>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</si>
  <si>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</si>
  <si>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</si>
  <si>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</si>
  <si>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</si>
  <si>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</si>
  <si>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</si>
  <si>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</si>
  <si>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</si>
  <si>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</si>
  <si>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</si>
  <si>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</si>
  <si>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</si>
  <si>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</si>
  <si>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</si>
  <si>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</si>
  <si>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</si>
  <si>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</si>
  <si>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</si>
  <si>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</si>
  <si>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</si>
  <si>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</si>
  <si>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</si>
  <si>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</si>
  <si>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</si>
  <si>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</si>
  <si>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</si>
  <si>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</si>
  <si>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</si>
  <si>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</si>
  <si>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</si>
  <si>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</si>
  <si>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</si>
  <si>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</si>
  <si>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</si>
  <si>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</si>
  <si>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</si>
  <si>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</si>
  <si>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</si>
  <si>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</si>
  <si>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</si>
  <si>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</si>
  <si>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</si>
  <si>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</si>
  <si>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</si>
  <si>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</si>
  <si>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</si>
  <si>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</si>
  <si>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</si>
  <si>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</si>
  <si>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</si>
  <si>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</si>
  <si>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</si>
  <si>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</si>
  <si>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</si>
  <si>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</si>
  <si>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</si>
  <si>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</si>
  <si>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</si>
  <si>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</si>
  <si>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</si>
  <si>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</si>
  <si>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</si>
  <si>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</si>
  <si>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</si>
  <si>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</si>
  <si>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</si>
  <si>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</si>
  <si>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</si>
  <si>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</si>
  <si>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</si>
  <si>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</si>
  <si>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</si>
  <si>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</si>
  <si>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</si>
  <si>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</si>
  <si>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</si>
  <si>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</si>
  <si>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</si>
  <si>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</si>
  <si>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</si>
  <si>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</si>
  <si>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</si>
  <si>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</si>
  <si>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</si>
  <si>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</si>
  <si>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</si>
  <si>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</si>
  <si>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</si>
  <si>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</si>
  <si>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</si>
  <si>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</si>
  <si>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</si>
  <si>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</si>
  <si>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</si>
  <si>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</si>
  <si>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</si>
  <si>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</si>
  <si>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</si>
  <si>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</si>
  <si>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</si>
  <si>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</si>
  <si>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</si>
  <si>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</si>
  <si>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</si>
  <si>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</si>
  <si>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</si>
  <si>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</si>
  <si>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</si>
  <si>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</si>
  <si>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</si>
  <si>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</si>
  <si>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</si>
  <si>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</si>
  <si>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</si>
  <si>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</si>
  <si>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</si>
  <si>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</si>
  <si>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</si>
  <si>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</si>
  <si>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</si>
  <si>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</si>
  <si>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</si>
  <si>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</si>
  <si>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</si>
  <si>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</si>
  <si>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</si>
  <si>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</si>
  <si>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</si>
  <si>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</si>
  <si>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</si>
  <si>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</si>
  <si>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</si>
  <si>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</si>
  <si>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</si>
  <si>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</si>
  <si>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</si>
  <si>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</si>
  <si>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</si>
  <si>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</si>
  <si>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</si>
  <si>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</si>
  <si>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</si>
  <si>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</si>
  <si>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</si>
  <si>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</si>
  <si>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</si>
  <si>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</si>
  <si>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</si>
  <si>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</si>
  <si>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</si>
  <si>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</si>
  <si>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</si>
  <si>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</si>
  <si>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</si>
  <si>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</si>
  <si>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</si>
  <si>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</si>
  <si>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</si>
  <si>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</si>
  <si>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</si>
  <si>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</si>
  <si>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</si>
  <si>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</si>
  <si>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</si>
  <si>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</si>
  <si>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</si>
  <si>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</si>
  <si>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</si>
  <si>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</si>
  <si>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</si>
  <si>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</si>
  <si>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</si>
  <si>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</si>
  <si>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</si>
  <si>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</si>
  <si>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</si>
  <si>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</si>
  <si>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</si>
  <si>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</si>
  <si>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</si>
  <si>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</si>
  <si>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</si>
  <si>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</si>
  <si>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</si>
  <si>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</si>
  <si>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</si>
  <si>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</si>
  <si>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</si>
  <si>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</si>
  <si>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</si>
  <si>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</si>
  <si>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</si>
  <si>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</si>
  <si>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</si>
  <si>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</si>
  <si>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</si>
  <si>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</si>
  <si>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</si>
  <si>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</si>
  <si>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</si>
  <si>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</si>
  <si>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</si>
  <si>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</si>
  <si>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</si>
  <si>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</si>
  <si>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</si>
  <si>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</si>
  <si>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</si>
  <si>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</si>
  <si>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</si>
  <si>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</si>
  <si>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</si>
  <si>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</si>
  <si>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</si>
  <si>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</si>
  <si>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</si>
  <si>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</si>
  <si>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</si>
  <si>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</si>
  <si>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</si>
  <si>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</si>
  <si>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</si>
  <si>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</si>
  <si>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</si>
  <si>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</si>
  <si>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</si>
  <si>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</si>
  <si>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</si>
  <si>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</si>
  <si>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</si>
  <si>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</si>
  <si>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</si>
  <si>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</si>
  <si>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</si>
  <si>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</si>
  <si>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</si>
  <si>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</si>
  <si>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</si>
  <si>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</si>
  <si>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</si>
  <si>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</si>
  <si>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</si>
  <si>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</si>
  <si>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</si>
  <si>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</si>
  <si>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</si>
  <si>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</si>
  <si>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</si>
  <si>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</si>
  <si>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</si>
  <si>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</si>
  <si>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</si>
  <si>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</si>
  <si>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</si>
  <si>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</si>
  <si>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</si>
  <si>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</si>
  <si>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</si>
  <si>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</si>
  <si>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</si>
  <si>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</si>
  <si>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</si>
  <si>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</si>
  <si>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</si>
  <si>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</si>
  <si>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</si>
  <si>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</si>
  <si>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</si>
  <si>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</si>
  <si>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</si>
  <si>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</si>
  <si>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</si>
  <si>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</si>
  <si>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</si>
  <si>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</si>
  <si>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</si>
  <si>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</si>
  <si>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</si>
  <si>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</si>
  <si>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</si>
  <si>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</si>
  <si>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</si>
  <si>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</si>
  <si>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</si>
  <si>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</si>
  <si>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</si>
  <si>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</si>
  <si>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</si>
  <si>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</si>
  <si>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</si>
  <si>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</si>
  <si>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</si>
  <si>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</si>
  <si>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</si>
  <si>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</si>
  <si>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</si>
  <si>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</si>
  <si>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</si>
  <si>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</si>
  <si>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</si>
  <si>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</si>
  <si>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</si>
  <si>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</si>
  <si>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</si>
  <si>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</si>
  <si>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</si>
  <si>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</si>
  <si>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</si>
  <si>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</si>
  <si>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</si>
  <si>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</si>
  <si>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</si>
  <si>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</si>
  <si>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</si>
  <si>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</si>
  <si>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</si>
  <si>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</si>
  <si>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</si>
  <si>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</si>
  <si>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</si>
  <si>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</si>
  <si>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</si>
  <si>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</si>
  <si>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</si>
  <si>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</si>
  <si>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</si>
  <si>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</si>
  <si>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</si>
  <si>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</si>
  <si>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</si>
  <si>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</si>
  <si>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</si>
  <si>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</si>
  <si>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</si>
  <si>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</si>
  <si>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</si>
  <si>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</si>
  <si>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</si>
  <si>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</si>
  <si>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</si>
  <si>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</si>
  <si>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</si>
  <si>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</si>
  <si>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</si>
  <si>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</si>
  <si>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</si>
  <si>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</si>
  <si>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</si>
  <si>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</si>
  <si>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</si>
  <si>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</si>
  <si>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</si>
  <si>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</si>
  <si>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</si>
  <si>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</si>
  <si>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</si>
  <si>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</si>
  <si>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</si>
  <si>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</si>
  <si>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</si>
  <si>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</si>
  <si>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</si>
  <si>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</si>
  <si>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</si>
  <si>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</si>
  <si>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</si>
  <si>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</si>
  <si>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</si>
  <si>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</si>
  <si>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</si>
  <si>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</si>
  <si>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</si>
  <si>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</si>
  <si>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</si>
  <si>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</si>
  <si>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</si>
  <si>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</si>
  <si>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</si>
  <si>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</si>
  <si>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</si>
  <si>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</si>
  <si>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</si>
  <si>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</si>
  <si>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</si>
  <si>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</si>
  <si>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</si>
  <si>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</si>
  <si>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</si>
  <si>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</si>
  <si>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</si>
  <si>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</si>
  <si>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</si>
  <si>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</si>
  <si>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</si>
  <si>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</si>
  <si>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</si>
  <si>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</si>
  <si>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</si>
  <si>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</si>
  <si>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</si>
  <si>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</si>
  <si>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</si>
  <si>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</si>
  <si>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</si>
  <si>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</si>
  <si>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</si>
  <si>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</si>
  <si>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</si>
  <si>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</si>
  <si>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</si>
  <si>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</si>
  <si>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</si>
  <si>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</si>
  <si>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</si>
  <si>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</si>
  <si>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</si>
  <si>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</si>
  <si>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</si>
  <si>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</si>
  <si>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</si>
  <si>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</si>
  <si>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</si>
  <si>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</si>
  <si>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</si>
  <si>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</si>
  <si>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</si>
  <si>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</si>
  <si>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</si>
  <si>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</si>
  <si>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</si>
  <si>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</si>
  <si>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</si>
  <si>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</si>
  <si>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</si>
  <si>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</si>
  <si>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</si>
  <si>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</si>
  <si>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</si>
  <si>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</si>
  <si>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</si>
  <si>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</si>
  <si>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</si>
  <si>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</si>
  <si>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</si>
  <si>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</si>
  <si>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</si>
  <si>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</si>
  <si>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</si>
  <si>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</si>
  <si>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</si>
  <si>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</si>
  <si>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</si>
  <si>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</si>
  <si>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</si>
  <si>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</si>
  <si>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</si>
  <si>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</si>
  <si>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</si>
  <si>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</si>
  <si>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</si>
  <si>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</si>
  <si>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</si>
  <si>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</si>
  <si>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</si>
  <si>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</si>
  <si>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</si>
  <si>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</si>
  <si>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</si>
  <si>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</si>
  <si>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</si>
  <si>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</si>
  <si>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</si>
  <si>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</si>
  <si>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</si>
  <si>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</si>
  <si>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</si>
  <si>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</si>
  <si>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</si>
  <si>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</si>
  <si>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</si>
  <si>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</si>
  <si>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</si>
  <si>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</si>
  <si>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</si>
  <si>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</si>
  <si>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</si>
  <si>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</si>
  <si>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</si>
  <si>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</si>
  <si>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</si>
  <si>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</si>
  <si>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</si>
  <si>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</si>
  <si>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</si>
  <si>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</si>
  <si>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</si>
  <si>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</si>
  <si>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</si>
  <si>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</si>
  <si>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</si>
  <si>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</si>
  <si>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</si>
  <si>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</si>
  <si>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</si>
  <si>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</si>
  <si>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</si>
  <si>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</si>
  <si>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</si>
  <si>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</si>
  <si>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</si>
  <si>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</si>
  <si>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</si>
  <si>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</si>
  <si>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</si>
  <si>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</si>
  <si>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</si>
  <si>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</si>
  <si>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</si>
  <si>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</si>
  <si>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</si>
  <si>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</si>
  <si>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</si>
  <si>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</si>
  <si>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</si>
  <si>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</si>
  <si>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</si>
  <si>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</si>
  <si>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</si>
  <si>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</si>
  <si>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</si>
  <si>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</si>
  <si>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</si>
  <si>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</si>
  <si>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</si>
  <si>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</si>
  <si>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</si>
  <si>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</si>
  <si>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</si>
  <si>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</si>
  <si>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</si>
  <si>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</si>
  <si>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</si>
  <si>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</si>
  <si>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</si>
  <si>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</si>
  <si>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</si>
  <si>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</si>
  <si>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</si>
  <si>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</si>
  <si>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</si>
  <si>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</si>
  <si>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</si>
  <si>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</si>
  <si>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</si>
  <si>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</si>
  <si>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</si>
  <si>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</si>
  <si>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</si>
  <si>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</si>
  <si>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</si>
  <si>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</si>
  <si>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</si>
  <si>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</si>
  <si>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</si>
  <si>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</si>
  <si>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</si>
  <si>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</si>
  <si>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</si>
  <si>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</si>
  <si>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</si>
  <si>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</si>
  <si>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</si>
  <si>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</si>
  <si>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</si>
  <si>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</si>
  <si>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</si>
  <si>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</si>
  <si>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</si>
  <si>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</si>
  <si>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</si>
  <si>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</si>
  <si>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</si>
  <si>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</si>
  <si>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</si>
  <si>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</si>
  <si>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</si>
  <si>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</si>
  <si>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</si>
  <si>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</si>
  <si>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</si>
  <si>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</si>
  <si>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</si>
  <si>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</si>
  <si>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</si>
  <si>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</si>
  <si>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</si>
  <si>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</si>
  <si>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</si>
  <si>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</si>
  <si>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</si>
  <si>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</si>
  <si>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</si>
  <si>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</si>
  <si>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</si>
  <si>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</si>
  <si>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</si>
  <si>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</si>
  <si>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</si>
  <si>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</si>
  <si>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</si>
  <si>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</si>
  <si>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</si>
  <si>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</si>
  <si>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</si>
  <si>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</si>
  <si>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</si>
  <si>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</si>
  <si>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</si>
  <si>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</si>
  <si>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</si>
  <si>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</si>
  <si>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</si>
  <si>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</si>
  <si>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</si>
  <si>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</si>
  <si>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</si>
  <si>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</si>
  <si>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</si>
  <si>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</si>
  <si>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</si>
  <si>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</si>
  <si>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</si>
  <si>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</si>
  <si>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</si>
  <si>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</si>
  <si>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</si>
  <si>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</si>
  <si>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</si>
  <si>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</si>
  <si>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</si>
  <si>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</si>
  <si>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</si>
  <si>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</si>
  <si>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</si>
  <si>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</si>
  <si>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</si>
  <si>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</si>
  <si>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</si>
  <si>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</si>
  <si>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</si>
  <si>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</si>
  <si>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</si>
  <si>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</si>
  <si>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</si>
  <si>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</si>
  <si>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</si>
  <si>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</si>
  <si>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</si>
  <si>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</si>
  <si>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</si>
  <si>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</si>
  <si>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</si>
  <si>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</si>
  <si>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</si>
  <si>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</si>
  <si>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</si>
  <si>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</si>
  <si>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</si>
  <si>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</si>
  <si>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</si>
  <si>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</si>
  <si>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</si>
  <si>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</si>
  <si>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</si>
  <si>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</si>
  <si>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</si>
  <si>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</si>
  <si>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</si>
  <si>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</si>
  <si>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</si>
  <si>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</si>
  <si>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</si>
  <si>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</si>
  <si>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</si>
  <si>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</si>
  <si>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</si>
  <si>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</si>
  <si>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</si>
  <si>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</si>
  <si>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</si>
  <si>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</si>
  <si>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</si>
  <si>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</si>
  <si>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</si>
  <si>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</si>
  <si>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</si>
  <si>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</si>
  <si>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</si>
  <si>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</si>
  <si>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</si>
  <si>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</si>
  <si>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</si>
  <si>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</si>
  <si>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</si>
  <si>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</si>
  <si>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</si>
  <si>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</si>
  <si>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</si>
  <si>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</si>
  <si>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</si>
  <si>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</si>
  <si>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</si>
  <si>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</si>
  <si>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</si>
  <si>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</si>
  <si>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</si>
  <si>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</si>
  <si>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</si>
  <si>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</si>
  <si>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</si>
  <si>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</si>
  <si>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</si>
  <si>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</si>
  <si>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</si>
  <si>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</si>
  <si>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</si>
  <si>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</si>
  <si>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</si>
  <si>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</si>
  <si>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</si>
  <si>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</si>
  <si>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</si>
  <si>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</si>
  <si>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</si>
  <si>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</si>
  <si>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</si>
  <si>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</si>
  <si>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</si>
  <si>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</si>
  <si>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</si>
  <si>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</si>
  <si>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</si>
  <si>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</si>
  <si>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</si>
  <si>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</si>
  <si>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</si>
  <si>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</si>
  <si>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</si>
  <si>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</si>
  <si>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</si>
  <si>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</si>
  <si>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</si>
  <si>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</si>
  <si>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</si>
  <si>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</si>
  <si>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</si>
  <si>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</si>
  <si>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</si>
  <si>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</si>
  <si>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</si>
  <si>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</si>
  <si>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</si>
  <si>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</si>
  <si>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</si>
  <si>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</si>
  <si>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</si>
  <si>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</si>
  <si>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</si>
  <si>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</si>
  <si>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</si>
  <si>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</si>
  <si>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</si>
  <si>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</si>
  <si>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</si>
  <si>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</si>
  <si>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</si>
  <si>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</si>
  <si>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</si>
  <si>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</si>
  <si>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</si>
  <si>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</si>
  <si>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</si>
  <si>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</si>
  <si>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</si>
  <si>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</si>
  <si>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</si>
  <si>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</si>
  <si>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</si>
  <si>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</si>
  <si>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</si>
  <si>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</si>
  <si>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</si>
  <si>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</si>
  <si>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</si>
  <si>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</si>
  <si>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</si>
  <si>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</si>
  <si>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</si>
  <si>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</si>
  <si>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</si>
  <si>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</si>
  <si>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</si>
  <si>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</si>
  <si>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</si>
  <si>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</si>
  <si>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</si>
  <si>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</si>
  <si>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</si>
  <si>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</si>
  <si>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</si>
  <si>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</si>
  <si>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</si>
  <si>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</si>
  <si>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</si>
  <si>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</si>
  <si>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</si>
  <si>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</si>
  <si>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</si>
  <si>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</si>
  <si>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</si>
  <si>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</si>
  <si>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</si>
  <si>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</si>
  <si>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</si>
  <si>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</si>
  <si>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</si>
  <si>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</si>
  <si>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</si>
  <si>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</si>
  <si>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</si>
  <si>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</si>
  <si>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</si>
  <si>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</si>
  <si>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</si>
  <si>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</si>
  <si>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</si>
  <si>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</si>
  <si>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</si>
  <si>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</si>
  <si>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</si>
  <si>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</si>
  <si>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</si>
  <si>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</si>
  <si>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</si>
  <si>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</si>
  <si>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</si>
  <si>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</si>
  <si>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</si>
  <si>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</si>
  <si>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</si>
  <si>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</si>
  <si>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</si>
  <si>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</si>
  <si>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</si>
  <si>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</si>
  <si>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</si>
  <si>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</si>
  <si>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</si>
  <si>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</si>
  <si>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</si>
  <si>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</si>
  <si>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</si>
  <si>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</si>
  <si>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</si>
  <si>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</si>
  <si>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</si>
  <si>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</si>
  <si>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</si>
  <si>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</si>
  <si>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</si>
  <si>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</si>
  <si>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</si>
  <si>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</si>
  <si>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</si>
  <si>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</si>
  <si>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</si>
  <si>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</si>
  <si>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</si>
  <si>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</si>
  <si>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</si>
  <si>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</si>
  <si>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</si>
  <si>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</si>
  <si>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</si>
  <si>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</si>
  <si>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</si>
  <si>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</si>
  <si>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</si>
  <si>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</si>
  <si>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</si>
  <si>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</si>
  <si>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</si>
  <si>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</si>
  <si>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</si>
  <si>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</si>
  <si>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</si>
  <si>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</si>
  <si>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</si>
  <si>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</si>
  <si>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</si>
  <si>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</si>
  <si>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</si>
  <si>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</si>
  <si>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</si>
  <si>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</si>
  <si>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</si>
  <si>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</si>
  <si>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</si>
  <si>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</si>
  <si>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</si>
  <si>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</si>
  <si>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</si>
  <si>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</si>
  <si>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</si>
  <si>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</si>
  <si>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</si>
  <si>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</si>
  <si>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</si>
  <si>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</si>
  <si>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</si>
  <si>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</si>
  <si>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</si>
  <si>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</si>
  <si>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</si>
  <si>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</si>
  <si>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</si>
  <si>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</si>
  <si>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</si>
  <si>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</si>
  <si>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</si>
  <si>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</si>
  <si>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</si>
  <si>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</si>
  <si>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</si>
  <si>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</si>
  <si>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</si>
  <si>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</si>
  <si>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</si>
  <si>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</si>
  <si>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</si>
  <si>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</si>
  <si>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</si>
  <si>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</si>
  <si>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</si>
  <si>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</si>
  <si>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</si>
  <si>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</si>
  <si>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</si>
  <si>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</si>
  <si>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</si>
  <si>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</si>
  <si>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</si>
  <si>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</si>
  <si>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</si>
  <si>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</si>
  <si>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</si>
  <si>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</si>
  <si>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</si>
  <si>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</si>
  <si>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</si>
  <si>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</si>
  <si>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</si>
  <si>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</si>
  <si>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</si>
  <si>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</si>
  <si>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</si>
  <si>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</si>
  <si>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</si>
  <si>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</si>
  <si>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</si>
  <si>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</si>
  <si>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</si>
  <si>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</si>
  <si>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</si>
  <si>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</si>
  <si>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</si>
  <si>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</si>
  <si>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</si>
  <si>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</si>
  <si>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</si>
  <si>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</si>
  <si>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</si>
  <si>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</si>
  <si>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</si>
  <si>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</si>
  <si>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</si>
  <si>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</si>
  <si>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</si>
  <si>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</si>
  <si>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</si>
  <si>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</si>
  <si>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</si>
  <si>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</si>
  <si>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</si>
  <si>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</si>
  <si>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</si>
  <si>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</si>
  <si>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</si>
  <si>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</si>
  <si>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</si>
  <si>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</si>
  <si>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</si>
  <si>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</si>
  <si>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</si>
  <si>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</si>
  <si>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</si>
  <si>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</si>
  <si>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</si>
  <si>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</si>
  <si>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</si>
  <si>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</si>
  <si>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</si>
  <si>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</si>
  <si>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</si>
  <si>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</si>
  <si>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</si>
  <si>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</si>
  <si>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</si>
  <si>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</si>
  <si>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</si>
  <si>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</si>
  <si>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</si>
  <si>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</si>
  <si>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</si>
  <si>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</si>
  <si>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</si>
  <si>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</si>
  <si>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</si>
  <si>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</si>
  <si>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</si>
  <si>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</si>
  <si>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</si>
  <si>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</si>
  <si>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</si>
  <si>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</si>
  <si>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</si>
  <si>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</si>
  <si>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</si>
  <si>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</si>
  <si>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</si>
  <si>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</si>
  <si>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</si>
  <si>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</si>
  <si>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</si>
  <si>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</si>
  <si>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</si>
  <si>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</si>
  <si>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</si>
  <si>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</si>
  <si>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</si>
  <si>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</si>
  <si>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</si>
  <si>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</si>
  <si>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</si>
  <si>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</si>
  <si>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</si>
  <si>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</si>
  <si>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</si>
  <si>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</si>
  <si>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</si>
  <si>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</si>
  <si>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</si>
  <si>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</si>
  <si>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</si>
  <si>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</si>
  <si>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</si>
  <si>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</si>
  <si>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</si>
  <si>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</si>
  <si>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</si>
  <si>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</si>
  <si>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</si>
  <si>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</si>
  <si>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</si>
  <si>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</si>
  <si>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</si>
  <si>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</si>
  <si>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</si>
  <si>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</si>
  <si>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</si>
  <si>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</si>
  <si>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</si>
  <si>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</si>
  <si>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</si>
  <si>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</si>
  <si>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</si>
  <si>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</si>
  <si>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</si>
  <si>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</si>
  <si>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</si>
  <si>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</si>
  <si>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</si>
  <si>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</si>
  <si>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</si>
  <si>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</si>
  <si>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</si>
  <si>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</si>
  <si>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</si>
  <si>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</si>
  <si>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</si>
  <si>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</si>
  <si>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</si>
  <si>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</si>
  <si>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</si>
  <si>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</si>
  <si>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</si>
  <si>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</si>
  <si>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</si>
  <si>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</si>
  <si>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</si>
  <si>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</si>
  <si>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</si>
  <si>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</si>
  <si>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</si>
  <si>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</si>
  <si>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</si>
  <si>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</si>
  <si>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</si>
  <si>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</si>
  <si>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</si>
  <si>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</si>
  <si>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</si>
  <si>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</si>
  <si>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</si>
  <si>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</si>
  <si>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</si>
  <si>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</si>
  <si>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</si>
  <si>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</si>
  <si>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</si>
  <si>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</si>
  <si>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</si>
  <si>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</si>
  <si>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</si>
  <si>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</si>
  <si>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</si>
  <si>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</si>
  <si>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</si>
  <si>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</si>
  <si>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</si>
  <si>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</si>
  <si>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</si>
  <si>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</si>
  <si>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</si>
  <si>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</si>
  <si>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</si>
  <si>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</si>
  <si>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</si>
  <si>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</si>
  <si>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</si>
  <si>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</si>
  <si>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</si>
  <si>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</si>
  <si>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</si>
  <si>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</si>
  <si>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</si>
  <si>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</si>
  <si>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</si>
  <si>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</si>
  <si>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</si>
  <si>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</si>
  <si>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</si>
  <si>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</si>
  <si>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</si>
  <si>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</si>
  <si>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</si>
  <si>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</si>
  <si>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</si>
  <si>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</si>
  <si>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</si>
  <si>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</si>
  <si>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</si>
  <si>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</si>
  <si>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</si>
  <si>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</si>
  <si>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</si>
  <si>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</si>
  <si>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</si>
  <si>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</si>
  <si>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</si>
  <si>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</si>
  <si>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</si>
  <si>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</si>
  <si>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</si>
  <si>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</si>
  <si>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</si>
  <si>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</si>
  <si>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</si>
  <si>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</si>
  <si>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</si>
  <si>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</si>
  <si>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</si>
  <si>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</si>
  <si>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</si>
  <si>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</si>
  <si>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</si>
  <si>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</si>
  <si>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</si>
  <si>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</si>
  <si>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</si>
  <si>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</si>
  <si>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</si>
  <si>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</si>
  <si>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</si>
  <si>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</si>
  <si>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</si>
  <si>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</si>
  <si>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</si>
  <si>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</si>
  <si>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</si>
  <si>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</si>
  <si>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</si>
  <si>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</si>
  <si>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</si>
  <si>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</si>
  <si>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</si>
  <si>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</si>
  <si>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</si>
  <si>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</si>
  <si>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</si>
  <si>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</si>
  <si>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</si>
  <si>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</si>
  <si>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</si>
  <si>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</si>
  <si>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</si>
  <si>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</si>
  <si>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</si>
  <si>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</si>
  <si>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</si>
  <si>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</si>
  <si>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</si>
  <si>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</si>
  <si>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</si>
  <si>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</si>
  <si>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</si>
  <si>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</si>
  <si>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</si>
  <si>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</si>
  <si>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</si>
  <si>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</si>
  <si>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</si>
  <si>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</si>
  <si>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</si>
  <si>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</si>
  <si>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</si>
  <si>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</si>
  <si>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</si>
  <si>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</si>
  <si>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</si>
  <si>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</si>
  <si>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</si>
  <si>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</si>
  <si>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</si>
  <si>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</si>
  <si>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</si>
  <si>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</si>
  <si>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</si>
  <si>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</si>
  <si>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</si>
  <si>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</si>
  <si>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</si>
  <si>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</si>
  <si>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</si>
  <si>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</si>
  <si>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</si>
  <si>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</si>
  <si>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</si>
  <si>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</si>
  <si>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</si>
  <si>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</si>
  <si>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</si>
  <si>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</si>
  <si>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</si>
  <si>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</si>
  <si>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</si>
  <si>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</si>
  <si>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</si>
  <si>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</si>
  <si>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</si>
  <si>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</si>
  <si>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</si>
  <si>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</si>
  <si>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</si>
  <si>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</si>
  <si>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</si>
  <si>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</si>
  <si>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</si>
  <si>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</si>
  <si>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</si>
  <si>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</si>
  <si>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</si>
  <si>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</si>
  <si>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</si>
  <si>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</si>
  <si>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</si>
  <si>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</si>
  <si>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</si>
  <si>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</si>
  <si>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</si>
  <si>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</si>
  <si>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</si>
  <si>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</si>
  <si>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</si>
  <si>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</si>
  <si>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</si>
  <si>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</si>
  <si>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</si>
  <si>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</si>
  <si>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</si>
  <si>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</si>
  <si>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</si>
  <si>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</si>
  <si>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</si>
  <si>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</si>
  <si>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</si>
  <si>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</si>
  <si>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</si>
  <si>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</si>
  <si>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</si>
  <si>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</si>
  <si>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</si>
  <si>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</si>
  <si>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</si>
  <si>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</si>
  <si>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</si>
  <si>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</si>
  <si>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</si>
  <si>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</si>
  <si>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</si>
  <si>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</si>
  <si>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</si>
  <si>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</si>
  <si>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</si>
  <si>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</si>
  <si>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</si>
  <si>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</si>
  <si>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</si>
  <si>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</si>
  <si>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</si>
  <si>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</si>
  <si>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</si>
  <si>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</si>
  <si>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</si>
  <si>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</si>
  <si>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</si>
  <si>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</si>
  <si>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</si>
  <si>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</si>
  <si>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</si>
  <si>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</si>
  <si>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</si>
  <si>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</si>
  <si>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</si>
  <si>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</si>
  <si>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</si>
  <si>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</si>
  <si>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</si>
  <si>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</si>
  <si>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</si>
  <si>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</si>
  <si>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</si>
  <si>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</si>
  <si>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</si>
  <si>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</si>
  <si>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</si>
  <si>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</si>
  <si>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</si>
  <si>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</si>
  <si>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</si>
  <si>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</si>
  <si>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</si>
  <si>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</si>
  <si>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</si>
  <si>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</si>
  <si>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</si>
  <si>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</si>
  <si>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</si>
  <si>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</si>
  <si>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</si>
  <si>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</si>
  <si>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</si>
  <si>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</si>
  <si>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</si>
  <si>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</si>
  <si>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</si>
  <si>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</si>
  <si>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</si>
  <si>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</si>
  <si>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</si>
  <si>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</si>
  <si>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</si>
  <si>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</si>
  <si>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</si>
  <si>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</si>
  <si>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</si>
  <si>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</si>
  <si>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</si>
  <si>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</si>
  <si>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</si>
  <si>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</si>
  <si>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</si>
  <si>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</si>
  <si>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</si>
  <si>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</si>
  <si>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</si>
  <si>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</si>
  <si>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</si>
  <si>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</si>
  <si>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</si>
  <si>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</si>
  <si>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</si>
  <si>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</si>
  <si>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</si>
  <si>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</si>
  <si>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</si>
  <si>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</si>
  <si>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</si>
  <si>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</si>
  <si>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</si>
  <si>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</si>
  <si>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</si>
  <si>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</si>
  <si>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</si>
  <si>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</si>
  <si>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</si>
  <si>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</si>
  <si>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</si>
  <si>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</si>
  <si>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</si>
  <si>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</si>
  <si>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</si>
  <si>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</si>
  <si>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</si>
  <si>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</si>
  <si>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</si>
  <si>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</si>
  <si>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</si>
  <si>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</si>
  <si>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</si>
  <si>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</si>
  <si>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</si>
  <si>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</si>
  <si>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</si>
  <si>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</si>
  <si>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</si>
  <si>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</si>
  <si>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</si>
  <si>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</si>
  <si>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</si>
  <si>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</si>
  <si>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</si>
  <si>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</si>
  <si>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</si>
  <si>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</si>
  <si>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</si>
  <si>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</si>
  <si>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</si>
  <si>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</si>
  <si>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</si>
  <si>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</si>
  <si>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</si>
  <si>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</si>
  <si>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</si>
  <si>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</si>
  <si>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</si>
  <si>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</si>
  <si>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</si>
  <si>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</si>
  <si>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</si>
  <si>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</si>
  <si>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</si>
  <si>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</si>
  <si>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</si>
  <si>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</si>
  <si>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</si>
  <si>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</si>
  <si>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</si>
  <si>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</si>
  <si>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</si>
  <si>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</si>
  <si>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</si>
  <si>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</si>
  <si>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</si>
  <si>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</si>
  <si>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</si>
  <si>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</si>
  <si>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</si>
  <si>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</si>
  <si>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</si>
  <si>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</si>
  <si>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</si>
  <si>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</si>
  <si>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</si>
  <si>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</si>
  <si>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</si>
  <si>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</si>
  <si>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</si>
  <si>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</si>
  <si>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</si>
  <si>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</si>
  <si>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</si>
  <si>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</si>
  <si>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</si>
  <si>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</si>
  <si>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</si>
  <si>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</si>
  <si>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</si>
  <si>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</si>
  <si>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</si>
  <si>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</si>
  <si>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</si>
  <si>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</si>
  <si>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</si>
  <si>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</si>
  <si>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</si>
  <si>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</si>
  <si>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</si>
  <si>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</si>
  <si>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</si>
  <si>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</si>
  <si>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</si>
  <si>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</si>
  <si>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</si>
  <si>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</si>
  <si>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</si>
  <si>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</si>
  <si>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</si>
  <si>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</si>
  <si>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</si>
  <si>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</si>
  <si>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</si>
  <si>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</si>
  <si>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</si>
  <si>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</si>
  <si>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</si>
  <si>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</si>
  <si>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</si>
  <si>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</si>
  <si>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</si>
  <si>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</si>
  <si>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</si>
  <si>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</si>
  <si>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</si>
  <si>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</si>
  <si>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</si>
  <si>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</si>
  <si>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</si>
  <si>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</si>
  <si>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</si>
  <si>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</si>
  <si>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</si>
  <si>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</si>
  <si>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</si>
  <si>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</si>
  <si>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</si>
  <si>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</si>
  <si>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</si>
  <si>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</si>
  <si>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</si>
  <si>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</si>
  <si>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</si>
  <si>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</si>
  <si>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</si>
  <si>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</si>
  <si>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</si>
  <si>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</si>
  <si>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</si>
  <si>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</si>
  <si>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</si>
  <si>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</si>
  <si>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</si>
  <si>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</si>
  <si>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</si>
  <si>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</si>
  <si>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</si>
  <si>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</si>
  <si>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</si>
  <si>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</si>
  <si>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</si>
  <si>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</si>
  <si>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</si>
  <si>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</si>
  <si>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</si>
  <si>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</si>
  <si>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</si>
  <si>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</si>
  <si>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</si>
  <si>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</si>
  <si>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</si>
  <si>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</si>
  <si>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</si>
  <si>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</si>
  <si>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</si>
  <si>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</si>
  <si>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</si>
  <si>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</si>
  <si>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</si>
  <si>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</si>
  <si>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</si>
  <si>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</si>
  <si>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</si>
  <si>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</si>
  <si>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</si>
  <si>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</si>
  <si>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</si>
  <si>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</si>
  <si>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</si>
  <si>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</si>
  <si>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</si>
  <si>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</si>
  <si>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</si>
  <si>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</si>
  <si>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</si>
  <si>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</si>
  <si>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</si>
  <si>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</si>
  <si>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</si>
  <si>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</si>
  <si>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</si>
  <si>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</si>
  <si>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</si>
  <si>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</si>
  <si>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</si>
  <si>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</si>
  <si>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</si>
  <si>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</si>
  <si>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</si>
  <si>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</si>
  <si>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</si>
  <si>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</si>
  <si>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</si>
  <si>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</si>
  <si>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</si>
  <si>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</si>
  <si>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</si>
  <si>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</si>
  <si>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</si>
  <si>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</si>
  <si>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</si>
  <si>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</si>
  <si>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</si>
  <si>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</si>
  <si>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</si>
  <si>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</si>
  <si>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</si>
  <si>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</si>
  <si>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</si>
  <si>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</si>
  <si>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</si>
  <si>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</si>
  <si>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</si>
  <si>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</si>
  <si>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</si>
  <si>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</si>
  <si>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</si>
  <si>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</si>
  <si>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</si>
  <si>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</si>
  <si>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</si>
  <si>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</si>
  <si>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</si>
  <si>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</si>
  <si>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</si>
  <si>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</si>
  <si>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</si>
  <si>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</si>
  <si>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</si>
  <si>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</si>
  <si>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</si>
  <si>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</si>
  <si>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</si>
  <si>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</si>
  <si>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</si>
  <si>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</si>
  <si>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</si>
  <si>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</si>
  <si>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</si>
  <si>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</si>
  <si>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</si>
  <si>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</si>
  <si>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</si>
  <si>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</si>
  <si>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</si>
  <si>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</si>
  <si>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</si>
  <si>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</si>
  <si>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</si>
  <si>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</si>
  <si>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</si>
  <si>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</si>
  <si>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</si>
  <si>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</si>
  <si>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</si>
  <si>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</si>
  <si>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</si>
  <si>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</si>
  <si>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</si>
  <si>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</si>
  <si>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</si>
  <si>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</si>
  <si>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</si>
  <si>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</si>
  <si>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</si>
  <si>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</si>
  <si>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</si>
  <si>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</si>
  <si>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</si>
  <si>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</si>
  <si>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</si>
  <si>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</si>
  <si>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</si>
  <si>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</si>
  <si>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</si>
  <si>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</si>
  <si>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</si>
  <si>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</si>
  <si>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</si>
  <si>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</si>
  <si>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</si>
  <si>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</si>
  <si>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</si>
  <si>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</si>
  <si>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</si>
  <si>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</si>
  <si>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</si>
  <si>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</si>
  <si>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</si>
  <si>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</si>
  <si>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</si>
  <si>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</si>
  <si>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</si>
  <si>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</si>
  <si>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</si>
  <si>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</si>
  <si>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</si>
  <si>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</si>
  <si>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</si>
  <si>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</si>
  <si>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</si>
  <si>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</si>
  <si>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</si>
  <si>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</si>
  <si>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</si>
  <si>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</si>
  <si>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</si>
  <si>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</si>
  <si>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</si>
  <si>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</si>
  <si>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</si>
  <si>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</si>
  <si>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</si>
  <si>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</si>
  <si>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</si>
  <si>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</si>
  <si>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</si>
  <si>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</si>
  <si>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</si>
  <si>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</si>
  <si>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</si>
  <si>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</si>
  <si>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</si>
  <si>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</si>
  <si>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</si>
  <si>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</si>
  <si>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</si>
  <si>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</si>
  <si>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</si>
  <si>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</si>
  <si>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</si>
  <si>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</si>
  <si>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</si>
  <si>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</si>
  <si>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</si>
  <si>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</si>
  <si>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</si>
  <si>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</si>
  <si>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</si>
  <si>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</si>
  <si>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</si>
  <si>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</si>
  <si>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</si>
  <si>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</si>
  <si>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</si>
  <si>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</si>
  <si>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</si>
  <si>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</si>
  <si>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</si>
  <si>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</si>
  <si>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</si>
  <si>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</si>
  <si>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</si>
  <si>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</si>
  <si>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</si>
  <si>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</si>
  <si>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</si>
  <si>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</si>
  <si>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</si>
  <si>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</si>
  <si>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</si>
  <si>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</si>
  <si>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</si>
  <si>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</si>
  <si>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</si>
  <si>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</si>
  <si>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</si>
  <si>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</si>
  <si>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</si>
  <si>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</si>
  <si>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</si>
  <si>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</si>
  <si>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</si>
  <si>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</si>
  <si>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</si>
  <si>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</si>
  <si>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</si>
  <si>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</si>
  <si>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</si>
  <si>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</si>
  <si>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</si>
  <si>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</si>
  <si>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</si>
  <si>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</si>
  <si>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</si>
  <si>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</si>
  <si>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</si>
  <si>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</si>
  <si>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</si>
  <si>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</si>
  <si>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</si>
  <si>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</si>
  <si>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</si>
  <si>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</si>
  <si>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</si>
  <si>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</si>
  <si>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</si>
  <si>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</si>
  <si>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</si>
  <si>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</si>
  <si>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</si>
  <si>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</si>
  <si>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</si>
  <si>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</si>
  <si>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</si>
  <si>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</si>
  <si>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</si>
  <si>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</si>
  <si>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</si>
  <si>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</si>
  <si>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</si>
  <si>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</si>
  <si>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</si>
  <si>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</si>
  <si>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</si>
  <si>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</si>
  <si>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</si>
  <si>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</si>
  <si>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</si>
  <si>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</si>
  <si>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</si>
  <si>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</si>
  <si>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</si>
  <si>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</si>
  <si>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</si>
  <si>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</si>
  <si>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</si>
  <si>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</si>
  <si>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</si>
  <si>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</si>
  <si>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</si>
  <si>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</si>
  <si>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</si>
  <si>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</si>
  <si>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</si>
  <si>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</si>
  <si>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</si>
  <si>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</si>
  <si>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</si>
  <si>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</si>
  <si>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</si>
  <si>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</si>
  <si>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</si>
  <si>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</si>
  <si>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</si>
  <si>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</si>
  <si>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</si>
  <si>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</si>
  <si>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</si>
  <si>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</si>
  <si>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</si>
  <si>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</si>
  <si>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</si>
  <si>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</si>
  <si>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</si>
  <si>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</si>
  <si>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</si>
  <si>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</si>
  <si>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</si>
  <si>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</si>
  <si>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</si>
  <si>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</si>
  <si>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</si>
  <si>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</si>
  <si>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</si>
  <si>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</si>
  <si>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</si>
  <si>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</si>
  <si>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</si>
  <si>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</si>
  <si>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</si>
  <si>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</si>
  <si>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</si>
  <si>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</si>
  <si>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</si>
  <si>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</si>
  <si>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</si>
  <si>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</si>
  <si>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</si>
  <si>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</si>
  <si>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</si>
  <si>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</si>
  <si>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</si>
  <si>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</si>
  <si>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</si>
  <si>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</si>
  <si>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</si>
  <si>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</si>
  <si>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</si>
  <si>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</si>
  <si>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</si>
  <si>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</si>
  <si>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</si>
  <si>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</si>
  <si>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</si>
  <si>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</si>
  <si>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</si>
  <si>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</si>
  <si>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</si>
  <si>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</si>
  <si>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</si>
  <si>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</si>
  <si>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</si>
  <si>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</si>
  <si>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</si>
  <si>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</si>
  <si>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</si>
  <si>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</si>
  <si>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</si>
  <si>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</si>
  <si>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</si>
  <si>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</si>
  <si>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</si>
  <si>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</si>
  <si>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</si>
  <si>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</si>
  <si>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</si>
  <si>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</si>
  <si>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</si>
  <si>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</si>
  <si>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</si>
  <si>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</si>
  <si>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</si>
  <si>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</si>
  <si>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</si>
  <si>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</si>
  <si>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</si>
  <si>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</si>
  <si>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</si>
  <si>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</si>
  <si>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</si>
  <si>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</si>
  <si>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</si>
  <si>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</si>
  <si>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</si>
  <si>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</si>
  <si>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</si>
  <si>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</si>
  <si>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</si>
  <si>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</si>
  <si>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</si>
  <si>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</si>
  <si>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</si>
  <si>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</si>
  <si>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</si>
  <si>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</si>
  <si>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</si>
  <si>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</si>
  <si>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</si>
  <si>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</si>
  <si>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</si>
  <si>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</si>
  <si>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</si>
  <si>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</si>
  <si>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</si>
  <si>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</si>
  <si>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</si>
  <si>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</si>
  <si>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</si>
  <si>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</si>
  <si>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</si>
  <si>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</si>
  <si>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</si>
  <si>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</si>
  <si>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</si>
  <si>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</si>
  <si>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</si>
  <si>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</si>
  <si>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</si>
  <si>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</si>
  <si>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</si>
  <si>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</si>
  <si>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</si>
  <si>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</si>
  <si>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</si>
  <si>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</si>
  <si>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</si>
  <si>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</si>
  <si>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</si>
  <si>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</si>
  <si>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</si>
  <si>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</si>
  <si>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</si>
  <si>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</si>
  <si>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</si>
  <si>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</si>
  <si>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</si>
  <si>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</si>
  <si>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</si>
  <si>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</si>
  <si>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</si>
  <si>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</si>
  <si>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</si>
  <si>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</si>
  <si>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</si>
  <si>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</si>
  <si>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</si>
  <si>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</si>
  <si>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</si>
  <si>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</si>
  <si>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</si>
  <si>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</si>
  <si>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</si>
  <si>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</si>
  <si>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</si>
  <si>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</si>
  <si>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</si>
  <si>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</si>
  <si>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</si>
  <si>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</si>
  <si>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</si>
  <si>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</si>
  <si>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</si>
  <si>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</si>
  <si>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</si>
  <si>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</si>
  <si>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</si>
  <si>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</si>
  <si>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</si>
  <si>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</si>
  <si>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</si>
  <si>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</si>
  <si>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</si>
  <si>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</si>
  <si>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</si>
  <si>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</si>
  <si>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</si>
  <si>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</si>
  <si>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</si>
  <si>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</si>
  <si>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</si>
  <si>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</si>
  <si>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</si>
  <si>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</si>
  <si>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</si>
  <si>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</si>
  <si>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</si>
  <si>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</si>
  <si>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</si>
  <si>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</si>
  <si>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</si>
  <si>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</si>
  <si>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</si>
  <si>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</si>
  <si>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</si>
  <si>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</si>
  <si>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</si>
  <si>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</si>
  <si>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</si>
  <si>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</si>
  <si>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</si>
  <si>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</si>
  <si>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</si>
  <si>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</si>
  <si>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</si>
  <si>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</si>
  <si>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</si>
  <si>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</si>
  <si>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</si>
  <si>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</si>
  <si>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</si>
  <si>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</si>
  <si>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</si>
  <si>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</si>
  <si>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</si>
  <si>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</si>
  <si>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</si>
  <si>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</si>
  <si>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</si>
  <si>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</si>
  <si>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</si>
  <si>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</si>
  <si>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</si>
  <si>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</si>
  <si>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</si>
  <si>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</si>
  <si>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</si>
  <si>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</si>
  <si>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</si>
  <si>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</si>
  <si>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</si>
  <si>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</si>
  <si>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</si>
  <si>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</si>
  <si>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</si>
  <si>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</si>
  <si>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</si>
  <si>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</si>
  <si>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</si>
  <si>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</si>
  <si>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</si>
  <si>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</si>
  <si>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</si>
  <si>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</si>
  <si>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</si>
  <si>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</si>
  <si>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</si>
  <si>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</si>
  <si>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</si>
  <si>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</si>
  <si>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</si>
  <si>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</si>
  <si>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</si>
  <si>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</si>
  <si>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</si>
  <si>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</si>
  <si>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</si>
  <si>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</si>
  <si>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</si>
  <si>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</si>
  <si>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</si>
  <si>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</si>
  <si>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</si>
  <si>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</si>
  <si>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</si>
  <si>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</si>
  <si>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</si>
  <si>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</si>
  <si>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</si>
  <si>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</si>
  <si>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</si>
  <si>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</si>
  <si>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</si>
  <si>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</si>
  <si>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</si>
  <si>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</si>
  <si>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</si>
  <si>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</si>
  <si>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</si>
  <si>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</si>
  <si>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</si>
  <si>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</si>
  <si>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</si>
  <si>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</si>
  <si>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</si>
  <si>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</si>
  <si>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</si>
  <si>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</si>
  <si>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</si>
  <si>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</si>
  <si>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</si>
  <si>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</si>
  <si>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</si>
  <si>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</si>
  <si>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</si>
  <si>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</si>
  <si>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</si>
  <si>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</si>
  <si>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</si>
  <si>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</si>
  <si>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</si>
  <si>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</si>
  <si>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</si>
  <si>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</si>
  <si>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</si>
  <si>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</si>
  <si>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</si>
  <si>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</si>
  <si>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</si>
  <si>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</si>
  <si>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</si>
  <si>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</si>
  <si>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</si>
  <si>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</si>
  <si>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</si>
  <si>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</si>
  <si>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</si>
  <si>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</si>
  <si>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</si>
  <si>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</si>
  <si>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</si>
  <si>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</si>
  <si>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</si>
  <si>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</si>
  <si>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</si>
  <si>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</si>
  <si>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</si>
  <si>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</si>
  <si>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</si>
  <si>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</si>
  <si>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</si>
  <si>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</si>
  <si>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</si>
  <si>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</si>
  <si>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</si>
  <si>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</si>
  <si>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</si>
  <si>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</si>
  <si>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</si>
  <si>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</si>
  <si>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</si>
  <si>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</si>
  <si>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</si>
  <si>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</si>
  <si>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</si>
  <si>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</si>
  <si>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</si>
  <si>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</si>
  <si>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</si>
  <si>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</si>
  <si>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</si>
  <si>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</si>
  <si>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</si>
  <si>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</si>
  <si>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</si>
  <si>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</si>
  <si>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</si>
  <si>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</si>
  <si>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</si>
  <si>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</si>
  <si>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</si>
  <si>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</si>
  <si>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</si>
  <si>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</si>
  <si>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</si>
  <si>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</si>
  <si>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</si>
  <si>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</si>
  <si>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</si>
  <si>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</si>
  <si>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</si>
  <si>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</si>
  <si>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</si>
  <si>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</si>
  <si>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</si>
  <si>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</si>
  <si>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</si>
  <si>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</si>
  <si>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</si>
  <si>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</si>
  <si>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</si>
  <si>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</si>
  <si>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</si>
  <si>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</si>
  <si>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</si>
  <si>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</si>
  <si>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</si>
  <si>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</si>
  <si>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</si>
  <si>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</si>
  <si>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</si>
  <si>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</si>
  <si>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</si>
  <si>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</si>
  <si>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</si>
  <si>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</si>
  <si>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</si>
  <si>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</si>
  <si>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</si>
  <si>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</si>
  <si>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</si>
  <si>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</si>
  <si>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</si>
  <si>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</si>
  <si>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</si>
  <si>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</si>
  <si>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</si>
  <si>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</si>
  <si>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</si>
  <si>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</si>
  <si>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</si>
  <si>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</si>
  <si>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</si>
  <si>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</si>
  <si>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</si>
  <si>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</si>
  <si>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</si>
  <si>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</si>
  <si>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</si>
  <si>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</si>
  <si>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</si>
  <si>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</si>
  <si>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</si>
  <si>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</si>
  <si>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</si>
  <si>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</si>
  <si>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</si>
  <si>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</si>
  <si>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</si>
  <si>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</si>
  <si>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</si>
  <si>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</si>
  <si>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</si>
  <si>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</si>
  <si>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</si>
  <si>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</si>
  <si>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</si>
  <si>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</si>
  <si>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</si>
  <si>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</si>
  <si>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</si>
  <si>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</si>
  <si>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</si>
  <si>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</si>
  <si>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</si>
  <si>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</si>
  <si>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</si>
  <si>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</si>
  <si>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</si>
  <si>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</si>
  <si>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</si>
  <si>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</si>
  <si>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</si>
  <si>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</si>
  <si>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</si>
  <si>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</si>
  <si>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</si>
  <si>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</si>
  <si>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</si>
  <si>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</si>
  <si>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</si>
  <si>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</si>
  <si>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</si>
  <si>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</si>
  <si>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</si>
  <si>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</si>
  <si>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</si>
  <si>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</si>
  <si>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</si>
  <si>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</si>
  <si>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</si>
  <si>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</si>
  <si>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</si>
  <si>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</si>
  <si>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</si>
  <si>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</si>
  <si>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</si>
  <si>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</si>
  <si>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</si>
  <si>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</si>
  <si>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</si>
  <si>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</si>
  <si>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</si>
  <si>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</si>
  <si>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</si>
  <si>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</si>
  <si>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</si>
  <si>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</si>
  <si>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</si>
  <si>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</si>
  <si>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</si>
  <si>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</si>
  <si>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</si>
  <si>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</si>
  <si>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</si>
  <si>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</si>
  <si>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</si>
  <si>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</si>
  <si>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</si>
  <si>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</si>
  <si>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</si>
  <si>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</si>
  <si>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</si>
  <si>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</si>
  <si>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</si>
  <si>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</si>
  <si>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</si>
  <si>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</si>
  <si>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</si>
  <si>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</si>
  <si>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</si>
  <si>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</si>
  <si>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</si>
  <si>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</si>
  <si>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</si>
  <si>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</si>
  <si>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</si>
  <si>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</si>
  <si>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</si>
  <si>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</si>
  <si>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</si>
  <si>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</si>
  <si>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</si>
  <si>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</si>
  <si>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</si>
  <si>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</si>
  <si>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</si>
  <si>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</si>
  <si>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</si>
  <si>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</si>
  <si>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</si>
  <si>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</si>
  <si>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</si>
  <si>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</si>
  <si>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</si>
  <si>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</si>
  <si>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</si>
  <si>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</si>
  <si>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</si>
  <si>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</si>
  <si>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</si>
  <si>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</si>
  <si>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</si>
  <si>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</si>
  <si>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</si>
  <si>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</si>
  <si>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</si>
  <si>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</si>
  <si>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</si>
  <si>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</si>
  <si>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</si>
  <si>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</si>
  <si>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</si>
  <si>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</si>
  <si>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</si>
  <si>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</si>
  <si>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</si>
  <si>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</si>
  <si>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</si>
  <si>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</si>
  <si>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</si>
  <si>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</si>
  <si>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</si>
  <si>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</si>
  <si>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</si>
  <si>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</si>
  <si>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</si>
  <si>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</si>
  <si>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</si>
  <si>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</si>
  <si>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</si>
  <si>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</si>
  <si>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</si>
  <si>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</si>
  <si>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</si>
  <si>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</si>
  <si>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</si>
  <si>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</si>
  <si>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</si>
  <si>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</si>
  <si>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</si>
  <si>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</si>
  <si>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</si>
  <si>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</si>
  <si>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</si>
  <si>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</si>
  <si>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</si>
  <si>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</si>
  <si>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</si>
  <si>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</si>
  <si>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</si>
  <si>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</si>
  <si>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</si>
  <si>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</si>
  <si>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</si>
  <si>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</si>
  <si>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</si>
  <si>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</si>
  <si>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</si>
  <si>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</si>
  <si>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</si>
  <si>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</si>
  <si>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</si>
  <si>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</si>
  <si>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</si>
  <si>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</si>
  <si>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</si>
  <si>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</si>
  <si>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</si>
  <si>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</si>
  <si>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</si>
  <si>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</si>
  <si>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</si>
  <si>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</si>
  <si>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</si>
  <si>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</si>
  <si>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</si>
  <si>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</si>
  <si>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</si>
  <si>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</si>
  <si>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</si>
  <si>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</si>
  <si>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</si>
  <si>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</si>
  <si>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</si>
  <si>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</si>
  <si>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</si>
  <si>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</si>
  <si>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</si>
  <si>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</si>
  <si>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</si>
  <si>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</si>
  <si>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</si>
  <si>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</si>
  <si>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</si>
  <si>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</si>
  <si>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</si>
  <si>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</si>
  <si>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</si>
  <si>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</si>
  <si>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</si>
  <si>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</si>
  <si>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</si>
  <si>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</si>
  <si>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</si>
  <si>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</si>
  <si>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</si>
  <si>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</si>
  <si>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</si>
  <si>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</si>
  <si>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</si>
  <si>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</si>
  <si>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</si>
  <si>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</si>
  <si>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</si>
  <si>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</si>
  <si>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</si>
  <si>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</si>
  <si>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</si>
  <si>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</si>
  <si>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</si>
  <si>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</si>
  <si>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</si>
  <si>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</si>
  <si>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</si>
  <si>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</si>
  <si>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</si>
  <si>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</si>
  <si>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</si>
  <si>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</si>
  <si>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</si>
  <si>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</si>
  <si>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</si>
  <si>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</si>
  <si>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</si>
  <si>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</si>
  <si>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</si>
  <si>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</si>
  <si>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</si>
  <si>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</si>
  <si>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</si>
  <si>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</si>
  <si>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</si>
  <si>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</si>
  <si>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</si>
  <si>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</si>
  <si>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</si>
  <si>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</si>
  <si>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</si>
  <si>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</si>
  <si>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</si>
  <si>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</si>
  <si>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</si>
  <si>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</si>
  <si>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</si>
  <si>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</si>
  <si>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</si>
  <si>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</si>
  <si>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</si>
  <si>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</si>
  <si>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</si>
  <si>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</si>
  <si>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</si>
  <si>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</si>
  <si>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</si>
  <si>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</si>
  <si>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</si>
  <si>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</si>
  <si>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</si>
  <si>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</si>
  <si>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</si>
  <si>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</si>
  <si>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</si>
  <si>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</si>
  <si>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</si>
  <si>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</si>
  <si>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</si>
  <si>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</si>
  <si>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</si>
  <si>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</si>
  <si>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</si>
  <si>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</si>
  <si>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</si>
  <si>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</si>
  <si>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</si>
  <si>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</si>
  <si>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</si>
  <si>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</si>
  <si>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</si>
  <si>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</si>
  <si>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</si>
  <si>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</si>
  <si>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</si>
  <si>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</si>
  <si>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</si>
  <si>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</si>
  <si>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</si>
  <si>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</si>
  <si>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</si>
  <si>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</si>
  <si>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</si>
  <si>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</si>
  <si>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</si>
  <si>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</si>
  <si>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</si>
  <si>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</si>
  <si>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</si>
  <si>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</si>
  <si>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</si>
  <si>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</si>
  <si>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</si>
  <si>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</si>
  <si>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</si>
  <si>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</si>
  <si>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</si>
  <si>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</si>
  <si>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</si>
  <si>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</si>
  <si>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</si>
  <si>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</si>
  <si>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</si>
  <si>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</si>
  <si>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</si>
  <si>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</si>
  <si>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</si>
  <si>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</si>
  <si>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</si>
  <si>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</si>
  <si>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</si>
  <si>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</si>
  <si>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</si>
  <si>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</si>
  <si>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</si>
  <si>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</si>
  <si>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</si>
  <si>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</si>
  <si>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</si>
  <si>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</si>
  <si>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</si>
  <si>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</si>
  <si>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</si>
  <si>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</si>
  <si>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</si>
  <si>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</si>
  <si>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</si>
  <si>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</si>
  <si>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</si>
  <si>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</si>
  <si>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</si>
  <si>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</si>
  <si>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</si>
  <si>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</si>
  <si>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</si>
  <si>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</si>
  <si>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</si>
  <si>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</si>
  <si>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</si>
  <si>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</si>
  <si>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</si>
  <si>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</si>
  <si>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</si>
  <si>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</si>
  <si>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</si>
  <si>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</si>
  <si>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</si>
  <si>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</si>
  <si>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</si>
  <si>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</si>
  <si>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</si>
  <si>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</si>
  <si>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</si>
  <si>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</si>
  <si>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</si>
  <si>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</si>
  <si>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</si>
  <si>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</si>
  <si>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</si>
  <si>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</si>
  <si>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</si>
  <si>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</si>
  <si>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</si>
  <si>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</si>
  <si>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</si>
  <si>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</si>
  <si>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</si>
  <si>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</si>
  <si>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</si>
  <si>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</si>
  <si>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</si>
  <si>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</si>
  <si>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</si>
  <si>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</si>
  <si>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</si>
  <si>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</si>
  <si>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</si>
  <si>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</si>
  <si>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</si>
  <si>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</si>
  <si>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</si>
  <si>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</si>
  <si>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</si>
  <si>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</si>
  <si>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</si>
  <si>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</si>
  <si>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</si>
  <si>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</si>
  <si>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</si>
  <si>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</si>
  <si>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</si>
  <si>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</si>
  <si>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</si>
  <si>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</si>
  <si>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</si>
  <si>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</si>
  <si>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</si>
  <si>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</si>
  <si>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</si>
  <si>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</si>
  <si>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</si>
  <si>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</si>
  <si>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</si>
  <si>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</si>
  <si>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</si>
  <si>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</si>
  <si>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</si>
  <si>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</si>
  <si>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</si>
  <si>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</si>
  <si>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</si>
  <si>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</si>
  <si>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</si>
  <si>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</si>
  <si>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</si>
  <si>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</si>
  <si>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</si>
  <si>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</si>
  <si>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</si>
  <si>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</si>
  <si>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</si>
  <si>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</si>
  <si>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</si>
  <si>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</si>
  <si>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</si>
  <si>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</si>
  <si>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</si>
  <si>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</si>
  <si>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</si>
  <si>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</si>
  <si>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</si>
  <si>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</si>
  <si>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</si>
  <si>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</si>
  <si>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</si>
  <si>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</si>
  <si>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</si>
  <si>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</si>
  <si>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</si>
  <si>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</si>
  <si>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</si>
  <si>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</si>
  <si>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</si>
  <si>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</si>
  <si>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</si>
  <si>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</si>
  <si>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</si>
  <si>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</si>
  <si>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</si>
  <si>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</si>
  <si>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</si>
  <si>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</si>
  <si>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</si>
  <si>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</si>
  <si>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</si>
  <si>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</si>
  <si>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</si>
  <si>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</si>
  <si>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</si>
  <si>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</si>
  <si>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</si>
  <si>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</si>
  <si>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</si>
  <si>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</si>
  <si>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</si>
  <si>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</si>
  <si>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</si>
  <si>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</si>
  <si>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</si>
  <si>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</si>
  <si>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</si>
  <si>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</si>
  <si>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</si>
  <si>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</si>
  <si>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</si>
  <si>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</si>
  <si>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</si>
  <si>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</si>
  <si>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</si>
  <si>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</si>
  <si>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</si>
  <si>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</si>
  <si>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</si>
  <si>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</si>
  <si>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</si>
  <si>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</si>
  <si>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</si>
  <si>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</si>
  <si>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</si>
  <si>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</si>
  <si>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</si>
  <si>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</si>
  <si>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</si>
  <si>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</si>
  <si>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</si>
  <si>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</si>
  <si>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</si>
  <si>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</si>
  <si>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</si>
  <si>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</si>
  <si>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</si>
  <si>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</si>
  <si>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</si>
  <si>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</si>
  <si>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</si>
  <si>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</si>
  <si>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</si>
  <si>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</si>
  <si>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</si>
  <si>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</si>
  <si>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</si>
  <si>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</si>
  <si>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</si>
  <si>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</si>
  <si>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</si>
  <si>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</si>
  <si>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</si>
  <si>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</si>
  <si>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</si>
  <si>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</si>
  <si>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</si>
  <si>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</si>
  <si>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</si>
  <si>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</si>
  <si>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</si>
  <si>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</si>
  <si>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</si>
  <si>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</si>
  <si>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</si>
  <si>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</si>
  <si>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</si>
  <si>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</si>
  <si>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</si>
  <si>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</si>
  <si>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</si>
  <si>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</si>
  <si>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</si>
  <si>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</si>
  <si>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</si>
  <si>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</si>
  <si>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</si>
  <si>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</si>
  <si>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</si>
  <si>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</si>
  <si>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</si>
  <si>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</si>
  <si>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</si>
  <si>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</si>
  <si>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</si>
  <si>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</si>
  <si>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</si>
  <si>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</si>
  <si>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</si>
  <si>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</si>
  <si>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</si>
  <si>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</si>
  <si>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</si>
  <si>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</si>
  <si>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</si>
  <si>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</si>
  <si>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</si>
  <si>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</si>
  <si>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</si>
  <si>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</si>
  <si>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</si>
  <si>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</si>
  <si>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</si>
  <si>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</si>
  <si>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</si>
  <si>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</si>
  <si>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</si>
  <si>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</si>
  <si>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</si>
  <si>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</si>
  <si>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</si>
  <si>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</si>
  <si>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</si>
  <si>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</si>
  <si>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</si>
  <si>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</si>
  <si>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</si>
  <si>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</si>
  <si>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</si>
  <si>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</si>
  <si>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</si>
  <si>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</si>
  <si>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</si>
  <si>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</si>
  <si>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</si>
  <si>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</si>
  <si>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</si>
  <si>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</si>
  <si>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</si>
  <si>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</si>
  <si>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</si>
  <si>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</si>
  <si>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</si>
  <si>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</si>
  <si>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</si>
  <si>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</si>
  <si>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</si>
  <si>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</si>
  <si>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</si>
  <si>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</si>
  <si>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</si>
  <si>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</si>
  <si>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</si>
  <si>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</si>
  <si>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</si>
  <si>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</si>
  <si>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</si>
  <si>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</si>
  <si>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</si>
  <si>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</si>
  <si>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</si>
  <si>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</si>
  <si>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</si>
  <si>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</si>
  <si>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</si>
  <si>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</si>
  <si>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</si>
  <si>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</si>
  <si>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</si>
  <si>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</si>
  <si>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</si>
  <si>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</si>
  <si>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</si>
  <si>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</si>
  <si>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</si>
  <si>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</si>
  <si>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</si>
  <si>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</si>
  <si>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</si>
  <si>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</si>
  <si>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</si>
  <si>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</si>
  <si>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</si>
  <si>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</si>
  <si>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</si>
  <si>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</si>
  <si>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</si>
  <si>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</si>
  <si>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</si>
  <si>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</si>
  <si>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</si>
  <si>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</si>
  <si>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</si>
  <si>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</si>
  <si>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</si>
  <si>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</si>
  <si>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</si>
  <si>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</si>
  <si>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</si>
  <si>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</si>
  <si>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</si>
  <si>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</si>
  <si>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</si>
  <si>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</si>
  <si>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</si>
  <si>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</si>
  <si>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</si>
  <si>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</si>
  <si>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</si>
  <si>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</si>
  <si>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</si>
  <si>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</si>
  <si>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</si>
  <si>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</si>
  <si>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</si>
  <si>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</si>
  <si>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</si>
  <si>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</si>
  <si>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</si>
  <si>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</si>
  <si>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</si>
  <si>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</si>
  <si>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</si>
  <si>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</si>
  <si>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</si>
  <si>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</si>
  <si>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</si>
  <si>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</si>
  <si>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</si>
  <si>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</si>
  <si>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</si>
  <si>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</si>
  <si>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</si>
  <si>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</si>
  <si>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</si>
  <si>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</si>
  <si>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</si>
  <si>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</si>
  <si>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</si>
  <si>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</si>
  <si>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</si>
  <si>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</si>
  <si>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</si>
  <si>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</si>
  <si>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</si>
  <si>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</si>
  <si>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</si>
  <si>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</si>
  <si>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</si>
  <si>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</si>
  <si>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</si>
  <si>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</si>
  <si>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</si>
  <si>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</si>
  <si>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</si>
  <si>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</si>
  <si>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</si>
  <si>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</si>
  <si>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</si>
  <si>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</si>
  <si>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</si>
  <si>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</si>
  <si>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</si>
  <si>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</si>
  <si>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</si>
  <si>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</si>
  <si>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</si>
  <si>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</si>
  <si>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</si>
  <si>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</si>
  <si>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</si>
  <si>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</si>
  <si>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</si>
  <si>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</si>
  <si>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</si>
  <si>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</si>
  <si>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</si>
  <si>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</si>
  <si>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</si>
  <si>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</si>
  <si>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</si>
  <si>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</si>
  <si>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</si>
  <si>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</si>
  <si>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</si>
  <si>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</si>
  <si>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</si>
  <si>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</si>
  <si>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</si>
  <si>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</si>
  <si>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</si>
  <si>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</si>
  <si>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</si>
  <si>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</si>
  <si>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</si>
  <si>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</si>
  <si>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</si>
  <si>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</si>
  <si>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</si>
  <si>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</si>
  <si>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</si>
  <si>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</si>
  <si>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</si>
  <si>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</si>
  <si>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</si>
  <si>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</si>
  <si>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</si>
  <si>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</si>
  <si>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</si>
  <si>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</si>
  <si>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</si>
  <si>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</si>
  <si>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</si>
  <si>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</si>
  <si>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</si>
  <si>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</si>
  <si>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</si>
  <si>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</si>
  <si>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</si>
  <si>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</si>
  <si>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</si>
  <si>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</si>
  <si>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</si>
  <si>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</si>
  <si>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</si>
  <si>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</si>
  <si>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</si>
  <si>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</si>
  <si>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</si>
  <si>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</si>
  <si>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</si>
  <si>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</si>
  <si>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</si>
  <si>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</si>
  <si>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</si>
  <si>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</si>
  <si>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</si>
  <si>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</si>
  <si>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</si>
  <si>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</si>
  <si>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</si>
  <si>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</si>
  <si>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</si>
  <si>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</si>
  <si>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</si>
  <si>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</si>
  <si>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</si>
  <si>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</si>
  <si>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</si>
  <si>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</si>
  <si>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</si>
  <si>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</si>
  <si>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</si>
  <si>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</si>
  <si>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</si>
  <si>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</si>
  <si>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</si>
  <si>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</si>
  <si>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</si>
  <si>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</si>
  <si>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</si>
  <si>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</si>
  <si>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</si>
  <si>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</si>
  <si>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</si>
  <si>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</si>
  <si>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</si>
  <si>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</si>
  <si>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</si>
  <si>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</si>
  <si>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</si>
  <si>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</si>
  <si>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</si>
  <si>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</si>
  <si>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</si>
  <si>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</si>
  <si>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</si>
  <si>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</si>
  <si>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</si>
  <si>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</si>
  <si>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</si>
  <si>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</si>
  <si>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</si>
  <si>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</si>
  <si>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</si>
  <si>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</si>
  <si>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</si>
  <si>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</si>
  <si>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</si>
  <si>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</si>
  <si>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</si>
  <si>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</si>
  <si>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</si>
  <si>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</si>
  <si>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</si>
  <si>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</si>
  <si>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</si>
  <si>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</si>
  <si>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</si>
  <si>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</si>
  <si>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</si>
  <si>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</si>
  <si>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</si>
  <si>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</si>
  <si>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</si>
  <si>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</si>
  <si>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</si>
  <si>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</si>
  <si>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</si>
  <si>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</si>
  <si>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</si>
  <si>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</si>
  <si>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</si>
  <si>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</si>
  <si>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</si>
  <si>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</si>
  <si>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</si>
  <si>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</si>
  <si>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</si>
  <si>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</si>
  <si>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</si>
  <si>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</si>
  <si>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</si>
  <si>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</si>
  <si>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</si>
  <si>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</si>
  <si>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</si>
  <si>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</si>
  <si>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</si>
  <si>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</si>
  <si>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</si>
  <si>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</si>
  <si>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</si>
  <si>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</si>
  <si>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</si>
  <si>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</si>
  <si>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</si>
  <si>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</si>
  <si>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</si>
  <si>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</si>
  <si>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</si>
  <si>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</si>
  <si>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</si>
  <si>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</si>
  <si>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</si>
  <si>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</si>
  <si>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</si>
  <si>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</si>
  <si>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</si>
  <si>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</si>
  <si>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</si>
  <si>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</si>
  <si>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</si>
  <si>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</si>
  <si>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</si>
  <si>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</si>
  <si>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</si>
  <si>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</si>
  <si>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</si>
  <si>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</si>
  <si>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</si>
  <si>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</si>
  <si>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</si>
  <si>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</si>
  <si>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</si>
  <si>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</si>
  <si>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</si>
  <si>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</si>
  <si>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</si>
  <si>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</si>
  <si>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</si>
  <si>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</si>
  <si>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</si>
  <si>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</si>
  <si>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</si>
  <si>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</si>
  <si>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</si>
  <si>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</si>
  <si>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</si>
  <si>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</si>
  <si>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</si>
  <si>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</si>
  <si>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</si>
  <si>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</si>
  <si>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</si>
  <si>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</si>
  <si>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</si>
  <si>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</si>
  <si>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</si>
  <si>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</si>
  <si>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</si>
  <si>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</si>
  <si>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</si>
  <si>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</si>
  <si>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</si>
  <si>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</si>
  <si>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</si>
  <si>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</si>
  <si>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</si>
  <si>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</si>
  <si>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</si>
  <si>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</si>
  <si>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</si>
  <si>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</si>
  <si>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</si>
  <si>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</si>
  <si>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</si>
  <si>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</si>
  <si>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</si>
  <si>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</si>
  <si>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</si>
  <si>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</si>
  <si>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</si>
  <si>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</si>
  <si>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</si>
  <si>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</si>
  <si>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</si>
  <si>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</si>
  <si>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</si>
  <si>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</si>
  <si>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</si>
  <si>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</si>
  <si>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</si>
  <si>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</si>
  <si>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</si>
  <si>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</si>
  <si>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</si>
  <si>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</si>
  <si>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</si>
  <si>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</si>
  <si>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</si>
  <si>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</si>
  <si>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</si>
  <si>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</si>
  <si>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</si>
  <si>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</si>
  <si>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</si>
  <si>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</si>
  <si>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</si>
  <si>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</si>
  <si>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</si>
  <si>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</si>
  <si>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</si>
  <si>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</si>
  <si>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</si>
  <si>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</si>
  <si>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</si>
  <si>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</si>
  <si>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</si>
  <si>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</si>
  <si>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</si>
  <si>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</si>
  <si>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</si>
  <si>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</si>
  <si>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</si>
  <si>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</si>
  <si>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</si>
  <si>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</si>
  <si>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</si>
  <si>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</si>
  <si>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</si>
  <si>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</si>
  <si>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</si>
  <si>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</si>
  <si>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</si>
  <si>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</si>
  <si>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</si>
  <si>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</si>
  <si>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</si>
  <si>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</si>
  <si>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</si>
  <si>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</si>
  <si>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</si>
  <si>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</si>
  <si>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</si>
  <si>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</si>
  <si>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</si>
  <si>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</si>
  <si>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</si>
  <si>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</si>
  <si>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</si>
  <si>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</si>
  <si>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</si>
  <si>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</si>
  <si>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</si>
  <si>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</si>
  <si>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</si>
  <si>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</si>
  <si>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</si>
  <si>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</si>
  <si>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</si>
  <si>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</si>
  <si>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</si>
  <si>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</si>
  <si>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</si>
  <si>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</si>
  <si>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</si>
  <si>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</si>
  <si>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</si>
  <si>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</si>
  <si>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</si>
  <si>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</si>
  <si>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</si>
  <si>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</si>
  <si>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</si>
  <si>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</si>
  <si>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</si>
  <si>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</si>
  <si>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</si>
  <si>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</si>
  <si>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</si>
  <si>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</si>
  <si>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</si>
  <si>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</si>
  <si>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</si>
  <si>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</si>
  <si>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</si>
  <si>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</si>
  <si>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</si>
  <si>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</si>
  <si>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</si>
  <si>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</si>
  <si>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</si>
  <si>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</si>
  <si>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</si>
  <si>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</si>
  <si>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</si>
  <si>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</si>
  <si>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</si>
  <si>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</si>
  <si>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</si>
  <si>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</si>
  <si>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</si>
  <si>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</si>
  <si>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</si>
  <si>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</si>
  <si>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</si>
  <si>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</si>
  <si>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</si>
  <si>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</si>
  <si>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</si>
  <si>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</si>
  <si>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</si>
  <si>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</si>
  <si>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</si>
  <si>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</si>
  <si>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</si>
  <si>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</si>
  <si>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</si>
  <si>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</si>
  <si>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</si>
  <si>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</si>
  <si>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</si>
  <si>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</si>
  <si>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</si>
  <si>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</si>
  <si>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</si>
  <si>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</si>
  <si>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</si>
  <si>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</si>
  <si>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</si>
  <si>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</si>
  <si>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</si>
  <si>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</si>
  <si>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</si>
  <si>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</si>
  <si>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</si>
  <si>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</si>
  <si>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</si>
  <si>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</si>
  <si>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</si>
  <si>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</si>
  <si>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</si>
  <si>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</si>
  <si>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</si>
  <si>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</si>
  <si>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</si>
  <si>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</si>
  <si>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</si>
  <si>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</si>
  <si>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</si>
  <si>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</si>
  <si>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</si>
  <si>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</si>
  <si>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</si>
  <si>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</si>
  <si>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</si>
  <si>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</si>
  <si>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</si>
  <si>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</si>
  <si>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</si>
  <si>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</si>
  <si>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</si>
  <si>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</si>
  <si>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</si>
  <si>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</si>
  <si>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</si>
  <si>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</si>
  <si>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</si>
  <si>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</si>
  <si>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</si>
  <si>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</si>
  <si>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</si>
  <si>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</si>
  <si>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</si>
  <si>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</si>
  <si>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</si>
  <si>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</si>
  <si>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</si>
  <si>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</si>
  <si>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</si>
  <si>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</si>
  <si>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</si>
  <si>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</si>
  <si>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</si>
  <si>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</si>
  <si>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</si>
  <si>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</si>
  <si>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</si>
  <si>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</si>
  <si>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</si>
  <si>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</si>
  <si>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</si>
  <si>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</si>
  <si>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</si>
  <si>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</si>
  <si>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</si>
  <si>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</si>
  <si>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</si>
  <si>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</si>
  <si>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</si>
  <si>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</si>
  <si>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</si>
  <si>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</si>
  <si>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</si>
  <si>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</si>
  <si>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</si>
  <si>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</si>
  <si>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</si>
  <si>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</si>
  <si>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</si>
  <si>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</si>
  <si>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</si>
  <si>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</si>
  <si>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</si>
  <si>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</si>
  <si>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</si>
  <si>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</si>
  <si>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</si>
  <si>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</si>
  <si>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</si>
  <si>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</si>
  <si>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</si>
  <si>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</si>
  <si>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</si>
  <si>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</si>
  <si>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</si>
  <si>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</si>
  <si>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</si>
  <si>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</si>
  <si>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</si>
  <si>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</si>
  <si>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</si>
  <si>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</si>
  <si>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</si>
  <si>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</si>
  <si>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</si>
  <si>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</si>
  <si>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</si>
  <si>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</si>
  <si>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</si>
  <si>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</si>
  <si>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</si>
  <si>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</si>
  <si>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</si>
  <si>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</si>
  <si>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</si>
  <si>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</si>
  <si>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</si>
  <si>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</si>
  <si>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</si>
  <si>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</si>
  <si>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</si>
  <si>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</si>
  <si>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</si>
  <si>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</si>
  <si>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</si>
  <si>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</si>
  <si>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</si>
  <si>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</si>
  <si>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</si>
  <si>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</si>
  <si>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</si>
  <si>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</si>
  <si>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</si>
  <si>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</si>
  <si>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</si>
  <si>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</si>
  <si>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</si>
  <si>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</si>
  <si>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</si>
  <si>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</si>
  <si>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</si>
  <si>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</si>
  <si>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</si>
  <si>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</si>
  <si>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</si>
  <si>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</si>
  <si>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</si>
  <si>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</si>
  <si>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</si>
  <si>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</si>
  <si>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</si>
  <si>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</si>
  <si>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</si>
  <si>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</si>
  <si>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</si>
  <si>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</si>
  <si>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</si>
  <si>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</si>
  <si>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</si>
  <si>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</si>
  <si>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</si>
  <si>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</si>
  <si>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</si>
  <si>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</si>
  <si>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</si>
  <si>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</si>
  <si>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</si>
  <si>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</si>
  <si>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</si>
  <si>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</si>
  <si>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</si>
  <si>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</si>
  <si>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</si>
  <si>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</si>
  <si>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</si>
  <si>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</si>
  <si>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</si>
  <si>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</si>
  <si>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</si>
  <si>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</si>
  <si>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</si>
  <si>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</si>
  <si>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</si>
  <si>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</si>
  <si>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</si>
  <si>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</si>
  <si>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</si>
  <si>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</si>
  <si>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</si>
  <si>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</si>
  <si>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</si>
  <si>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</si>
  <si>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</si>
  <si>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</si>
  <si>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</si>
  <si>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</si>
  <si>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</si>
  <si>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</si>
  <si>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</si>
  <si>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</si>
  <si>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</si>
  <si>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</si>
  <si>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</si>
  <si>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</si>
  <si>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</si>
  <si>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</si>
  <si>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</si>
  <si>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</si>
  <si>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</si>
  <si>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</si>
  <si>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</si>
  <si>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</si>
  <si>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</si>
  <si>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</si>
  <si>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</si>
  <si>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</si>
  <si>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</si>
  <si>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</si>
  <si>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</si>
  <si>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</si>
  <si>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</si>
  <si>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</si>
  <si>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</si>
  <si>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</si>
  <si>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</si>
  <si>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</si>
  <si>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</si>
  <si>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</si>
  <si>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</si>
  <si>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</si>
  <si>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</si>
  <si>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</si>
  <si>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</si>
  <si>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</si>
  <si>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</si>
  <si>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</si>
  <si>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</si>
  <si>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</si>
  <si>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</si>
  <si>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</si>
  <si>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</si>
  <si>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</si>
  <si>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</si>
  <si>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</si>
  <si>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</si>
  <si>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</si>
  <si>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</si>
  <si>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</si>
  <si>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</si>
  <si>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</si>
  <si>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</si>
  <si>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</si>
  <si>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</si>
  <si>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</si>
  <si>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</si>
  <si>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</si>
  <si>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</si>
  <si>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</si>
  <si>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</si>
  <si>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</si>
  <si>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</si>
  <si>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</si>
  <si>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</si>
  <si>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</si>
  <si>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</si>
  <si>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</si>
  <si>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</si>
  <si>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</si>
  <si>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</si>
  <si>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</si>
  <si>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</si>
  <si>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</si>
  <si>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</si>
  <si>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</si>
  <si>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</si>
  <si>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</si>
  <si>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</si>
  <si>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</si>
  <si>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</si>
  <si>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</si>
  <si>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</si>
  <si>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</si>
  <si>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</si>
  <si>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</si>
  <si>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</si>
  <si>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</si>
  <si>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</si>
  <si>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</si>
  <si>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</si>
  <si>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</si>
  <si>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</si>
  <si>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</si>
  <si>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</si>
  <si>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</si>
  <si>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</si>
  <si>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</si>
  <si>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</si>
  <si>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</si>
  <si>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</si>
  <si>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</si>
  <si>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</si>
  <si>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</si>
  <si>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</si>
  <si>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</si>
  <si>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</si>
  <si>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</si>
  <si>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</si>
  <si>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</si>
  <si>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</si>
  <si>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</si>
  <si>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</si>
  <si>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</si>
  <si>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</si>
  <si>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</si>
  <si>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</si>
  <si>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</si>
  <si>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</si>
  <si>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</si>
  <si>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</si>
  <si>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</si>
  <si>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</si>
  <si>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</si>
  <si>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</si>
  <si>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</si>
  <si>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</si>
  <si>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</si>
  <si>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</si>
  <si>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</si>
  <si>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</si>
  <si>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</si>
  <si>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</si>
  <si>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</si>
  <si>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</si>
  <si>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</si>
  <si>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</si>
  <si>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</si>
  <si>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</si>
  <si>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</si>
  <si>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</si>
  <si>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</si>
  <si>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</si>
  <si>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</si>
  <si>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</si>
  <si>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</si>
  <si>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</si>
  <si>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</si>
  <si>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</si>
  <si>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</si>
  <si>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</si>
  <si>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</si>
  <si>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</si>
  <si>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</si>
  <si>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</si>
  <si>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</si>
  <si>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</si>
  <si>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</si>
  <si>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</si>
  <si>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</si>
  <si>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</si>
  <si>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</si>
  <si>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</si>
  <si>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</si>
  <si>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</si>
  <si>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</si>
  <si>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</si>
  <si>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</si>
  <si>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</si>
  <si>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</si>
  <si>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</si>
  <si>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</si>
  <si>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</si>
  <si>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</si>
  <si>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</si>
  <si>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</si>
  <si>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</si>
  <si>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</si>
  <si>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</si>
  <si>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</si>
  <si>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</si>
  <si>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</si>
  <si>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</si>
  <si>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</si>
  <si>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</si>
  <si>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</si>
  <si>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</si>
  <si>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</si>
  <si>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</si>
  <si>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</si>
  <si>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</si>
  <si>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</si>
  <si>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</si>
  <si>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</si>
  <si>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</si>
  <si>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</si>
  <si>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</si>
  <si>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</si>
  <si>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</si>
  <si>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</si>
  <si>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</si>
  <si>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</si>
  <si>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</si>
  <si>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</si>
  <si>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</si>
  <si>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</si>
  <si>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</si>
  <si>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</si>
  <si>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</si>
  <si>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</si>
  <si>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</si>
  <si>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</si>
  <si>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</si>
  <si>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</si>
  <si>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</si>
  <si>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</si>
  <si>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</si>
  <si>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</si>
  <si>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</si>
  <si>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</si>
  <si>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</si>
  <si>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</si>
  <si>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</si>
  <si>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</si>
  <si>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</si>
  <si>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</si>
  <si>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</si>
  <si>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</si>
  <si>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</si>
  <si>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</si>
  <si>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</si>
  <si>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</si>
  <si>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</si>
  <si>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</si>
  <si>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</si>
  <si>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</si>
  <si>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</si>
  <si>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</si>
  <si>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</si>
  <si>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</si>
  <si>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</si>
  <si>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</si>
  <si>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</si>
  <si>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</si>
  <si>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</si>
  <si>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</si>
  <si>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</si>
  <si>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</si>
  <si>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</si>
  <si>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</si>
  <si>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</si>
  <si>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</si>
  <si>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</si>
  <si>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</si>
  <si>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</si>
  <si>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</si>
  <si>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</si>
  <si>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</si>
  <si>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</si>
  <si>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</si>
  <si>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</si>
  <si>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</si>
  <si>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</si>
  <si>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</si>
  <si>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</si>
  <si>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</si>
  <si>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</si>
  <si>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</si>
  <si>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</si>
  <si>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</si>
  <si>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</si>
  <si>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</si>
  <si>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</si>
  <si>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</si>
  <si>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</si>
  <si>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</si>
  <si>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</si>
  <si>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</si>
  <si>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</si>
  <si>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</si>
  <si>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</si>
  <si>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</si>
  <si>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</si>
  <si>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</si>
  <si>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</si>
  <si>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</si>
  <si>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</si>
  <si>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</si>
  <si>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</si>
  <si>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</si>
  <si>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</si>
  <si>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</si>
  <si>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</si>
  <si>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</si>
  <si>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</si>
  <si>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</si>
  <si>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</si>
  <si>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</si>
  <si>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</si>
  <si>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</si>
  <si>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</si>
  <si>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</si>
  <si>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</si>
  <si>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</si>
  <si>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</si>
  <si>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</si>
  <si>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</si>
  <si>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</si>
  <si>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</si>
  <si>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</si>
  <si>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</si>
  <si>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</si>
  <si>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</si>
  <si>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</si>
  <si>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</si>
  <si>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</si>
  <si>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</si>
  <si>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</si>
  <si>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</si>
  <si>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</si>
  <si>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</si>
  <si>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</si>
  <si>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</si>
  <si>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</si>
  <si>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</si>
  <si>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</si>
  <si>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</si>
  <si>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</si>
  <si>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</si>
  <si>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</si>
  <si>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</si>
  <si>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</si>
  <si>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</si>
  <si>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</si>
  <si>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</si>
  <si>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</si>
  <si>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</si>
  <si>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</si>
  <si>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</si>
  <si>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</si>
  <si>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</si>
  <si>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</si>
  <si>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</si>
  <si>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</si>
  <si>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</si>
  <si>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</si>
  <si>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</si>
  <si>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</si>
  <si>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</si>
  <si>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</si>
  <si>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</si>
  <si>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</si>
  <si>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</si>
  <si>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</si>
  <si>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</si>
  <si>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</si>
  <si>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</si>
  <si>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</si>
  <si>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</si>
  <si>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</si>
  <si>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</si>
  <si>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</si>
  <si>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</si>
  <si>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</si>
  <si>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</si>
  <si>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</si>
  <si>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</si>
  <si>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</si>
  <si>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</si>
  <si>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</si>
  <si>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</si>
  <si>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</si>
  <si>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</si>
  <si>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</si>
  <si>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</si>
  <si>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</si>
  <si>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</si>
  <si>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</si>
  <si>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</si>
  <si>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</si>
  <si>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</si>
  <si>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</si>
  <si>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</si>
  <si>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</si>
  <si>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</si>
  <si>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</si>
  <si>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</si>
  <si>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</si>
  <si>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</si>
  <si>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</si>
  <si>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</si>
  <si>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</si>
  <si>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</si>
  <si>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</si>
  <si>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</si>
  <si>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</si>
  <si>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</si>
  <si>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</si>
  <si>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</si>
  <si>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</si>
  <si>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</si>
  <si>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</si>
  <si>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</si>
  <si>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</si>
  <si>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</si>
  <si>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</si>
  <si>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</si>
  <si>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</si>
  <si>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</si>
  <si>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</si>
  <si>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</si>
  <si>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</si>
  <si>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</si>
  <si>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</si>
  <si>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</si>
  <si>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</si>
  <si>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</si>
  <si>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</si>
  <si>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</si>
  <si>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</si>
  <si>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</si>
  <si>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</si>
  <si>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</si>
  <si>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</si>
  <si>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</si>
  <si>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</si>
  <si>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</si>
  <si>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</si>
  <si>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</si>
  <si>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</si>
  <si>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</si>
  <si>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</si>
  <si>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</si>
  <si>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</si>
  <si>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</si>
  <si>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</si>
  <si>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</si>
  <si>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</si>
  <si>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</si>
  <si>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</si>
  <si>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</si>
  <si>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</si>
  <si>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</si>
  <si>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</si>
  <si>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</si>
  <si>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</si>
  <si>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</si>
  <si>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</si>
  <si>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</si>
  <si>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</si>
  <si>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</si>
  <si>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</si>
  <si>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</si>
  <si>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</si>
  <si>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</si>
  <si>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</si>
  <si>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</si>
  <si>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</si>
  <si>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</si>
  <si>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</si>
  <si>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</si>
  <si>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</si>
  <si>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</si>
  <si>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</si>
  <si>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</si>
  <si>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</si>
  <si>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</si>
  <si>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</si>
  <si>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</si>
  <si>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</si>
  <si>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</si>
  <si>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</si>
  <si>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</si>
  <si>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</si>
  <si>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</si>
  <si>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</si>
  <si>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</si>
  <si>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</si>
  <si>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</si>
  <si>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</si>
  <si>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</si>
  <si>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</si>
  <si>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</si>
  <si>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</si>
  <si>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</si>
  <si>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</si>
  <si>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</si>
  <si>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</si>
  <si>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</si>
  <si>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</si>
  <si>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</si>
  <si>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</si>
  <si>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</si>
  <si>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</si>
  <si>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</si>
  <si>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</si>
  <si>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</si>
  <si>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</si>
  <si>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</si>
  <si>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</si>
  <si>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</si>
  <si>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</si>
  <si>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</si>
  <si>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</si>
  <si>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</si>
  <si>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</si>
  <si>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</si>
  <si>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</si>
  <si>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</si>
  <si>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</si>
  <si>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</si>
  <si>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</si>
  <si>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</si>
  <si>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</si>
  <si>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</si>
  <si>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</si>
  <si>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</si>
  <si>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</si>
  <si>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</si>
  <si>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</si>
  <si>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</si>
  <si>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</si>
  <si>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</si>
  <si>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</si>
  <si>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</si>
  <si>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</si>
  <si>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</si>
  <si>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</si>
  <si>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</si>
  <si>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</si>
  <si>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</si>
  <si>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</si>
  <si>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</si>
  <si>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</si>
  <si>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</si>
  <si>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</si>
  <si>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</si>
  <si>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</si>
  <si>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</si>
  <si>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</si>
  <si>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</si>
  <si>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</si>
  <si>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</si>
  <si>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</si>
  <si>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</si>
  <si>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</si>
  <si>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</si>
  <si>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</si>
  <si>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</si>
  <si>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</si>
  <si>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</si>
  <si>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</si>
  <si>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</si>
  <si>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</si>
  <si>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</si>
  <si>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</si>
  <si>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</si>
  <si>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</si>
  <si>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</si>
  <si>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</si>
  <si>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</si>
  <si>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</si>
  <si>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</si>
  <si>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</si>
  <si>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</si>
  <si>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</si>
  <si>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</si>
  <si>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</si>
  <si>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</si>
  <si>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</si>
  <si>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</si>
  <si>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</si>
  <si>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</si>
  <si>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</si>
  <si>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</si>
  <si>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</si>
  <si>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</si>
  <si>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</si>
  <si>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</si>
  <si>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</si>
  <si>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</si>
  <si>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</si>
  <si>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</si>
  <si>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</si>
  <si>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</si>
  <si>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</si>
  <si>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</si>
  <si>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</si>
  <si>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</si>
  <si>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</si>
  <si>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</si>
  <si>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</si>
  <si>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</si>
  <si>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</si>
  <si>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</si>
  <si>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</si>
  <si>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</si>
  <si>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</si>
  <si>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</si>
  <si>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</si>
  <si>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</si>
  <si>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</si>
  <si>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</si>
  <si>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</si>
  <si>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</si>
  <si>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</si>
  <si>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</si>
  <si>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</si>
  <si>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</si>
  <si>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</si>
  <si>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</si>
  <si>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</si>
  <si>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</si>
  <si>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</si>
  <si>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</si>
  <si>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</si>
  <si>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</si>
  <si>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</si>
  <si>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</si>
  <si>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</si>
  <si>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</si>
  <si>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</si>
  <si>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</si>
  <si>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</si>
  <si>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</si>
  <si>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</si>
  <si>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</si>
  <si>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</si>
  <si>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</si>
  <si>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</si>
  <si>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</si>
  <si>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</si>
  <si>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</si>
  <si>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</si>
  <si>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</si>
  <si>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</si>
  <si>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</si>
  <si>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</si>
  <si>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</si>
  <si>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</si>
  <si>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</si>
  <si>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</si>
  <si>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</si>
  <si>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</si>
  <si>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</si>
  <si>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</si>
  <si>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</si>
  <si>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</si>
  <si>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</si>
  <si>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</si>
  <si>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</si>
  <si>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</si>
  <si>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</si>
  <si>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</si>
  <si>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</si>
  <si>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</si>
  <si>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</si>
  <si>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</si>
  <si>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</si>
  <si>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</si>
  <si>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</si>
  <si>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</si>
  <si>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</si>
  <si>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</si>
  <si>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</si>
  <si>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</si>
  <si>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</si>
  <si>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</si>
  <si>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</si>
  <si>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</si>
  <si>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</si>
  <si>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</si>
  <si>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</si>
  <si>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</si>
  <si>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</si>
  <si>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</si>
  <si>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</si>
  <si>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</si>
  <si>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</si>
  <si>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</si>
  <si>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</si>
  <si>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</si>
  <si>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</si>
  <si>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</si>
  <si>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</si>
  <si>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</si>
  <si>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</si>
  <si>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</si>
  <si>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</si>
  <si>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</si>
  <si>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</si>
  <si>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</si>
  <si>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</si>
  <si>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</si>
  <si>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</si>
  <si>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</si>
  <si>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</si>
  <si>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</si>
  <si>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</si>
  <si>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</si>
  <si>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</si>
  <si>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</si>
  <si>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</si>
  <si>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</si>
  <si>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</si>
  <si>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</si>
  <si>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</si>
  <si>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</si>
  <si>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</si>
  <si>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</si>
  <si>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</si>
  <si>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</si>
  <si>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</si>
  <si>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</si>
  <si>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</si>
  <si>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</si>
  <si>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</si>
  <si>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</si>
  <si>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</si>
  <si>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</si>
  <si>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</si>
  <si>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</si>
  <si>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</si>
  <si>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</si>
  <si>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</si>
  <si>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</si>
  <si>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</si>
  <si>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</si>
  <si>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</si>
  <si>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</si>
  <si>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</si>
  <si>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</si>
  <si>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</si>
  <si>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</si>
  <si>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</si>
  <si>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</si>
  <si>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</si>
  <si>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</si>
  <si>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</si>
  <si>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</si>
  <si>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</si>
  <si>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</si>
  <si>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</si>
  <si>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</si>
  <si>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</si>
  <si>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</si>
  <si>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</si>
  <si>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</si>
  <si>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</si>
  <si>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</si>
  <si>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</si>
  <si>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</si>
  <si>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</si>
  <si>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</si>
  <si>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</si>
  <si>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</si>
  <si>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</si>
  <si>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</si>
  <si>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</si>
  <si>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</si>
  <si>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</si>
  <si>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</si>
  <si>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</si>
  <si>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</si>
  <si>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</si>
  <si>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</si>
  <si>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</si>
  <si>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</si>
  <si>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</si>
  <si>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</si>
  <si>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</si>
  <si>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</si>
  <si>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</si>
  <si>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</si>
  <si>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</si>
  <si>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</si>
  <si>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</si>
  <si>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</si>
  <si>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</si>
  <si>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</si>
  <si>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</si>
  <si>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</si>
  <si>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</si>
  <si>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</si>
  <si>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</si>
  <si>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</si>
  <si>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</si>
  <si>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</si>
  <si>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</si>
  <si>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</si>
  <si>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</si>
  <si>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</si>
  <si>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</si>
  <si>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</si>
  <si>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</si>
  <si>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</si>
  <si>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</si>
  <si>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</si>
  <si>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</si>
  <si>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</si>
  <si>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</si>
  <si>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</si>
  <si>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</si>
  <si>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</si>
  <si>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</si>
  <si>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</si>
  <si>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</si>
  <si>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</si>
  <si>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</si>
  <si>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</si>
  <si>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</si>
  <si>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</si>
  <si>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</si>
  <si>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</si>
  <si>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</si>
  <si>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</si>
  <si>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</si>
  <si>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</si>
  <si>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</si>
  <si>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</si>
  <si>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</si>
  <si>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</si>
  <si>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</si>
  <si>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</si>
  <si>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</si>
  <si>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</si>
  <si>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</si>
  <si>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</si>
  <si>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</si>
  <si>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</si>
  <si>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</si>
  <si>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</si>
  <si>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</si>
  <si>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</si>
  <si>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</si>
  <si>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</si>
  <si>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</si>
  <si>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</si>
  <si>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</si>
  <si>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</si>
  <si>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</si>
  <si>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</si>
  <si>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</si>
  <si>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</si>
  <si>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</si>
  <si>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</si>
  <si>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</si>
  <si>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</si>
  <si>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</si>
  <si>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</si>
  <si>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</si>
  <si>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</si>
  <si>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</si>
  <si>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</si>
  <si>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</si>
  <si>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</si>
  <si>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</si>
  <si>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</si>
  <si>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</si>
  <si>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</si>
  <si>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</si>
  <si>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</si>
  <si>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</si>
  <si>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</si>
  <si>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</si>
  <si>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</si>
  <si>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</si>
  <si>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</si>
  <si>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</si>
  <si>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</si>
  <si>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</si>
  <si>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</si>
  <si>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</si>
  <si>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</si>
  <si>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</si>
  <si>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</si>
  <si>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</si>
  <si>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</si>
  <si>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</si>
  <si>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</si>
  <si>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</si>
  <si>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</si>
  <si>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</si>
  <si>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</si>
  <si>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</si>
  <si>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</si>
  <si>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</si>
  <si>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</si>
  <si>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</si>
  <si>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</si>
  <si>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</si>
  <si>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</si>
  <si>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</si>
  <si>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</si>
  <si>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</si>
  <si>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</si>
  <si>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</si>
  <si>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</si>
  <si>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</si>
  <si>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</si>
  <si>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</si>
  <si>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</si>
  <si>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</si>
  <si>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</si>
  <si>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</si>
  <si>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</si>
  <si>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</si>
  <si>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</si>
  <si>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</si>
  <si>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</si>
  <si>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</si>
  <si>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</si>
  <si>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</si>
  <si>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</si>
  <si>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</si>
  <si>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</si>
  <si>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</si>
  <si>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</si>
  <si>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</si>
  <si>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</si>
  <si>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</si>
  <si>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</si>
  <si>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</si>
  <si>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</si>
  <si>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</si>
  <si>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</si>
  <si>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</si>
  <si>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</si>
  <si>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</si>
  <si>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</si>
  <si>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</si>
  <si>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</si>
  <si>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</si>
  <si>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</si>
  <si>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</si>
  <si>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</si>
  <si>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</si>
  <si>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</si>
  <si>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</si>
  <si>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</si>
  <si>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</si>
  <si>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</si>
  <si>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</si>
  <si>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</si>
  <si>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</si>
  <si>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</si>
  <si>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</si>
  <si>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</si>
  <si>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</si>
  <si>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</si>
  <si>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</si>
  <si>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</si>
  <si>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</si>
  <si>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</si>
  <si>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</si>
  <si>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</si>
  <si>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</si>
  <si>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</si>
  <si>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</si>
  <si>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</si>
  <si>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</si>
  <si>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</si>
  <si>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</si>
  <si>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</si>
  <si>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</si>
  <si>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</si>
  <si>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</si>
  <si>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</si>
  <si>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</si>
  <si>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</si>
  <si>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</si>
  <si>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</si>
  <si>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</si>
  <si>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</si>
  <si>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</si>
  <si>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</si>
  <si>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</si>
  <si>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</si>
  <si>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</si>
  <si>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</si>
  <si>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</si>
  <si>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</si>
  <si>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</si>
  <si>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</si>
  <si>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</si>
  <si>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</si>
  <si>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</si>
  <si>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</si>
  <si>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</si>
  <si>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</si>
  <si>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</si>
  <si>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</si>
  <si>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</si>
  <si>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</si>
  <si>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</si>
  <si>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</si>
  <si>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</si>
  <si>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</si>
  <si>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</si>
  <si>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</si>
  <si>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</si>
  <si>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</si>
  <si>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</si>
  <si>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</si>
  <si>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</si>
  <si>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</si>
  <si>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</si>
  <si>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</si>
  <si>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</si>
  <si>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</si>
  <si>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</si>
  <si>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</si>
  <si>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</si>
  <si>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</si>
  <si>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</si>
  <si>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</si>
  <si>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</si>
  <si>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</si>
  <si>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</si>
  <si>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</si>
  <si>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</si>
  <si>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</si>
  <si>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</si>
  <si>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</si>
  <si>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</si>
  <si>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</si>
  <si>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</si>
  <si>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</si>
  <si>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</si>
  <si>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</si>
  <si>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</si>
  <si>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</si>
  <si>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</si>
  <si>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</si>
  <si>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</si>
  <si>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</si>
  <si>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</si>
  <si>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</si>
  <si>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</si>
  <si>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</si>
  <si>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</si>
  <si>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</si>
  <si>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</si>
  <si>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</si>
  <si>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</si>
  <si>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</si>
  <si>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</si>
  <si>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</si>
  <si>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</si>
  <si>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</si>
  <si>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</si>
  <si>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</si>
  <si>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</si>
  <si>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</si>
  <si>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</si>
  <si>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</si>
  <si>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</si>
  <si>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</si>
  <si>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</si>
  <si>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</si>
  <si>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</si>
  <si>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</si>
  <si>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</si>
  <si>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</si>
  <si>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</si>
  <si>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</si>
  <si>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</si>
  <si>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</si>
  <si>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</si>
  <si>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</si>
  <si>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</si>
  <si>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</si>
  <si>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</si>
  <si>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</si>
  <si>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</si>
  <si>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</si>
  <si>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</si>
  <si>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</si>
  <si>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</si>
  <si>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</si>
  <si>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</si>
  <si>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</si>
  <si>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</si>
  <si>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</si>
  <si>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</si>
  <si>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</si>
  <si>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</si>
  <si>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</si>
  <si>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</si>
  <si>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</si>
  <si>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</si>
  <si>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</si>
  <si>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</si>
  <si>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</si>
  <si>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</si>
  <si>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</si>
  <si>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</si>
  <si>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</si>
  <si>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</si>
  <si>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</si>
  <si>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</si>
  <si>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</si>
  <si>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</si>
  <si>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</si>
  <si>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</si>
  <si>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</si>
  <si>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</si>
  <si>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</si>
  <si>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</si>
  <si>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</si>
  <si>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</si>
  <si>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</si>
  <si>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</si>
  <si>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</si>
  <si>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</si>
  <si>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</si>
  <si>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</si>
  <si>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</si>
  <si>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</si>
  <si>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</si>
  <si>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</si>
  <si>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</si>
  <si>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</si>
  <si>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</si>
  <si>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</si>
  <si>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</si>
  <si>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</si>
  <si>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</si>
  <si>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</si>
  <si>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</si>
  <si>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</si>
  <si>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</si>
  <si>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</si>
  <si>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</si>
  <si>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</si>
  <si>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</si>
  <si>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</si>
  <si>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</si>
  <si>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</si>
  <si>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</si>
  <si>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</si>
  <si>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</si>
  <si>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</si>
  <si>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</si>
  <si>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</si>
  <si>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</si>
  <si>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</si>
  <si>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</si>
  <si>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</si>
  <si>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</si>
  <si>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</si>
  <si>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</si>
  <si>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</si>
  <si>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</si>
  <si>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</si>
  <si>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</si>
  <si>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</si>
  <si>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</si>
  <si>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</si>
  <si>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</si>
  <si>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</si>
  <si>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</si>
  <si>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</si>
  <si>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</si>
  <si>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</si>
  <si>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</si>
  <si>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</si>
  <si>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</si>
  <si>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</si>
  <si>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</si>
  <si>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</si>
  <si>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</si>
  <si>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</si>
  <si>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</si>
  <si>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</si>
  <si>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</si>
  <si>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</si>
  <si>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</si>
  <si>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</si>
  <si>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</si>
  <si>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</si>
  <si>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</si>
  <si>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</si>
  <si>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</si>
  <si>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</si>
  <si>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</si>
  <si>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</si>
  <si>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</si>
  <si>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</si>
  <si>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</si>
  <si>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</si>
  <si>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</si>
  <si>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</si>
  <si>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</si>
  <si>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</si>
  <si>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</si>
  <si>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</si>
  <si>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</si>
  <si>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</si>
  <si>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</si>
  <si>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</si>
  <si>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</si>
  <si>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</si>
  <si>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</si>
  <si>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</si>
  <si>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</si>
  <si>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</si>
  <si>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</si>
  <si>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</si>
  <si>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</si>
  <si>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</si>
  <si>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</si>
  <si>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</si>
  <si>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</si>
  <si>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</si>
  <si>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</si>
  <si>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</si>
  <si>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</si>
  <si>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</si>
  <si>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</si>
  <si>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</si>
  <si>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</si>
  <si>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</si>
  <si>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</si>
  <si>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</si>
  <si>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</si>
  <si>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</si>
  <si>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</si>
  <si>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</si>
  <si>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</si>
  <si>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</si>
  <si>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</si>
  <si>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</si>
  <si>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</si>
  <si>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</si>
  <si>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</si>
  <si>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</si>
  <si>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</si>
  <si>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</si>
  <si>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</si>
  <si>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</si>
  <si>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</si>
  <si>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</si>
  <si>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</si>
  <si>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</si>
  <si>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</si>
  <si>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</si>
  <si>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</si>
  <si>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</si>
  <si>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</si>
  <si>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</si>
  <si>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</si>
  <si>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</si>
  <si>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</si>
  <si>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</si>
  <si>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</si>
  <si>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</si>
  <si>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</si>
  <si>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</si>
  <si>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</si>
  <si>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</si>
  <si>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</si>
  <si>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</si>
  <si>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</si>
  <si>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</si>
  <si>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</si>
  <si>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</si>
  <si>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</si>
  <si>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</si>
  <si>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</si>
  <si>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</si>
  <si>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</si>
  <si>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</si>
  <si>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</si>
  <si>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</si>
  <si>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</si>
  <si>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</si>
  <si>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</si>
  <si>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</si>
  <si>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</si>
  <si>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</si>
  <si>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</si>
  <si>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</si>
  <si>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</si>
  <si>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</si>
  <si>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</si>
  <si>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</si>
  <si>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</si>
  <si>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</si>
  <si>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</si>
  <si>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</si>
  <si>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</si>
  <si>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</si>
  <si>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</si>
  <si>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</si>
  <si>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</si>
  <si>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</si>
  <si>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</si>
  <si>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</si>
  <si>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</si>
  <si>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</si>
  <si>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</si>
  <si>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</si>
  <si>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</si>
  <si>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</si>
  <si>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</si>
  <si>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</si>
  <si>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</si>
  <si>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</si>
  <si>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</si>
  <si>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</si>
  <si>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</si>
  <si>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</si>
  <si>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</si>
  <si>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</si>
  <si>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</si>
  <si>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</si>
  <si>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</si>
  <si>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</si>
  <si>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</si>
  <si>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</si>
  <si>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</si>
  <si>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</si>
  <si>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</si>
  <si>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</si>
  <si>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</si>
  <si>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</si>
  <si>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</si>
  <si>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</si>
  <si>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</si>
  <si>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</si>
  <si>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</si>
  <si>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</si>
  <si>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</si>
  <si>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</si>
  <si>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</si>
  <si>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</si>
  <si>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</si>
  <si>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</si>
  <si>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</si>
  <si>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</si>
  <si>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</si>
  <si>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</si>
  <si>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</si>
  <si>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</si>
  <si>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</si>
  <si>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</si>
  <si>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</si>
  <si>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</si>
  <si>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</si>
  <si>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</si>
  <si>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</si>
  <si>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</si>
  <si>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</si>
  <si>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</si>
  <si>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</si>
  <si>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</si>
  <si>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</si>
  <si>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</si>
  <si>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</si>
  <si>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</si>
  <si>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</si>
  <si>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</si>
  <si>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</si>
  <si>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</si>
  <si>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</si>
  <si>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</si>
  <si>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</si>
  <si>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</si>
  <si>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</si>
  <si>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</si>
  <si>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</si>
  <si>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</si>
  <si>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</si>
  <si>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</si>
  <si>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</si>
  <si>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</si>
  <si>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</si>
  <si>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</si>
  <si>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</si>
  <si>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</si>
  <si>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</si>
  <si>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</si>
  <si>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</si>
  <si>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</si>
  <si>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</si>
  <si>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</si>
  <si>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</si>
  <si>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</si>
  <si>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</si>
  <si>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</si>
  <si>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</si>
  <si>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</si>
  <si>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</si>
  <si>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</si>
  <si>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</si>
  <si>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</si>
  <si>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</si>
  <si>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</si>
  <si>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</si>
  <si>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</si>
  <si>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</si>
  <si>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</si>
  <si>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</si>
  <si>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</si>
  <si>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</si>
  <si>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</si>
  <si>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</si>
  <si>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</si>
  <si>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</si>
  <si>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</si>
  <si>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</si>
  <si>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</si>
  <si>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</si>
  <si>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</si>
  <si>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</si>
  <si>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</si>
  <si>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</si>
  <si>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</si>
  <si>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</si>
  <si>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</si>
  <si>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</si>
  <si>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</si>
  <si>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</si>
  <si>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</si>
  <si>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</si>
  <si>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</si>
  <si>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</si>
  <si>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</si>
  <si>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</si>
  <si>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</si>
  <si>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</si>
  <si>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</si>
  <si>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</si>
  <si>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</si>
  <si>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</si>
  <si>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</si>
  <si>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</si>
  <si>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</si>
  <si>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</si>
  <si>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</si>
  <si>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</si>
  <si>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</si>
  <si>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</si>
  <si>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</si>
  <si>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</si>
  <si>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</si>
  <si>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</si>
  <si>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</si>
  <si>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</si>
  <si>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</si>
  <si>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</si>
  <si>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</si>
  <si>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</si>
  <si>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</si>
  <si>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</si>
  <si>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</si>
  <si>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</si>
  <si>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</si>
  <si>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</si>
  <si>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</si>
  <si>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</si>
  <si>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</si>
  <si>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</si>
  <si>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</si>
  <si>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</si>
  <si>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</si>
  <si>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</si>
  <si>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</si>
  <si>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</si>
  <si>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</si>
  <si>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</si>
  <si>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</si>
  <si>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</si>
  <si>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</si>
  <si>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</si>
  <si>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</si>
  <si>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</si>
  <si>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</si>
  <si>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</si>
  <si>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</si>
  <si>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</si>
  <si>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</si>
  <si>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</si>
  <si>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</si>
  <si>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</si>
  <si>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</si>
  <si>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</si>
  <si>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</si>
  <si>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</si>
  <si>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</si>
  <si>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</si>
  <si>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</si>
  <si>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</si>
  <si>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</si>
  <si>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</si>
  <si>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</si>
  <si>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</si>
  <si>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</si>
  <si>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</si>
  <si>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</si>
  <si>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</si>
  <si>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</si>
  <si>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</si>
  <si>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</si>
  <si>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</si>
  <si>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</si>
  <si>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</si>
  <si>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</si>
  <si>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</si>
  <si>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</si>
  <si>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</si>
  <si>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</si>
  <si>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</si>
  <si>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</si>
  <si>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</si>
  <si>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</si>
  <si>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</si>
  <si>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</si>
  <si>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</si>
  <si>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</si>
  <si>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</si>
  <si>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</si>
  <si>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</si>
  <si>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</si>
  <si>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</si>
  <si>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</si>
  <si>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</si>
  <si>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</si>
  <si>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</si>
  <si>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</si>
  <si>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</si>
  <si>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</si>
  <si>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</si>
  <si>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</si>
  <si>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</si>
  <si>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</si>
  <si>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</si>
  <si>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</si>
  <si>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</si>
  <si>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</si>
  <si>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</si>
  <si>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</si>
  <si>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</si>
  <si>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</si>
  <si>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</si>
  <si>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</si>
  <si>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</si>
  <si>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</si>
  <si>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</si>
  <si>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</si>
  <si>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</si>
  <si>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</si>
  <si>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</si>
  <si>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</si>
  <si>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</si>
  <si>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</si>
  <si>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</si>
  <si>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</si>
  <si>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</si>
  <si>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</si>
  <si>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</si>
  <si>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</si>
  <si>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</si>
  <si>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</si>
  <si>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</si>
  <si>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</si>
  <si>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</si>
  <si>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</si>
  <si>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</si>
  <si>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</si>
  <si>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</si>
  <si>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</si>
  <si>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</si>
  <si>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</si>
  <si>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</si>
  <si>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</si>
  <si>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</si>
  <si>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</si>
  <si>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</si>
  <si>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</si>
  <si>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</si>
  <si>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</si>
  <si>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</si>
  <si>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</si>
  <si>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</si>
  <si>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</si>
  <si>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</si>
  <si>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</si>
  <si>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</si>
  <si>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</si>
  <si>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</si>
  <si>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</si>
  <si>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</si>
  <si>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</si>
  <si>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</si>
  <si>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</si>
  <si>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</si>
  <si>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</si>
  <si>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</si>
  <si>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</si>
  <si>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</si>
  <si>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</si>
  <si>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</si>
  <si>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</si>
  <si>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</si>
  <si>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</si>
  <si>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</si>
  <si>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</si>
  <si>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</si>
  <si>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</si>
  <si>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</si>
  <si>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</si>
  <si>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</si>
  <si>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</si>
  <si>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</si>
  <si>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</si>
  <si>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</si>
  <si>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</si>
  <si>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</si>
  <si>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</si>
  <si>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</si>
  <si>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</si>
  <si>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</si>
  <si>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</si>
  <si>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</si>
  <si>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</si>
  <si>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</si>
  <si>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</si>
  <si>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</si>
  <si>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</si>
  <si>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</si>
  <si>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</si>
  <si>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</si>
  <si>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</si>
  <si>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</si>
  <si>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</si>
  <si>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</si>
  <si>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</si>
  <si>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</si>
  <si>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</si>
  <si>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</si>
  <si>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</si>
  <si>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</si>
  <si>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</si>
  <si>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</si>
  <si>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</si>
  <si>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</si>
  <si>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</si>
  <si>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</si>
  <si>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</si>
  <si>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</si>
  <si>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</si>
  <si>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</si>
  <si>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</si>
  <si>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</si>
  <si>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</si>
  <si>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</si>
  <si>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</si>
  <si>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</si>
  <si>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</si>
  <si>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</si>
  <si>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</si>
  <si>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</si>
  <si>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</si>
  <si>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</si>
  <si>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</si>
  <si>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</si>
  <si>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</si>
  <si>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</si>
  <si>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</si>
  <si>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</si>
  <si>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</si>
  <si>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</si>
  <si>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</si>
  <si>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</si>
  <si>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</si>
  <si>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</si>
  <si>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</si>
  <si>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</si>
  <si>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</si>
  <si>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</si>
  <si>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</si>
  <si>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</si>
  <si>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</si>
  <si>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</si>
  <si>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</si>
  <si>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</si>
  <si>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</si>
  <si>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</si>
  <si>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</si>
  <si>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</si>
  <si>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</si>
  <si>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</si>
  <si>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</si>
  <si>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</si>
  <si>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</si>
  <si>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</si>
  <si>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</si>
  <si>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</si>
  <si>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</si>
  <si>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</si>
  <si>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</si>
  <si>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</si>
  <si>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</si>
  <si>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</si>
  <si>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</si>
  <si>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</si>
  <si>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</si>
  <si>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</si>
  <si>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</si>
  <si>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</si>
  <si>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</si>
  <si>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</si>
  <si>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</si>
  <si>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</si>
  <si>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</si>
  <si>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</si>
  <si>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</si>
  <si>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</si>
  <si>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</si>
  <si>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</si>
  <si>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</si>
  <si>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</si>
  <si>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</si>
  <si>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</si>
  <si>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</si>
  <si>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</si>
  <si>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</si>
  <si>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</si>
  <si>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</si>
  <si>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</si>
  <si>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</si>
  <si>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</si>
  <si>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</si>
  <si>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</si>
  <si>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</si>
  <si>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</si>
  <si>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</si>
  <si>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</si>
  <si>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</si>
  <si>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</si>
  <si>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</si>
  <si>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</si>
  <si>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</si>
  <si>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</si>
  <si>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</si>
  <si>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</si>
  <si>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</si>
  <si>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</si>
  <si>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</si>
  <si>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</si>
  <si>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</si>
  <si>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</si>
  <si>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</si>
  <si>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</si>
  <si>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</si>
  <si>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</si>
  <si>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</si>
  <si>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</si>
  <si>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</si>
  <si>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</si>
  <si>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</si>
  <si>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</si>
  <si>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</si>
  <si>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</si>
  <si>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</si>
  <si>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</si>
  <si>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</si>
  <si>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</si>
  <si>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</si>
  <si>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</si>
  <si>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</si>
  <si>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</si>
  <si>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</si>
  <si>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</si>
  <si>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</si>
  <si>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</si>
  <si>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</si>
  <si>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</si>
  <si>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</si>
  <si>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</si>
  <si>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</si>
  <si>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</si>
  <si>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</si>
  <si>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</si>
  <si>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</si>
  <si>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</si>
  <si>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</si>
  <si>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</si>
  <si>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</si>
  <si>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</si>
  <si>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</si>
  <si>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</si>
  <si>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</si>
  <si>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</si>
  <si>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</si>
  <si>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</si>
  <si>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</si>
  <si>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</si>
  <si>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</si>
  <si>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</si>
  <si>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</si>
  <si>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</si>
  <si>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</si>
  <si>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</si>
  <si>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</si>
  <si>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</si>
  <si>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</si>
  <si>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</si>
  <si>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</si>
  <si>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</si>
  <si>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</si>
  <si>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</si>
  <si>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</si>
  <si>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</si>
  <si>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</si>
  <si>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</si>
  <si>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</si>
  <si>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</si>
  <si>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</si>
  <si>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</si>
  <si>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</si>
  <si>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</si>
  <si>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</si>
  <si>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</si>
  <si>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</si>
  <si>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</si>
  <si>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</si>
  <si>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</si>
  <si>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</si>
  <si>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</si>
  <si>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</si>
  <si>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</si>
  <si>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</si>
  <si>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</si>
  <si>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</si>
  <si>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</si>
  <si>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</si>
  <si>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</si>
  <si>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</si>
  <si>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</si>
  <si>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</si>
  <si>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</si>
  <si>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</si>
  <si>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</si>
  <si>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</si>
  <si>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</si>
  <si>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</si>
  <si>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</si>
  <si>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</si>
  <si>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</si>
  <si>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</si>
  <si>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</si>
  <si>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</si>
  <si>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</si>
  <si>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</si>
  <si>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</si>
  <si>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</si>
  <si>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</si>
  <si>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</si>
  <si>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</si>
  <si>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</si>
  <si>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</si>
  <si>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</si>
  <si>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</si>
  <si>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</si>
  <si>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</si>
  <si>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</si>
  <si>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</si>
  <si>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</si>
  <si>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</si>
  <si>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</si>
  <si>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</si>
  <si>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</si>
  <si>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</si>
  <si>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</si>
  <si>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</si>
  <si>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</si>
  <si>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</si>
  <si>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</si>
  <si>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</si>
  <si>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</si>
  <si>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</si>
  <si>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</si>
  <si>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</si>
  <si>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</si>
  <si>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</si>
  <si>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</si>
  <si>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</si>
  <si>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</si>
  <si>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</si>
  <si>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</si>
  <si>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</si>
  <si>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</si>
  <si>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</si>
  <si>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</si>
  <si>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</si>
  <si>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</si>
  <si>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</si>
  <si>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</si>
  <si>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</si>
  <si>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</si>
  <si>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</si>
  <si>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</si>
  <si>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</si>
  <si>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</si>
  <si>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</si>
  <si>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</si>
  <si>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</si>
  <si>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</si>
  <si>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</si>
  <si>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</si>
  <si>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</si>
  <si>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</si>
  <si>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</si>
  <si>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</si>
  <si>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</si>
  <si>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</si>
  <si>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</si>
  <si>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</si>
  <si>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</si>
  <si>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</si>
  <si>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</si>
  <si>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</si>
  <si>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</si>
  <si>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</si>
  <si>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</si>
  <si>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</si>
  <si>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</si>
  <si>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</si>
  <si>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</si>
  <si>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</si>
  <si>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</si>
  <si>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</si>
  <si>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</si>
  <si>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</si>
  <si>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</si>
  <si>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</si>
  <si>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</si>
  <si>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</si>
  <si>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</si>
  <si>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</si>
  <si>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</si>
  <si>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</si>
  <si>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</si>
  <si>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</si>
  <si>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</si>
  <si>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</si>
  <si>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</si>
  <si>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</si>
  <si>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</si>
  <si>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</si>
  <si>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</si>
  <si>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</si>
  <si>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</si>
  <si>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</si>
  <si>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</si>
  <si>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</si>
  <si>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</si>
  <si>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</si>
  <si>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</si>
  <si>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</si>
  <si>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</si>
  <si>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</si>
  <si>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</si>
  <si>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</si>
  <si>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</si>
  <si>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</si>
  <si>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</si>
  <si>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</si>
  <si>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</si>
  <si>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</si>
  <si>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</si>
  <si>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</si>
  <si>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</si>
  <si>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</si>
  <si>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</si>
  <si>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</si>
  <si>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</si>
  <si>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</si>
  <si>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</si>
  <si>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</si>
  <si>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</si>
  <si>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</si>
  <si>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</si>
  <si>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</si>
  <si>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</si>
  <si>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</si>
  <si>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</si>
  <si>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</si>
  <si>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</si>
  <si>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</si>
  <si>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</si>
  <si>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</si>
  <si>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</si>
  <si>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</si>
  <si>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</si>
  <si>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</si>
  <si>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</si>
  <si>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</si>
  <si>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</si>
  <si>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</si>
  <si>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</si>
  <si>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</si>
  <si>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</si>
  <si>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</si>
  <si>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</si>
  <si>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</si>
  <si>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</si>
  <si>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</si>
  <si>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</si>
  <si>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</si>
  <si>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</si>
  <si>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</si>
  <si>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</si>
  <si>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</si>
  <si>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</si>
  <si>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</si>
  <si>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</si>
  <si>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</si>
  <si>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</si>
  <si>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</si>
  <si>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</si>
  <si>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</si>
  <si>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</si>
  <si>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</si>
  <si>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</si>
  <si>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</si>
  <si>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</si>
  <si>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</si>
  <si>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</si>
  <si>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</si>
  <si>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</si>
  <si>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</si>
  <si>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</si>
  <si>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</si>
  <si>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</si>
  <si>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</si>
  <si>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</si>
  <si>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</si>
  <si>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</si>
  <si>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</si>
  <si>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</si>
  <si>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</si>
  <si>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</si>
  <si>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</si>
  <si>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</si>
  <si>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</si>
  <si>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</si>
  <si>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instrumentation</t>
  </si>
  <si>
    <t>CPP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</si>
  <si>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</si>
  <si>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</si>
  <si>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</si>
  <si>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</si>
  <si>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</si>
  <si>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</si>
  <si>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</si>
  <si>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</si>
  <si>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</si>
  <si>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</si>
  <si>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</si>
  <si>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</si>
  <si>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</si>
  <si>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</si>
  <si>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</si>
  <si>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</si>
  <si>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</si>
  <si>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</si>
  <si>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</si>
  <si>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</si>
  <si>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</si>
  <si>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</si>
  <si>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</si>
  <si>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</si>
  <si>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</si>
  <si>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</si>
  <si>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</si>
  <si>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</si>
  <si>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</si>
  <si>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</si>
  <si>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</si>
  <si>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</si>
  <si>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</si>
  <si>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</si>
  <si>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</si>
  <si>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</si>
  <si>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</si>
  <si>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</si>
  <si>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</si>
  <si>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</si>
  <si>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</si>
  <si>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</si>
  <si>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</si>
  <si>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</si>
  <si>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</si>
  <si>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</si>
  <si>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</si>
  <si>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</si>
  <si>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</si>
  <si>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</si>
  <si>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</si>
  <si>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</si>
  <si>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</si>
  <si>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</si>
  <si>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</si>
  <si>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</si>
  <si>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</si>
  <si>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</si>
  <si>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</si>
  <si>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</si>
  <si>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</si>
  <si>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</si>
  <si>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</si>
  <si>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</si>
  <si>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</si>
  <si>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</si>
  <si>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</si>
  <si>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</si>
  <si>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</si>
  <si>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</si>
  <si>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</si>
  <si>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</si>
  <si>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</si>
  <si>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</si>
  <si>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</si>
  <si>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</si>
  <si>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</si>
  <si>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</si>
  <si>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</si>
  <si>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</si>
  <si>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</si>
  <si>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</si>
  <si>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</si>
  <si>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</si>
  <si>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</si>
  <si>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</si>
  <si>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</si>
  <si>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</si>
  <si>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</si>
  <si>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</si>
  <si>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</si>
  <si>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</si>
  <si>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</si>
  <si>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</si>
  <si>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</si>
  <si>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</si>
  <si>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</si>
  <si>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</si>
  <si>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</si>
  <si>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</si>
  <si>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</si>
  <si>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</si>
  <si>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</si>
  <si>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</si>
  <si>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</si>
  <si>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</si>
  <si>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</si>
  <si>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</si>
  <si>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</si>
  <si>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</si>
  <si>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</si>
  <si>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</si>
  <si>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</si>
  <si>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</si>
  <si>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</si>
  <si>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</si>
  <si>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</si>
  <si>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</si>
  <si>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</si>
  <si>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</si>
  <si>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</si>
  <si>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</si>
  <si>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</si>
  <si>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</si>
  <si>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</si>
  <si>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</si>
  <si>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</si>
  <si>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</si>
  <si>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</si>
  <si>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</si>
  <si>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</si>
  <si>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</si>
  <si>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</si>
  <si>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</si>
  <si>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</si>
  <si>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</si>
  <si>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</si>
  <si>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</si>
  <si>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</si>
  <si>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</si>
  <si>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</si>
  <si>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</si>
  <si>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</si>
  <si>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</si>
  <si>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</si>
  <si>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</si>
  <si>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</si>
  <si>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</si>
  <si>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</si>
  <si>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</si>
  <si>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</si>
  <si>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</si>
  <si>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</si>
  <si>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</si>
  <si>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</si>
  <si>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</si>
  <si>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</si>
  <si>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</si>
  <si>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</si>
  <si>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</si>
  <si>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</si>
  <si>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</si>
  <si>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</si>
  <si>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</si>
  <si>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</si>
  <si>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</si>
  <si>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</si>
  <si>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</si>
  <si>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</si>
  <si>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</si>
  <si>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</si>
  <si>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</si>
  <si>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</si>
  <si>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</si>
  <si>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</si>
  <si>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</si>
  <si>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</si>
  <si>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</si>
  <si>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</si>
  <si>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</si>
  <si>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</si>
  <si>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</si>
  <si>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</si>
  <si>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</si>
  <si>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</si>
  <si>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</si>
  <si>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</si>
  <si>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</si>
  <si>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</si>
  <si>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</si>
  <si>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</si>
  <si>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</si>
  <si>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</si>
  <si>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</si>
  <si>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</si>
  <si>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</si>
  <si>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</si>
  <si>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</si>
  <si>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</si>
  <si>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</si>
  <si>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</si>
  <si>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</si>
  <si>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</si>
  <si>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</si>
  <si>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</si>
  <si>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</si>
  <si>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</si>
  <si>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</si>
  <si>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</si>
  <si>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</si>
  <si>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</si>
  <si>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</si>
  <si>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</si>
  <si>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</si>
  <si>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</si>
  <si>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</si>
  <si>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</si>
  <si>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</si>
  <si>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</si>
  <si>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</si>
  <si>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</si>
  <si>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</si>
  <si>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</si>
  <si>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</si>
  <si>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</si>
  <si>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</si>
  <si>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</si>
  <si>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</si>
  <si>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</si>
  <si>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</si>
  <si>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</si>
  <si>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</si>
  <si>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</si>
  <si>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</si>
  <si>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</si>
  <si>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</si>
  <si>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</si>
  <si>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</si>
  <si>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</si>
  <si>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</si>
  <si>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</si>
  <si>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</si>
  <si>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</si>
  <si>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</si>
  <si>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</si>
  <si>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</si>
  <si>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</si>
  <si>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</si>
  <si>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</si>
  <si>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</si>
  <si>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</si>
  <si>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</si>
  <si>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</si>
  <si>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</si>
  <si>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</si>
  <si>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</si>
  <si>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</si>
  <si>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</si>
  <si>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</si>
  <si>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</si>
  <si>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</si>
  <si>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</si>
  <si>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</si>
  <si>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</si>
  <si>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</si>
  <si>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</si>
  <si>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</si>
  <si>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</si>
  <si>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</si>
  <si>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</si>
  <si>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</si>
  <si>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</si>
  <si>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</si>
  <si>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</si>
  <si>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</si>
  <si>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</si>
  <si>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</si>
  <si>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</si>
  <si>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</si>
  <si>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</si>
  <si>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</si>
  <si>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</si>
  <si>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</si>
  <si>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</si>
  <si>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</si>
  <si>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</si>
  <si>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</si>
  <si>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</si>
  <si>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</si>
  <si>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</si>
  <si>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</si>
  <si>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CPP-RFI-68-64-11-0214</t>
  </si>
  <si>
    <t>PS5-60-BI-0001C-CC01</t>
  </si>
  <si>
    <t>PL-PS5-05767</t>
  </si>
  <si>
    <t>PS5-60-BI-0001C-CC03</t>
  </si>
  <si>
    <t>PL-PS5-05768</t>
  </si>
  <si>
    <t>PS5-60-BI-0005C-CC01</t>
  </si>
  <si>
    <t>PL-PS5-05769</t>
  </si>
  <si>
    <t>PS5-60-BI-0005C-CC02</t>
  </si>
  <si>
    <t>PL-PS5-05770</t>
  </si>
  <si>
    <t>PS5-60-BI-0017C-CC02</t>
  </si>
  <si>
    <t>PL-PS5-05771</t>
  </si>
  <si>
    <t>CPP-RFI-68-64-04-0213</t>
  </si>
  <si>
    <t>PL-PS5-05772</t>
  </si>
  <si>
    <t>PL-PS5-05773</t>
  </si>
  <si>
    <t>PL-PS5-05774</t>
  </si>
  <si>
    <t>CPP-RFI-68-33/1-08-0493</t>
  </si>
  <si>
    <t>Closed Drain Drum Shelter</t>
  </si>
  <si>
    <t>PL-PS5-05775</t>
  </si>
  <si>
    <t>PL-PS5-05776</t>
  </si>
  <si>
    <t>PL-PS5-05777</t>
  </si>
  <si>
    <t>PL-PS5-05778</t>
  </si>
  <si>
    <t>PL-PS5-05779</t>
  </si>
  <si>
    <t>PL-PS5-05780</t>
  </si>
  <si>
    <t>PL-PS5-05781</t>
  </si>
  <si>
    <t>PL-PS5-05782</t>
  </si>
  <si>
    <t>PL-PS5-05783</t>
  </si>
  <si>
    <t>PL-PS5-05784</t>
  </si>
  <si>
    <t>PL-PS5-05785</t>
  </si>
  <si>
    <t>PL-PS5-05786</t>
  </si>
  <si>
    <t>CPP-RFI-68-64-04-0221</t>
  </si>
  <si>
    <t>PS5-60-BI-0003-CC02</t>
  </si>
  <si>
    <t>31-08-2026</t>
  </si>
  <si>
    <t>PL-PS5-05787</t>
  </si>
  <si>
    <t>PS5-60-BI-0019C-CC01</t>
  </si>
  <si>
    <t>PL-PS5-05788</t>
  </si>
  <si>
    <t>PS5-60-BI-0019C-CC02</t>
  </si>
  <si>
    <t>PL-PS5-05789</t>
  </si>
  <si>
    <t>PS5-60-IE-0003C-CC01</t>
  </si>
  <si>
    <t>PL-PS5-05790</t>
  </si>
  <si>
    <t>PS5-60-IE-0003C-CC06</t>
  </si>
  <si>
    <t>PL-PS5-05791</t>
  </si>
  <si>
    <t>PS5-60-IE-0003C-CC07</t>
  </si>
  <si>
    <t>PL-PS5-05792</t>
  </si>
  <si>
    <t>PS5-60-IE-0003C-CC08</t>
  </si>
  <si>
    <t>PL-PS5-05793</t>
  </si>
  <si>
    <t>PS5-60-IE-0003C-CC09</t>
  </si>
  <si>
    <t>PL-PS5-05794</t>
  </si>
  <si>
    <t>CPP-RFI-68-64-11-0222</t>
  </si>
  <si>
    <t>NEAR BY DESIIL DAY DRUM AREA</t>
  </si>
  <si>
    <t>PL-PS5-05795</t>
  </si>
  <si>
    <t>PGB C&amp;D ENG ROOM and PGB ELC ROOM</t>
  </si>
  <si>
    <t>PL-PS5-05796</t>
  </si>
  <si>
    <t>PL-PS5-05797</t>
  </si>
  <si>
    <t>PL-PS5-05798</t>
  </si>
  <si>
    <t>PL-PS5-05799</t>
  </si>
  <si>
    <t>CPP-RFI-68-64-03-0206</t>
  </si>
  <si>
    <t xml:space="preserve">Instrument cable tray Installation </t>
  </si>
  <si>
    <t xml:space="preserve">TRANSFORMER BAY </t>
  </si>
  <si>
    <t>PL-PS5-05800</t>
  </si>
  <si>
    <t>PL-PS5-05801</t>
  </si>
  <si>
    <t>PL-PS5-05802</t>
  </si>
  <si>
    <t>Doc.TZ-MID-68-WPR2-161500 Grommet to be installed</t>
  </si>
  <si>
    <t>PL-PS5-05803</t>
  </si>
  <si>
    <t>CPP-RFI-68-33/1-03-0513</t>
  </si>
  <si>
    <t xml:space="preserve">Electrical  cable tray Installation </t>
  </si>
  <si>
    <t xml:space="preserve">TRANSFORMER BAY &amp; CFO </t>
  </si>
  <si>
    <t>TZ-MID-68-WPR2-151112&amp;TZ-MID-68-WPR2-151115- Hold down Clamp not Installed yet</t>
  </si>
  <si>
    <t>PL-PS5-05804</t>
  </si>
  <si>
    <t>TZ-MID-68-WPR2-151112&amp;TZ-MID-68-WPR2-151115 - Earth jumper not installed completely</t>
  </si>
  <si>
    <t>PL-PS5-05805</t>
  </si>
  <si>
    <t>TZ-MID-68-WPR2-151112&amp;TZ-MID-68-WPR2-151115  Cover not  installed</t>
  </si>
  <si>
    <t>PL-PS5-05806</t>
  </si>
  <si>
    <t>TZ-MID-68-WPR2-151112&amp;TZ-MID-68-WPR2-151115 Grommet to be installed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</si>
</sst>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2.0"/>
      <color theme="1"/>
      <name val="Arial"/>
    </font>
    <font>
      <color theme="1"/>
      <name val="Calibri"/>
      <scheme val="minor"/>
    </font>
    <font>
      <b/>
      <sz val="11.0"/>
      <color theme="1"/>
      <name val="Calibri"/>
    </font>
    <font>
      <i/>
      <sz val="10.0"/>
      <color theme="1"/>
      <name val="Arial"/>
    </font>
    <font>
      <i/>
      <sz val="12.0"/>
      <color theme="1"/>
      <name val="Arial"/>
    </font>
    <font>
      <sz val="11.0"/>
      <color rgb="FF000000"/>
      <name val="Arial"/>
    </font>
    <font>
      <sz val="13.0"/>
      <color rgb="FF000000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5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9" fillId="4" fontId="5" numFmtId="164" xfId="0" applyAlignment="1" applyBorder="1" applyFill="1" applyFont="1" applyNumberFormat="1">
      <alignment horizontal="center" readingOrder="0" vertical="center"/>
    </xf>
    <xf borderId="17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20" fillId="4" fontId="3" numFmtId="0" xfId="0" applyAlignment="1" applyBorder="1" applyFill="1" applyFont="1">
      <alignment horizontal="center" readingOrder="0" vertical="center"/>
    </xf>
    <xf borderId="21" fillId="0" fontId="2" numFmtId="0" xfId="0" applyBorder="1" applyFont="1"/>
    <xf borderId="20" fillId="5" fontId="1" numFmtId="167" xfId="0" applyAlignment="1" applyBorder="1" applyFill="1" applyFont="1" applyNumberFormat="1">
      <alignment horizontal="center" vertical="center"/>
    </xf>
    <xf borderId="22" fillId="0" fontId="2" numFmtId="0" xfId="0" applyBorder="1" applyFont="1"/>
    <xf borderId="23" fillId="6" fontId="8" numFmtId="0" xfId="0" applyAlignment="1" applyBorder="1" applyFill="1" applyFont="1">
      <alignment horizontal="left" shrinkToFit="0" vertical="center" wrapText="1"/>
    </xf>
    <xf borderId="17" fillId="6" fontId="8" numFmtId="0" xfId="0" applyAlignment="1" applyBorder="1" applyFill="1" applyFont="1">
      <alignment horizontal="left" shrinkToFit="0" vertical="center" wrapText="1"/>
    </xf>
    <xf borderId="17" fillId="7" fontId="8" numFmtId="0" xfId="0" applyAlignment="1" applyBorder="1" applyFill="1" applyFont="1">
      <alignment horizontal="left" shrinkToFit="0" vertical="center" wrapText="1"/>
    </xf>
    <xf borderId="24" fillId="6" fontId="5" numFmtId="0" xfId="0" applyAlignment="1" applyBorder="1" applyFill="1" applyFont="1">
      <alignment horizontal="left" shrinkToFit="0" vertical="center" wrapText="1"/>
    </xf>
    <xf borderId="25" fillId="6" fontId="5" numFmtId="0" xfId="0" applyAlignment="1" applyBorder="1" applyFill="1" applyFont="1">
      <alignment horizontal="left" shrinkToFit="0" vertical="center" wrapText="1"/>
    </xf>
    <xf borderId="26" fillId="6" fontId="5" numFmtId="0" xfId="0" applyAlignment="1" applyBorder="1" applyFill="1" applyFont="1">
      <alignment horizontal="left" shrinkToFit="0" vertical="center" wrapText="1"/>
    </xf>
    <xf borderId="17" fillId="6" fontId="6" numFmtId="0" xfId="0" applyAlignment="1" applyBorder="1" applyFill="1" applyFont="1">
      <alignment horizontal="left" shrinkToFit="0" vertical="center" wrapText="1"/>
    </xf>
    <xf borderId="26" fillId="6" fontId="8" numFmtId="0" xfId="0" applyAlignment="1" applyBorder="1" applyFill="1" applyFont="1">
      <alignment horizontal="left" shrinkToFit="0" vertical="center" wrapText="1"/>
    </xf>
    <xf borderId="27" fillId="6" fontId="8" numFmtId="0" xfId="0" applyAlignment="1" applyBorder="1" applyFill="1" applyFont="1">
      <alignment horizontal="left" shrinkToFit="0" vertical="center" wrapText="1"/>
    </xf>
    <xf borderId="28" fillId="6" fontId="8" numFmtId="0" xfId="0" applyAlignment="1" applyBorder="1" applyFill="1" applyFont="1">
      <alignment horizontal="left" shrinkToFit="0" vertical="center" wrapText="1"/>
    </xf>
    <xf borderId="29" fillId="0" fontId="2" numFmtId="0" xfId="0" applyBorder="1" applyFont="1"/>
    <xf borderId="30" fillId="0" fontId="2" numFmtId="0" xfId="0" applyBorder="1" applyFont="1"/>
    <xf borderId="4" fillId="6" fontId="8" numFmtId="0" xfId="0" applyAlignment="1" applyBorder="1" applyFill="1" applyFont="1">
      <alignment horizontal="left" shrinkToFit="0" vertical="center" wrapText="1"/>
    </xf>
    <xf borderId="31" fillId="0" fontId="2" numFmtId="0" xfId="0" applyBorder="1" applyFont="1"/>
    <xf borderId="32" fillId="6" fontId="8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0" fillId="0" fontId="9" numFmtId="0" xfId="0" applyAlignment="1" applyFont="1">
      <alignment horizontal="left"/>
    </xf>
    <xf borderId="33" fillId="0" fontId="4" numFmtId="0" xfId="0" applyBorder="1" applyFont="1"/>
    <xf borderId="17" fillId="0" fontId="4" numFmtId="0" xfId="0" applyBorder="1" applyFont="1"/>
    <xf borderId="17" fillId="7" fontId="8" numFmtId="0" xfId="0" applyAlignment="1" applyBorder="1" applyFill="1" applyFont="1">
      <alignment horizontal="center" shrinkToFit="0" vertical="center" wrapText="1"/>
    </xf>
    <xf borderId="34" fillId="8" fontId="10" numFmtId="0" xfId="0" applyAlignment="1" applyBorder="1" applyFill="1" applyFont="1">
      <alignment horizontal="center" vertical="center"/>
    </xf>
    <xf borderId="35" fillId="0" fontId="4" numFmtId="0" xfId="0" applyBorder="1" applyFont="1"/>
    <xf borderId="36" fillId="0" fontId="2" numFmtId="0" xfId="0" applyBorder="1" applyFont="1"/>
    <xf borderId="37" fillId="0" fontId="4" numFmtId="0" xfId="0" applyBorder="1" applyFont="1"/>
    <xf borderId="17" fillId="6" fontId="11" numFmtId="0" xfId="0" applyAlignment="1" applyBorder="1" applyFill="1" applyFont="1">
      <alignment horizontal="center" shrinkToFit="0" vertical="center" wrapText="1"/>
    </xf>
    <xf borderId="17" fillId="2" fontId="4" numFmtId="0" xfId="0" applyAlignment="1" applyBorder="1" applyFill="1" applyFont="1">
      <alignment horizontal="left" readingOrder="0" vertical="center"/>
    </xf>
    <xf borderId="37" fillId="0" fontId="4" numFmtId="0" xfId="0" applyAlignment="1" applyBorder="1" applyFont="1">
      <alignment horizontal="left"/>
    </xf>
    <xf borderId="38" fillId="6" fontId="12" numFmtId="0" xfId="0" applyAlignment="1" applyBorder="1" applyFill="1" applyFont="1">
      <alignment horizontal="center" shrinkToFit="0" vertical="center" wrapText="1"/>
    </xf>
    <xf borderId="39" fillId="0" fontId="2" numFmtId="0" xfId="0" applyBorder="1" applyFont="1"/>
    <xf borderId="40" fillId="6" fontId="12" numFmtId="0" xfId="0" applyAlignment="1" applyBorder="1" applyFill="1" applyFont="1">
      <alignment horizontal="center" shrinkToFit="0" vertical="center" wrapText="1"/>
    </xf>
    <xf borderId="17" fillId="2" fontId="4" numFmtId="0" xfId="0" applyAlignment="1" applyBorder="1" applyFill="1" applyFont="1">
      <alignment horizontal="center" vertical="center"/>
    </xf>
    <xf borderId="40" fillId="6" fontId="12" numFmtId="0" xfId="0" applyAlignment="1" applyBorder="1" applyFill="1" applyFont="1">
      <alignment horizontal="center" vertical="center"/>
    </xf>
    <xf borderId="17" fillId="7" fontId="4" numFmtId="0" xfId="0" applyAlignment="1" applyBorder="1" applyFill="1" applyFont="1">
      <alignment horizontal="left" vertical="center"/>
    </xf>
    <xf borderId="40" fillId="6" fontId="12" numFmtId="166" xfId="0" applyAlignment="1" applyBorder="1" applyFill="1" applyFont="1" applyNumberFormat="1">
      <alignment horizontal="center" vertical="center"/>
    </xf>
    <xf borderId="17" fillId="7" fontId="4" numFmtId="0" xfId="0" applyAlignment="1" applyBorder="1" applyFill="1" applyFont="1">
      <alignment horizontal="center" vertical="center"/>
    </xf>
    <xf borderId="34" fillId="6" fontId="8" numFmtId="0" xfId="0" applyAlignment="1" applyBorder="1" applyFill="1" applyFont="1">
      <alignment horizontal="center" vertical="center"/>
    </xf>
    <xf borderId="17" fillId="9" fontId="4" numFmtId="0" xfId="0" applyAlignment="1" applyBorder="1" applyFill="1" applyFont="1">
      <alignment horizontal="left" vertical="center"/>
    </xf>
    <xf borderId="41" fillId="0" fontId="4" numFmtId="0" xfId="0" applyBorder="1" applyFont="1"/>
    <xf borderId="17" fillId="9" fontId="4" numFmtId="0" xfId="0" applyAlignment="1" applyBorder="1" applyFill="1" applyFont="1">
      <alignment horizontal="center" vertical="center"/>
    </xf>
    <xf borderId="17" fillId="8" fontId="4" numFmtId="0" xfId="0" applyAlignment="1" applyBorder="1" applyFill="1" applyFont="1">
      <alignment horizontal="center" readingOrder="0" shrinkToFit="0" vertical="center" wrapText="1"/>
    </xf>
    <xf borderId="17" fillId="10" fontId="13" numFmtId="0" xfId="0" applyAlignment="1" applyBorder="1" applyFill="1" applyFont="1">
      <alignment horizontal="center" readingOrder="0"/>
    </xf>
    <xf borderId="42" fillId="0" fontId="4" numFmtId="0" xfId="0" applyBorder="1" applyFont="1"/>
    <xf borderId="17" fillId="0" fontId="4" numFmtId="0" xfId="0" applyAlignment="1" applyBorder="1" applyFont="1">
      <alignment horizontal="center"/>
    </xf>
    <xf borderId="34" fillId="10" fontId="14" numFmtId="0" xfId="0" applyAlignment="1" applyBorder="1" applyFill="1" applyFont="1">
      <alignment horizontal="center" readingOrder="0" shrinkToFit="0" wrapText="0"/>
    </xf>
    <xf borderId="17" fillId="0" fontId="6" numFmtId="0" xfId="0" applyAlignment="1" applyBorder="1" applyFont="1">
      <alignment horizontal="center" vertical="center"/>
    </xf>
    <xf borderId="43" fillId="0" fontId="6" numFmtId="0" xfId="0" applyAlignment="1" applyBorder="1" applyFont="1">
      <alignment horizontal="center" vertical="center"/>
    </xf>
    <xf borderId="17" fillId="10" fontId="14" numFmtId="0" xfId="0" applyAlignment="1" applyBorder="1" applyFill="1" applyFont="1">
      <alignment horizontal="center" readingOrder="0" shrinkToFit="0" wrapText="0"/>
    </xf>
    <xf borderId="17" fillId="0" fontId="15" numFmtId="0" xfId="0" applyAlignment="1" applyBorder="1" applyFont="1">
      <alignment horizontal="center" vertical="center"/>
    </xf>
    <xf borderId="36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4" numFmtId="0" xfId="0" applyAlignment="1" applyBorder="1" applyFont="1">
      <alignment readingOrder="0"/>
    </xf>
    <xf borderId="17" fillId="0" fontId="6" numFmtId="15" xfId="0" applyAlignment="1" applyBorder="1" applyFont="1" applyNumberFormat="1">
      <alignment horizontal="center" vertical="center"/>
    </xf>
    <xf borderId="17" fillId="0" fontId="13" numFmtId="0" xfId="0" applyAlignment="1" applyBorder="1" applyFont="1">
      <alignment horizontal="center" vertical="center"/>
    </xf>
    <xf borderId="17" fillId="0" fontId="6" numFmtId="0" xfId="0" applyBorder="1" applyFont="1"/>
    <xf borderId="34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3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34" fillId="0" fontId="15" numFmtId="0" xfId="0" applyAlignment="1" applyBorder="1" applyFont="1">
      <alignment horizontal="center" vertical="center"/>
    </xf>
    <xf borderId="36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4" numFmtId="168" xfId="0" applyAlignment="1" applyBorder="1" applyFont="1" applyNumberFormat="1">
      <alignment horizontal="center" readingOrder="0" shrinkToFit="0" wrapText="0"/>
    </xf>
    <xf borderId="17" fillId="0" fontId="14" numFmtId="0" xfId="0" applyAlignment="1" applyBorder="1" applyFont="1">
      <alignment horizontal="center" readingOrder="0" shrinkToFit="0" wrapText="0"/>
    </xf>
    <xf borderId="17" fillId="0" fontId="14" numFmtId="0" xfId="0" applyAlignment="1" applyBorder="1" applyFont="1">
      <alignment horizontal="center" shrinkToFit="0" wrapText="0"/>
    </xf>
    <xf borderId="17" fillId="0" fontId="14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5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5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36" fillId="0" fontId="15" numFmtId="0" xfId="0" applyAlignment="1" applyBorder="1" applyFont="1">
      <alignment horizontal="center"/>
    </xf>
    <xf borderId="17" fillId="0" fontId="6" numFmtId="0" xfId="0" applyAlignment="1" applyBorder="1" applyFont="1">
      <alignment horizontal="center"/>
    </xf>
    <xf borderId="46" fillId="0" fontId="15" numFmtId="0" xfId="0" applyAlignment="1" applyBorder="1" applyFont="1">
      <alignment horizontal="center" vertical="center"/>
    </xf>
    <xf borderId="46" fillId="0" fontId="6" numFmtId="0" xfId="0" applyAlignment="1" applyBorder="1" applyFont="1">
      <alignment horizontal="center" vertical="center"/>
    </xf>
    <xf borderId="46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4" fillId="7" fontId="13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5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3" numFmtId="165" xfId="0" applyAlignment="1" applyBorder="1" applyFont="1" applyNumberFormat="1">
      <alignment horizontal="center" vertical="center"/>
    </xf>
    <xf borderId="34" fillId="0" fontId="13" numFmtId="0" xfId="0" applyAlignment="1" applyBorder="1" applyFont="1">
      <alignment horizontal="center"/>
    </xf>
    <xf borderId="17" fillId="0" fontId="13" numFmtId="0" xfId="0" applyAlignment="1" applyBorder="1" applyFont="1">
      <alignment horizontal="center" shrinkToFit="0" vertical="center" wrapText="1"/>
    </xf>
    <xf borderId="34" fillId="0" fontId="13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7" fillId="0" fontId="1" numFmtId="0" xfId="0" applyAlignment="1" applyBorder="1" applyFont="1">
      <alignment horizontal="center" vertical="center"/>
    </xf>
    <xf borderId="47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36" fillId="0" fontId="13" numFmtId="0" xfId="0" applyAlignment="1" applyBorder="1" applyFont="1">
      <alignment horizontal="center" vertical="center"/>
    </xf>
    <xf borderId="0" fillId="0" fontId="16" numFmtId="0" xfId="0" applyFont="1"/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17" fillId="0" fontId="1" numFmtId="15" xfId="0" applyAlignment="1" applyBorder="1" applyFont="1" applyNumberFormat="1">
      <alignment horizontal="center" vertical="center"/>
    </xf>
    <xf borderId="17" fillId="0" fontId="14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3" numFmtId="169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readingOrder="0" shrinkToFit="0" wrapText="0"/>
    </xf>
    <xf borderId="17" fillId="0" fontId="13" numFmtId="165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shrinkToFit="0" wrapText="0"/>
    </xf>
    <xf borderId="17" fillId="0" fontId="13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Alignment="1" applyBorder="1" applyFont="1">
      <alignment horizontal="left"/>
    </xf>
    <xf borderId="17" fillId="0" fontId="15" numFmtId="49" xfId="0" applyAlignment="1" applyBorder="1" applyFont="1" applyNumberFormat="1">
      <alignment horizontal="center" shrinkToFit="0" vertical="center" wrapText="1"/>
    </xf>
    <xf borderId="36" fillId="0" fontId="6" numFmtId="0" xfId="0" applyAlignment="1" applyBorder="1" applyFont="1">
      <alignment horizontal="center"/>
    </xf>
    <xf borderId="17" fillId="0" fontId="4" numFmtId="0" xfId="0" applyAlignment="1" applyBorder="1" applyFont="1">
      <alignment horizontal="left"/>
    </xf>
    <xf borderId="17" fillId="0" fontId="15" numFmtId="0" xfId="0" applyAlignment="1" applyBorder="1" applyFont="1">
      <alignment horizontal="center" vertical="top"/>
    </xf>
    <xf borderId="17" fillId="0" fontId="15" numFmtId="165" xfId="0" applyAlignment="1" applyBorder="1" applyFont="1" applyNumberFormat="1">
      <alignment horizontal="center"/>
    </xf>
    <xf borderId="42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17" fillId="0" fontId="13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49" fillId="0" fontId="15" numFmtId="0" xfId="0" applyAlignment="1" applyBorder="1" applyFont="1">
      <alignment horizont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/>
    </xf>
    <xf borderId="17" fillId="0" fontId="13" numFmtId="0" xfId="0" applyAlignment="1" applyBorder="1" applyFont="1">
      <alignment horizontal="center"/>
    </xf>
    <xf borderId="17" fillId="0" fontId="13" numFmtId="0" xfId="0" applyBorder="1" applyFont="1"/>
    <xf borderId="36" fillId="0" fontId="13" numFmtId="0" xfId="0" applyAlignment="1" applyBorder="1" applyFont="1">
      <alignment horizontal="center"/>
    </xf>
    <xf borderId="36" fillId="0" fontId="13" numFmtId="0" xfId="0" applyAlignment="1" applyBorder="1" applyFont="1">
      <alignment horizontal="left"/>
    </xf>
    <xf borderId="36" fillId="0" fontId="13" numFmtId="174" xfId="0" applyAlignment="1" applyBorder="1" applyFont="1" applyNumberFormat="1">
      <alignment horizontal="center"/>
    </xf>
    <xf borderId="42" fillId="0" fontId="13" numFmtId="0" xfId="0" applyAlignment="1" applyBorder="1" applyFont="1">
      <alignment horizontal="center"/>
    </xf>
    <xf borderId="42" fillId="0" fontId="13" numFmtId="0" xfId="0" applyAlignment="1" applyBorder="1" applyFont="1">
      <alignment horizontal="left"/>
    </xf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3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left" readingOrder="0" shrinkToFit="0" wrapText="1"/>
    </xf>
    <xf borderId="36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3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36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34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36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36" fillId="0" fontId="13" numFmtId="0" xfId="0" applyAlignment="1" applyBorder="1" applyFont="1">
      <alignment horizontal="left" readingOrder="0"/>
    </xf>
    <xf borderId="36" fillId="0" fontId="13" numFmtId="174" xfId="0" applyAlignment="1" applyBorder="1" applyFont="1" applyNumberFormat="1">
      <alignment horizontal="center" readingOrder="0"/>
    </xf>
    <xf borderId="42" fillId="0" fontId="13" numFmtId="0" xfId="0" applyAlignment="1" applyBorder="1" applyFont="1">
      <alignment horizontal="left" readingOrder="0"/>
    </xf>
    <xf borderId="17" fillId="0" fontId="21" numFmtId="0" xfId="0" applyAlignment="1" applyBorder="1" applyFont="1">
      <alignment readingOrder="0"/>
    </xf>
    <xf borderId="42" fillId="0" fontId="15" numFmtId="0" xfId="0" applyAlignment="1" applyBorder="1" applyFont="1">
      <alignment horizontal="center" readingOrder="0"/>
    </xf>
    <xf borderId="36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36" fillId="0" fontId="15" numFmtId="0" xfId="0" applyAlignment="1" applyBorder="1" applyFont="1">
      <alignment horizontal="left" readingOrder="0"/>
    </xf>
    <xf borderId="17" fillId="0" fontId="6" numFmtId="170" xfId="0" applyAlignment="1" applyBorder="1" applyFont="1" applyNumberFormat="1">
      <alignment horizontal="center" readingOrder="0" vertical="center"/>
    </xf>
    <xf borderId="42" fillId="0" fontId="15" numFmtId="0" xfId="0" applyAlignment="1" applyBorder="1" applyFont="1">
      <alignment horizontal="left"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4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17" fillId="5" fontId="15" numFmtId="0" xfId="0" applyAlignment="1" applyBorder="1" applyFill="1" applyFont="1">
      <alignment horizontal="center" readingOrder="0" vertical="bottom"/>
    </xf>
    <xf borderId="17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9" numFmtId="0" xfId="0" applyAlignment="1" applyFont="1">
      <alignment horizontal="left"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 readingOrder="0"/>
    </xf>
    <xf borderId="36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36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17" fillId="0" fontId="1" numFmtId="177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10" numFmtId="0" xfId="0" applyAlignment="1" applyBorder="1" applyFont="1">
      <alignment horizontal="center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1" numFmtId="0" xfId="0" applyAlignment="1" applyBorder="1" applyFont="1">
      <alignment horizontal="center"/>
    </xf>
    <xf borderId="0" fillId="0" fontId="4" numFmtId="0" xfId="0" applyAlignment="1" applyFont="1">
      <alignment horizontal="left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17" fillId="0" fontId="28" numFmtId="0" xfId="0" applyAlignment="1" applyBorder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36" fillId="0" fontId="1" numFmtId="0" xfId="0" applyAlignment="1" applyBorder="1" applyFont="1">
      <alignment horizontal="center" readingOrder="0"/>
    </xf>
    <xf borderId="43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9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17" fillId="0" fontId="32" numFmtId="0" xfId="0" applyAlignment="1" applyBorder="1" applyFont="1">
      <alignment readingOrder="0"/>
    </xf>
    <xf borderId="17" fillId="0" fontId="26" numFmtId="0" xfId="0" applyAlignment="1" applyBorder="1" applyFont="1">
      <alignment readingOrder="0"/>
    </xf>
    <xf borderId="17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9" numFmtId="0" xfId="0" applyAlignment="1" applyBorder="1" applyFont="1">
      <alignment horizontal="left"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1" numFmtId="0" xfId="0" applyAlignment="1" applyBorder="1" applyFont="1">
      <alignment readingOrder="0"/>
    </xf>
    <xf borderId="17" fillId="0" fontId="9" numFmtId="0" xfId="0" applyAlignment="1" applyBorder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17" fillId="0" fontId="21" numFmtId="0" xfId="0" applyAlignment="1" applyBorder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9" numFmtId="0" xfId="0" applyAlignment="1" applyBorder="1" applyFont="1">
      <alignment horizontal="center" readingOrder="0" vertical="center"/>
    </xf>
    <xf borderId="0" fillId="0" fontId="35" numFmtId="0" xfId="0" applyAlignment="1" applyFont="1">
      <alignment horizontal="center" readingOrder="0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17" fillId="0" fontId="9" numFmtId="0" xfId="0" applyBorder="1" applyFont="1"/>
    <xf borderId="17" fillId="0" fontId="9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5</v>
      </c>
      <c r="AE3" s="18">
        <f>COUNTIF(U7:U5000,"CLOSED")</f>
        <v>980</v>
      </c>
    </row>
    <row r="4" ht="27.0" customHeight="1">
      <c r="A4" s="37" t="s">
        <v>6</v>
      </c>
      <c r="B4" s="38" t="s">
        <v>7</v>
      </c>
      <c r="C4" s="39" t="s">
        <v>8</v>
      </c>
      <c r="D4" s="40" t="s">
        <v>9</v>
      </c>
      <c r="E4" s="41" t="s">
        <v>10</v>
      </c>
      <c r="F4" s="42" t="s">
        <v>11</v>
      </c>
      <c r="G4" s="42" t="s">
        <v>12</v>
      </c>
      <c r="H4" s="43" t="s">
        <v>13</v>
      </c>
      <c r="I4" s="42" t="s">
        <v>14</v>
      </c>
      <c r="J4" s="44" t="s">
        <v>15</v>
      </c>
      <c r="K4" s="45" t="s">
        <v>16</v>
      </c>
      <c r="L4" s="46" t="s">
        <v>17</v>
      </c>
      <c r="M4" s="47"/>
      <c r="N4" s="48"/>
      <c r="O4" s="44" t="s">
        <v>18</v>
      </c>
      <c r="P4" s="49" t="s">
        <v>19</v>
      </c>
      <c r="Q4" s="5"/>
      <c r="R4" s="5"/>
      <c r="S4" s="50"/>
      <c r="T4" s="44" t="s">
        <v>20</v>
      </c>
      <c r="U4" s="51" t="s">
        <v>21</v>
      </c>
      <c r="V4" s="52"/>
      <c r="W4" s="52"/>
      <c r="X4" s="52"/>
      <c r="Y4" s="52"/>
      <c r="Z4" s="52"/>
      <c r="AA4" s="52"/>
      <c r="AB4" s="52"/>
      <c r="AC4" s="53"/>
      <c r="AD4" s="53"/>
      <c r="AE4" s="53"/>
    </row>
    <row r="5" ht="16.5" customHeight="1">
      <c r="A5" s="54"/>
      <c r="B5" s="55"/>
      <c r="C5" s="56"/>
      <c r="D5" s="58"/>
      <c r="E5" s="58"/>
      <c r="F5" s="60"/>
      <c r="G5" s="60"/>
      <c r="H5" s="61" t="s">
        <v>23</v>
      </c>
      <c r="I5" s="63"/>
      <c r="J5" s="64" t="s">
        <v>25</v>
      </c>
      <c r="K5" s="65"/>
      <c r="L5" s="66" t="s">
        <v>26</v>
      </c>
      <c r="M5" s="68" t="s">
        <v>27</v>
      </c>
      <c r="N5" s="70" t="s">
        <v>29</v>
      </c>
      <c r="O5" s="60"/>
      <c r="P5" s="72" t="s">
        <v>30</v>
      </c>
      <c r="Q5" s="59"/>
      <c r="R5" s="72" t="s">
        <v>32</v>
      </c>
      <c r="S5" s="59"/>
      <c r="T5" s="60"/>
      <c r="U5" s="74"/>
      <c r="V5" s="9"/>
      <c r="W5" s="9"/>
      <c r="X5" s="9"/>
      <c r="Y5" s="9"/>
      <c r="Z5" s="9"/>
      <c r="AA5" s="9"/>
      <c r="AB5" s="9"/>
    </row>
    <row r="6" ht="35.25" customHeight="1">
      <c r="A6" s="54"/>
      <c r="B6" s="55"/>
      <c r="C6" s="56"/>
      <c r="D6" s="78"/>
      <c r="E6" s="58"/>
      <c r="F6" s="60"/>
      <c r="G6" s="60"/>
      <c r="H6" s="79"/>
      <c r="I6" s="63"/>
      <c r="J6" s="60"/>
      <c r="K6" s="64" t="s">
        <v>47</v>
      </c>
      <c r="L6" s="60"/>
      <c r="M6" s="60"/>
      <c r="N6" s="60"/>
      <c r="O6" s="60"/>
      <c r="P6" s="68" t="s">
        <v>27</v>
      </c>
      <c r="Q6" s="70" t="s">
        <v>29</v>
      </c>
      <c r="R6" s="68" t="s">
        <v>27</v>
      </c>
      <c r="S6" s="70" t="s">
        <v>29</v>
      </c>
      <c r="T6" s="60"/>
      <c r="U6" s="74"/>
      <c r="V6" s="9"/>
      <c r="W6" s="9"/>
      <c r="X6" s="9"/>
      <c r="Y6" s="9"/>
      <c r="Z6" s="9"/>
      <c r="AA6" s="9"/>
      <c r="AB6" s="9"/>
    </row>
    <row r="7" ht="49.5" customHeight="1">
      <c r="A7" s="81">
        <v>1.0</v>
      </c>
      <c r="B7" s="82" t="s">
        <v>56</v>
      </c>
      <c r="C7" s="82" t="str">
        <f>VLOOKUP($B$7:$B$5000,SUM!$L$6:$L$500,1,FALSE)</f>
        <v>#N/A</v>
      </c>
      <c r="D7" s="84" t="s">
        <v>57</v>
      </c>
      <c r="E7" s="85" t="s">
        <v>58</v>
      </c>
      <c r="F7" s="81" t="s">
        <v>59</v>
      </c>
      <c r="G7" s="86" t="s">
        <v>60</v>
      </c>
      <c r="H7" s="81" t="s">
        <v>61</v>
      </c>
      <c r="I7" s="87" t="s">
        <v>62</v>
      </c>
      <c r="J7" s="81" t="s">
        <v>63</v>
      </c>
      <c r="K7" s="81" t="s">
        <v>64</v>
      </c>
      <c r="L7" s="81" t="s">
        <v>65</v>
      </c>
      <c r="M7" s="81" t="s">
        <v>66</v>
      </c>
      <c r="N7" s="25">
        <v>46053.0</v>
      </c>
      <c r="O7" s="81" t="s">
        <v>67</v>
      </c>
      <c r="P7" s="81" t="s">
        <v>68</v>
      </c>
      <c r="Q7" s="89"/>
      <c r="R7" s="81"/>
      <c r="S7" s="89"/>
      <c r="T7" s="81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1">
        <v>2.0</v>
      </c>
      <c r="B8" s="92" t="s">
        <v>70</v>
      </c>
      <c r="C8" s="82" t="str">
        <f>VLOOKUP($B$7:$B$5000,SUM!$L$6:$L$500,1,FALSE)</f>
        <v>#N/A</v>
      </c>
      <c r="D8" s="84" t="s">
        <v>57</v>
      </c>
      <c r="E8" s="85" t="s">
        <v>58</v>
      </c>
      <c r="F8" s="81" t="s">
        <v>59</v>
      </c>
      <c r="G8" s="86" t="s">
        <v>60</v>
      </c>
      <c r="H8" s="81" t="s">
        <v>61</v>
      </c>
      <c r="I8" s="93" t="s">
        <v>71</v>
      </c>
      <c r="J8" s="81" t="s">
        <v>63</v>
      </c>
      <c r="K8" s="81" t="s">
        <v>64</v>
      </c>
      <c r="L8" s="81" t="s">
        <v>65</v>
      </c>
      <c r="M8" s="81" t="s">
        <v>66</v>
      </c>
      <c r="N8" s="25">
        <v>46053.0</v>
      </c>
      <c r="O8" s="81" t="s">
        <v>67</v>
      </c>
      <c r="P8" s="81" t="s">
        <v>68</v>
      </c>
      <c r="Q8" s="89"/>
      <c r="R8" s="81"/>
      <c r="S8" s="89"/>
      <c r="T8" s="81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1">
        <v>3.0</v>
      </c>
      <c r="B9" s="92" t="s">
        <v>72</v>
      </c>
      <c r="C9" s="82" t="str">
        <f>VLOOKUP($B$7:$B$5000,SUM!$L$6:$L$500,1,FALSE)</f>
        <v>#N/A</v>
      </c>
      <c r="D9" s="84" t="s">
        <v>57</v>
      </c>
      <c r="E9" s="85" t="s">
        <v>58</v>
      </c>
      <c r="F9" s="81" t="s">
        <v>59</v>
      </c>
      <c r="G9" s="86" t="s">
        <v>60</v>
      </c>
      <c r="H9" s="81" t="s">
        <v>61</v>
      </c>
      <c r="I9" s="93" t="s">
        <v>73</v>
      </c>
      <c r="J9" s="81" t="s">
        <v>74</v>
      </c>
      <c r="K9" s="81" t="s">
        <v>64</v>
      </c>
      <c r="L9" s="81" t="s">
        <v>65</v>
      </c>
      <c r="M9" s="81" t="s">
        <v>66</v>
      </c>
      <c r="N9" s="25">
        <v>46053.0</v>
      </c>
      <c r="O9" s="81" t="s">
        <v>67</v>
      </c>
      <c r="P9" s="81" t="s">
        <v>68</v>
      </c>
      <c r="Q9" s="89"/>
      <c r="R9" s="81"/>
      <c r="S9" s="89"/>
      <c r="T9" s="81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1">
        <v>4.0</v>
      </c>
      <c r="B10" s="92" t="s">
        <v>75</v>
      </c>
      <c r="C10" s="82" t="str">
        <f>VLOOKUP($B$7:$B$5000,SUM!$L$6:$L$500,1,FALSE)</f>
        <v>#N/A</v>
      </c>
      <c r="D10" s="84" t="s">
        <v>57</v>
      </c>
      <c r="E10" s="85" t="s">
        <v>58</v>
      </c>
      <c r="F10" s="81" t="s">
        <v>59</v>
      </c>
      <c r="G10" s="86" t="s">
        <v>60</v>
      </c>
      <c r="H10" s="84" t="s">
        <v>61</v>
      </c>
      <c r="I10" s="93" t="s">
        <v>73</v>
      </c>
      <c r="J10" s="81" t="s">
        <v>74</v>
      </c>
      <c r="K10" s="81" t="s">
        <v>64</v>
      </c>
      <c r="L10" s="81" t="s">
        <v>65</v>
      </c>
      <c r="M10" s="81" t="s">
        <v>66</v>
      </c>
      <c r="N10" s="25">
        <v>46053.0</v>
      </c>
      <c r="O10" s="81" t="s">
        <v>67</v>
      </c>
      <c r="P10" s="81" t="s">
        <v>68</v>
      </c>
      <c r="Q10" s="89"/>
      <c r="R10" s="81"/>
      <c r="S10" s="89"/>
      <c r="T10" s="81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1">
        <v>5.0</v>
      </c>
      <c r="B11" s="92" t="s">
        <v>76</v>
      </c>
      <c r="C11" s="82" t="str">
        <f>VLOOKUP($B$7:$B$5000,SUM!$L$6:$L$500,1,FALSE)</f>
        <v>#N/A</v>
      </c>
      <c r="D11" s="81" t="s">
        <v>77</v>
      </c>
      <c r="E11" s="85" t="s">
        <v>58</v>
      </c>
      <c r="F11" s="81" t="s">
        <v>78</v>
      </c>
      <c r="G11" s="86" t="s">
        <v>60</v>
      </c>
      <c r="H11" s="81" t="s">
        <v>61</v>
      </c>
      <c r="I11" s="93" t="s">
        <v>79</v>
      </c>
      <c r="J11" s="81" t="s">
        <v>63</v>
      </c>
      <c r="K11" s="81" t="s">
        <v>80</v>
      </c>
      <c r="L11" s="81" t="s">
        <v>65</v>
      </c>
      <c r="M11" s="81" t="s">
        <v>66</v>
      </c>
      <c r="N11" s="25">
        <v>46062.0</v>
      </c>
      <c r="O11" s="81" t="s">
        <v>67</v>
      </c>
      <c r="P11" s="81" t="s">
        <v>68</v>
      </c>
      <c r="Q11" s="89"/>
      <c r="R11" s="81"/>
      <c r="S11" s="89"/>
      <c r="T11" s="81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1">
        <v>6.0</v>
      </c>
      <c r="B12" s="92" t="s">
        <v>81</v>
      </c>
      <c r="C12" s="82" t="str">
        <f>VLOOKUP($B$7:$B$5000,SUM!$L$6:$L$500,1,FALSE)</f>
        <v>#N/A</v>
      </c>
      <c r="D12" s="81" t="s">
        <v>77</v>
      </c>
      <c r="E12" s="85" t="s">
        <v>58</v>
      </c>
      <c r="F12" s="81" t="s">
        <v>78</v>
      </c>
      <c r="G12" s="86" t="s">
        <v>60</v>
      </c>
      <c r="H12" s="81" t="s">
        <v>61</v>
      </c>
      <c r="I12" s="87" t="s">
        <v>82</v>
      </c>
      <c r="J12" s="81" t="s">
        <v>63</v>
      </c>
      <c r="K12" s="81" t="s">
        <v>80</v>
      </c>
      <c r="L12" s="81" t="s">
        <v>65</v>
      </c>
      <c r="M12" s="81" t="s">
        <v>66</v>
      </c>
      <c r="N12" s="25">
        <v>46062.0</v>
      </c>
      <c r="O12" s="81" t="s">
        <v>67</v>
      </c>
      <c r="P12" s="81" t="s">
        <v>68</v>
      </c>
      <c r="Q12" s="81"/>
      <c r="R12" s="81"/>
      <c r="S12" s="81"/>
      <c r="T12" s="81"/>
      <c r="U12" s="90" t="s">
        <v>69</v>
      </c>
      <c r="V12" s="81"/>
      <c r="W12" s="81"/>
      <c r="X12" s="81"/>
      <c r="Y12" s="81"/>
      <c r="Z12" s="81"/>
      <c r="AA12" s="81"/>
      <c r="AB12" s="81"/>
    </row>
    <row r="13" ht="49.5" customHeight="1">
      <c r="A13" s="81">
        <v>7.0</v>
      </c>
      <c r="B13" s="92" t="s">
        <v>83</v>
      </c>
      <c r="C13" s="82" t="str">
        <f>VLOOKUP($B$7:$B$5000,SUM!$L$6:$L$500,1,FALSE)</f>
        <v>#N/A</v>
      </c>
      <c r="D13" s="81" t="s">
        <v>77</v>
      </c>
      <c r="E13" s="85" t="s">
        <v>58</v>
      </c>
      <c r="F13" s="81" t="s">
        <v>78</v>
      </c>
      <c r="G13" s="86" t="s">
        <v>60</v>
      </c>
      <c r="H13" s="81" t="s">
        <v>61</v>
      </c>
      <c r="I13" s="93" t="s">
        <v>84</v>
      </c>
      <c r="J13" s="81" t="s">
        <v>74</v>
      </c>
      <c r="K13" s="81" t="s">
        <v>80</v>
      </c>
      <c r="L13" s="81" t="s">
        <v>65</v>
      </c>
      <c r="M13" s="81" t="s">
        <v>66</v>
      </c>
      <c r="N13" s="25">
        <v>46062.0</v>
      </c>
      <c r="O13" s="81" t="s">
        <v>67</v>
      </c>
      <c r="P13" s="81" t="s">
        <v>68</v>
      </c>
      <c r="Q13" s="89"/>
      <c r="R13" s="81"/>
      <c r="S13" s="89"/>
      <c r="T13" s="81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1">
        <v>8.0</v>
      </c>
      <c r="B14" s="92" t="s">
        <v>85</v>
      </c>
      <c r="C14" s="82" t="str">
        <f>VLOOKUP($B$7:$B$5000,SUM!$L$6:$L$500,1,FALSE)</f>
        <v>#N/A</v>
      </c>
      <c r="D14" s="81" t="s">
        <v>77</v>
      </c>
      <c r="E14" s="85" t="s">
        <v>58</v>
      </c>
      <c r="F14" s="81" t="s">
        <v>78</v>
      </c>
      <c r="G14" s="86" t="s">
        <v>60</v>
      </c>
      <c r="H14" s="81" t="s">
        <v>61</v>
      </c>
      <c r="I14" s="93" t="s">
        <v>86</v>
      </c>
      <c r="J14" s="81" t="s">
        <v>74</v>
      </c>
      <c r="K14" s="81" t="s">
        <v>80</v>
      </c>
      <c r="L14" s="81" t="s">
        <v>65</v>
      </c>
      <c r="M14" s="81" t="s">
        <v>66</v>
      </c>
      <c r="N14" s="25">
        <v>46062.0</v>
      </c>
      <c r="O14" s="81" t="s">
        <v>67</v>
      </c>
      <c r="P14" s="81" t="s">
        <v>68</v>
      </c>
      <c r="Q14" s="89"/>
      <c r="R14" s="81"/>
      <c r="S14" s="89"/>
      <c r="T14" s="81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1">
        <v>9.0</v>
      </c>
      <c r="B15" s="92" t="s">
        <v>87</v>
      </c>
      <c r="C15" s="82" t="str">
        <f>VLOOKUP($B$7:$B$5000,SUM!$L$6:$L$500,1,FALSE)</f>
        <v>#N/A</v>
      </c>
      <c r="D15" s="81" t="s">
        <v>88</v>
      </c>
      <c r="E15" s="85" t="s">
        <v>58</v>
      </c>
      <c r="F15" s="81" t="s">
        <v>89</v>
      </c>
      <c r="G15" s="86" t="s">
        <v>60</v>
      </c>
      <c r="H15" s="81" t="s">
        <v>61</v>
      </c>
      <c r="I15" s="93" t="s">
        <v>90</v>
      </c>
      <c r="J15" s="81" t="s">
        <v>63</v>
      </c>
      <c r="K15" s="81" t="s">
        <v>91</v>
      </c>
      <c r="L15" s="81" t="s">
        <v>65</v>
      </c>
      <c r="M15" s="81" t="s">
        <v>66</v>
      </c>
      <c r="N15" s="25">
        <v>46062.0</v>
      </c>
      <c r="O15" s="81" t="s">
        <v>67</v>
      </c>
      <c r="P15" s="81" t="s">
        <v>68</v>
      </c>
      <c r="Q15" s="89"/>
      <c r="R15" s="81"/>
      <c r="S15" s="89"/>
      <c r="T15" s="81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1">
        <v>10.0</v>
      </c>
      <c r="B16" s="92" t="s">
        <v>92</v>
      </c>
      <c r="C16" s="82" t="str">
        <f>VLOOKUP($B$7:$B$5000,SUM!$L$6:$L$500,1,FALSE)</f>
        <v>#N/A</v>
      </c>
      <c r="D16" s="81" t="s">
        <v>88</v>
      </c>
      <c r="E16" s="85" t="s">
        <v>58</v>
      </c>
      <c r="F16" s="81" t="s">
        <v>89</v>
      </c>
      <c r="G16" s="86" t="s">
        <v>60</v>
      </c>
      <c r="H16" s="81" t="s">
        <v>61</v>
      </c>
      <c r="I16" s="93" t="s">
        <v>93</v>
      </c>
      <c r="J16" s="81" t="s">
        <v>63</v>
      </c>
      <c r="K16" s="81" t="s">
        <v>91</v>
      </c>
      <c r="L16" s="81" t="s">
        <v>65</v>
      </c>
      <c r="M16" s="81" t="s">
        <v>66</v>
      </c>
      <c r="N16" s="25">
        <v>46062.0</v>
      </c>
      <c r="O16" s="81" t="s">
        <v>67</v>
      </c>
      <c r="P16" s="81" t="s">
        <v>68</v>
      </c>
      <c r="Q16" s="89"/>
      <c r="R16" s="81"/>
      <c r="S16" s="89"/>
      <c r="T16" s="81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1">
        <v>11.0</v>
      </c>
      <c r="B17" s="92" t="s">
        <v>94</v>
      </c>
      <c r="C17" s="82" t="str">
        <f>VLOOKUP($B$7:$B$5000,SUM!$L$6:$L$500,1,FALSE)</f>
        <v>#N/A</v>
      </c>
      <c r="D17" s="81" t="s">
        <v>88</v>
      </c>
      <c r="E17" s="85" t="s">
        <v>58</v>
      </c>
      <c r="F17" s="81" t="s">
        <v>89</v>
      </c>
      <c r="G17" s="86" t="s">
        <v>60</v>
      </c>
      <c r="H17" s="81" t="s">
        <v>61</v>
      </c>
      <c r="I17" s="93" t="s">
        <v>95</v>
      </c>
      <c r="J17" s="81" t="s">
        <v>74</v>
      </c>
      <c r="K17" s="81" t="s">
        <v>91</v>
      </c>
      <c r="L17" s="81" t="s">
        <v>65</v>
      </c>
      <c r="M17" s="81" t="s">
        <v>66</v>
      </c>
      <c r="N17" s="25">
        <v>46062.0</v>
      </c>
      <c r="O17" s="81" t="s">
        <v>67</v>
      </c>
      <c r="P17" s="81" t="s">
        <v>68</v>
      </c>
      <c r="Q17" s="89"/>
      <c r="R17" s="81"/>
      <c r="S17" s="89"/>
      <c r="T17" s="81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1">
        <v>12.0</v>
      </c>
      <c r="B18" s="92" t="s">
        <v>96</v>
      </c>
      <c r="C18" s="82" t="str">
        <f>VLOOKUP($B$7:$B$5000,SUM!$L$6:$L$500,1,FALSE)</f>
        <v>#N/A</v>
      </c>
      <c r="D18" s="81" t="s">
        <v>88</v>
      </c>
      <c r="E18" s="85" t="s">
        <v>58</v>
      </c>
      <c r="F18" s="81" t="s">
        <v>89</v>
      </c>
      <c r="G18" s="86" t="s">
        <v>60</v>
      </c>
      <c r="H18" s="81" t="s">
        <v>61</v>
      </c>
      <c r="I18" s="93" t="s">
        <v>97</v>
      </c>
      <c r="J18" s="81" t="s">
        <v>74</v>
      </c>
      <c r="K18" s="81" t="s">
        <v>91</v>
      </c>
      <c r="L18" s="81" t="s">
        <v>65</v>
      </c>
      <c r="M18" s="81" t="s">
        <v>66</v>
      </c>
      <c r="N18" s="25">
        <v>46062.0</v>
      </c>
      <c r="O18" s="81" t="s">
        <v>67</v>
      </c>
      <c r="P18" s="81" t="s">
        <v>68</v>
      </c>
      <c r="Q18" s="89"/>
      <c r="R18" s="81"/>
      <c r="S18" s="89"/>
      <c r="T18" s="81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1">
        <v>13.0</v>
      </c>
      <c r="B19" s="92" t="s">
        <v>98</v>
      </c>
      <c r="C19" s="82" t="str">
        <f>VLOOKUP($B$7:$B$5000,SUM!$L$6:$L$500,1,FALSE)</f>
        <v>#N/A</v>
      </c>
      <c r="D19" s="81" t="s">
        <v>99</v>
      </c>
      <c r="E19" s="85" t="s">
        <v>58</v>
      </c>
      <c r="F19" s="81" t="s">
        <v>78</v>
      </c>
      <c r="G19" s="81" t="s">
        <v>60</v>
      </c>
      <c r="H19" s="81" t="s">
        <v>61</v>
      </c>
      <c r="I19" s="93" t="s">
        <v>79</v>
      </c>
      <c r="J19" s="81" t="s">
        <v>63</v>
      </c>
      <c r="K19" s="81" t="s">
        <v>80</v>
      </c>
      <c r="L19" s="81" t="s">
        <v>65</v>
      </c>
      <c r="M19" s="81" t="s">
        <v>66</v>
      </c>
      <c r="N19" s="25">
        <v>46074.0</v>
      </c>
      <c r="O19" s="81" t="s">
        <v>67</v>
      </c>
      <c r="P19" s="81" t="s">
        <v>68</v>
      </c>
      <c r="Q19" s="89"/>
      <c r="R19" s="81"/>
      <c r="S19" s="89"/>
      <c r="T19" s="81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1">
        <v>14.0</v>
      </c>
      <c r="B20" s="92" t="s">
        <v>100</v>
      </c>
      <c r="C20" s="82" t="str">
        <f>VLOOKUP($B$7:$B$5000,SUM!$L$6:$L$500,1,FALSE)</f>
        <v>#N/A</v>
      </c>
      <c r="D20" s="81" t="s">
        <v>99</v>
      </c>
      <c r="E20" s="85" t="s">
        <v>58</v>
      </c>
      <c r="F20" s="81" t="s">
        <v>78</v>
      </c>
      <c r="G20" s="81" t="s">
        <v>60</v>
      </c>
      <c r="H20" s="81" t="s">
        <v>61</v>
      </c>
      <c r="I20" s="87" t="s">
        <v>82</v>
      </c>
      <c r="J20" s="81" t="s">
        <v>63</v>
      </c>
      <c r="K20" s="81" t="s">
        <v>80</v>
      </c>
      <c r="L20" s="81" t="s">
        <v>65</v>
      </c>
      <c r="M20" s="81" t="s">
        <v>66</v>
      </c>
      <c r="N20" s="25">
        <v>46074.0</v>
      </c>
      <c r="O20" s="81" t="s">
        <v>67</v>
      </c>
      <c r="P20" s="81" t="s">
        <v>68</v>
      </c>
      <c r="Q20" s="89"/>
      <c r="R20" s="81"/>
      <c r="S20" s="89"/>
      <c r="T20" s="81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1">
        <v>15.0</v>
      </c>
      <c r="B21" s="92" t="s">
        <v>101</v>
      </c>
      <c r="C21" s="82" t="str">
        <f>VLOOKUP($B$7:$B$5000,SUM!$L$6:$L$500,1,FALSE)</f>
        <v>#N/A</v>
      </c>
      <c r="D21" s="81" t="s">
        <v>99</v>
      </c>
      <c r="E21" s="85" t="s">
        <v>58</v>
      </c>
      <c r="F21" s="81" t="s">
        <v>78</v>
      </c>
      <c r="G21" s="81" t="s">
        <v>60</v>
      </c>
      <c r="H21" s="81" t="s">
        <v>61</v>
      </c>
      <c r="I21" s="93" t="s">
        <v>84</v>
      </c>
      <c r="J21" s="81" t="s">
        <v>74</v>
      </c>
      <c r="K21" s="81" t="s">
        <v>80</v>
      </c>
      <c r="L21" s="81" t="s">
        <v>65</v>
      </c>
      <c r="M21" s="81" t="s">
        <v>66</v>
      </c>
      <c r="N21" s="25">
        <v>46074.0</v>
      </c>
      <c r="O21" s="81" t="s">
        <v>67</v>
      </c>
      <c r="P21" s="81" t="s">
        <v>68</v>
      </c>
      <c r="Q21" s="89"/>
      <c r="R21" s="81"/>
      <c r="S21" s="89"/>
      <c r="T21" s="81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1">
        <v>16.0</v>
      </c>
      <c r="B22" s="92" t="s">
        <v>102</v>
      </c>
      <c r="C22" s="82" t="str">
        <f>VLOOKUP($B$7:$B$5000,SUM!$L$6:$L$500,1,FALSE)</f>
        <v>#N/A</v>
      </c>
      <c r="D22" s="81" t="s">
        <v>99</v>
      </c>
      <c r="E22" s="85" t="s">
        <v>58</v>
      </c>
      <c r="F22" s="81" t="s">
        <v>78</v>
      </c>
      <c r="G22" s="81" t="s">
        <v>60</v>
      </c>
      <c r="H22" s="81" t="s">
        <v>61</v>
      </c>
      <c r="I22" s="93" t="s">
        <v>86</v>
      </c>
      <c r="J22" s="81" t="s">
        <v>74</v>
      </c>
      <c r="K22" s="81" t="s">
        <v>80</v>
      </c>
      <c r="L22" s="81" t="s">
        <v>65</v>
      </c>
      <c r="M22" s="81" t="s">
        <v>66</v>
      </c>
      <c r="N22" s="25">
        <v>46074.0</v>
      </c>
      <c r="O22" s="81" t="s">
        <v>67</v>
      </c>
      <c r="P22" s="81" t="s">
        <v>68</v>
      </c>
      <c r="Q22" s="89"/>
      <c r="R22" s="81"/>
      <c r="S22" s="89"/>
      <c r="T22" s="81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1">
        <v>17.0</v>
      </c>
      <c r="B23" s="92" t="s">
        <v>103</v>
      </c>
      <c r="C23" s="82" t="str">
        <f>VLOOKUP($B$7:$B$5000,SUM!$L$6:$L$500,1,FALSE)</f>
        <v>#N/A</v>
      </c>
      <c r="D23" s="81" t="s">
        <v>104</v>
      </c>
      <c r="E23" s="85" t="s">
        <v>58</v>
      </c>
      <c r="F23" s="81" t="s">
        <v>105</v>
      </c>
      <c r="G23" s="86" t="s">
        <v>106</v>
      </c>
      <c r="H23" s="81" t="s">
        <v>61</v>
      </c>
      <c r="I23" s="87" t="s">
        <v>107</v>
      </c>
      <c r="J23" s="81" t="s">
        <v>108</v>
      </c>
      <c r="K23" s="81" t="s">
        <v>64</v>
      </c>
      <c r="L23" s="81" t="s">
        <v>65</v>
      </c>
      <c r="M23" s="81" t="s">
        <v>66</v>
      </c>
      <c r="N23" s="25">
        <v>46075.0</v>
      </c>
      <c r="O23" s="81" t="s">
        <v>67</v>
      </c>
      <c r="P23" s="81" t="s">
        <v>68</v>
      </c>
      <c r="Q23" s="89"/>
      <c r="R23" s="81"/>
      <c r="S23" s="89"/>
      <c r="T23" s="81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1">
        <v>18.0</v>
      </c>
      <c r="B24" s="92" t="s">
        <v>109</v>
      </c>
      <c r="C24" s="82" t="str">
        <f>VLOOKUP($B$7:$B$5000,SUM!$L$6:$L$500,1,FALSE)</f>
        <v>#N/A</v>
      </c>
      <c r="D24" s="81" t="s">
        <v>104</v>
      </c>
      <c r="E24" s="85" t="s">
        <v>58</v>
      </c>
      <c r="F24" s="81" t="s">
        <v>105</v>
      </c>
      <c r="G24" s="86" t="s">
        <v>106</v>
      </c>
      <c r="H24" s="81" t="s">
        <v>61</v>
      </c>
      <c r="I24" s="87" t="s">
        <v>110</v>
      </c>
      <c r="J24" s="81" t="s">
        <v>74</v>
      </c>
      <c r="K24" s="81" t="s">
        <v>64</v>
      </c>
      <c r="L24" s="81" t="s">
        <v>65</v>
      </c>
      <c r="M24" s="81" t="s">
        <v>66</v>
      </c>
      <c r="N24" s="25">
        <v>46075.0</v>
      </c>
      <c r="O24" s="81" t="s">
        <v>67</v>
      </c>
      <c r="P24" s="81" t="s">
        <v>68</v>
      </c>
      <c r="Q24" s="89"/>
      <c r="R24" s="81"/>
      <c r="S24" s="89"/>
      <c r="T24" s="81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1">
        <v>19.0</v>
      </c>
      <c r="B25" s="92" t="s">
        <v>111</v>
      </c>
      <c r="C25" s="82" t="str">
        <f>VLOOKUP($B$7:$B$5000,SUM!$L$6:$L$500,1,FALSE)</f>
        <v>#N/A</v>
      </c>
      <c r="D25" s="81" t="s">
        <v>112</v>
      </c>
      <c r="E25" s="85" t="s">
        <v>58</v>
      </c>
      <c r="F25" s="81" t="s">
        <v>113</v>
      </c>
      <c r="G25" s="81" t="s">
        <v>114</v>
      </c>
      <c r="H25" s="81" t="s">
        <v>61</v>
      </c>
      <c r="I25" s="93" t="s">
        <v>115</v>
      </c>
      <c r="J25" s="81" t="s">
        <v>74</v>
      </c>
      <c r="K25" s="81" t="s">
        <v>64</v>
      </c>
      <c r="L25" s="81" t="s">
        <v>65</v>
      </c>
      <c r="M25" s="81" t="s">
        <v>66</v>
      </c>
      <c r="N25" s="25">
        <v>46085.0</v>
      </c>
      <c r="O25" s="81" t="s">
        <v>67</v>
      </c>
      <c r="P25" s="81" t="s">
        <v>68</v>
      </c>
      <c r="Q25" s="89"/>
      <c r="R25" s="81"/>
      <c r="S25" s="89"/>
      <c r="T25" s="81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1">
        <v>20.0</v>
      </c>
      <c r="B26" s="92" t="s">
        <v>116</v>
      </c>
      <c r="C26" s="82" t="str">
        <f>VLOOKUP($B$7:$B$5000,SUM!$L$6:$L$500,1,FALSE)</f>
        <v>#N/A</v>
      </c>
      <c r="D26" s="81" t="s">
        <v>117</v>
      </c>
      <c r="E26" s="85" t="s">
        <v>58</v>
      </c>
      <c r="F26" s="81" t="s">
        <v>105</v>
      </c>
      <c r="G26" s="86" t="s">
        <v>106</v>
      </c>
      <c r="H26" s="81" t="s">
        <v>61</v>
      </c>
      <c r="I26" s="93" t="s">
        <v>118</v>
      </c>
      <c r="J26" s="81" t="s">
        <v>63</v>
      </c>
      <c r="K26" s="81" t="s">
        <v>64</v>
      </c>
      <c r="L26" s="81" t="s">
        <v>65</v>
      </c>
      <c r="M26" s="81" t="s">
        <v>66</v>
      </c>
      <c r="N26" s="25">
        <v>46087.0</v>
      </c>
      <c r="O26" s="81" t="s">
        <v>67</v>
      </c>
      <c r="P26" s="81" t="s">
        <v>68</v>
      </c>
      <c r="Q26" s="89"/>
      <c r="R26" s="81"/>
      <c r="S26" s="89"/>
      <c r="T26" s="81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1">
        <v>21.0</v>
      </c>
      <c r="B27" s="92" t="s">
        <v>119</v>
      </c>
      <c r="C27" s="82" t="str">
        <f>VLOOKUP($B$7:$B$5000,SUM!$L$6:$L$500,1,FALSE)</f>
        <v>#N/A</v>
      </c>
      <c r="D27" s="81" t="s">
        <v>120</v>
      </c>
      <c r="E27" s="85" t="s">
        <v>58</v>
      </c>
      <c r="F27" s="81" t="s">
        <v>78</v>
      </c>
      <c r="G27" s="86" t="s">
        <v>121</v>
      </c>
      <c r="H27" s="81" t="s">
        <v>61</v>
      </c>
      <c r="I27" s="93" t="s">
        <v>79</v>
      </c>
      <c r="J27" s="81" t="s">
        <v>63</v>
      </c>
      <c r="K27" s="81" t="s">
        <v>80</v>
      </c>
      <c r="L27" s="81" t="s">
        <v>65</v>
      </c>
      <c r="M27" s="81" t="s">
        <v>66</v>
      </c>
      <c r="N27" s="25">
        <v>46092.0</v>
      </c>
      <c r="O27" s="81" t="s">
        <v>67</v>
      </c>
      <c r="P27" s="81" t="s">
        <v>68</v>
      </c>
      <c r="Q27" s="89"/>
      <c r="R27" s="81"/>
      <c r="S27" s="89"/>
      <c r="T27" s="81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1">
        <v>22.0</v>
      </c>
      <c r="B28" s="92" t="s">
        <v>122</v>
      </c>
      <c r="C28" s="82" t="str">
        <f>VLOOKUP($B$7:$B$5000,SUM!$L$6:$L$500,1,FALSE)</f>
        <v>#N/A</v>
      </c>
      <c r="D28" s="81" t="s">
        <v>120</v>
      </c>
      <c r="E28" s="85" t="s">
        <v>58</v>
      </c>
      <c r="F28" s="81" t="s">
        <v>78</v>
      </c>
      <c r="G28" s="86" t="s">
        <v>121</v>
      </c>
      <c r="H28" s="81" t="s">
        <v>61</v>
      </c>
      <c r="I28" s="87" t="s">
        <v>82</v>
      </c>
      <c r="J28" s="81" t="s">
        <v>63</v>
      </c>
      <c r="K28" s="81" t="s">
        <v>80</v>
      </c>
      <c r="L28" s="81" t="s">
        <v>65</v>
      </c>
      <c r="M28" s="81" t="s">
        <v>66</v>
      </c>
      <c r="N28" s="25">
        <v>46092.0</v>
      </c>
      <c r="O28" s="81" t="s">
        <v>67</v>
      </c>
      <c r="P28" s="81" t="s">
        <v>68</v>
      </c>
      <c r="Q28" s="89"/>
      <c r="R28" s="81"/>
      <c r="S28" s="89"/>
      <c r="T28" s="81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1">
        <v>23.0</v>
      </c>
      <c r="B29" s="92" t="s">
        <v>123</v>
      </c>
      <c r="C29" s="82" t="str">
        <f>VLOOKUP($B$7:$B$5000,SUM!$L$6:$L$500,1,FALSE)</f>
        <v>#N/A</v>
      </c>
      <c r="D29" s="81" t="s">
        <v>120</v>
      </c>
      <c r="E29" s="85" t="s">
        <v>58</v>
      </c>
      <c r="F29" s="81" t="s">
        <v>78</v>
      </c>
      <c r="G29" s="86" t="s">
        <v>121</v>
      </c>
      <c r="H29" s="81" t="s">
        <v>61</v>
      </c>
      <c r="I29" s="93" t="s">
        <v>84</v>
      </c>
      <c r="J29" s="81" t="s">
        <v>74</v>
      </c>
      <c r="K29" s="81" t="s">
        <v>80</v>
      </c>
      <c r="L29" s="81" t="s">
        <v>65</v>
      </c>
      <c r="M29" s="81" t="s">
        <v>66</v>
      </c>
      <c r="N29" s="25">
        <v>46092.0</v>
      </c>
      <c r="O29" s="81" t="s">
        <v>67</v>
      </c>
      <c r="P29" s="81" t="s">
        <v>68</v>
      </c>
      <c r="Q29" s="89"/>
      <c r="R29" s="81"/>
      <c r="S29" s="89"/>
      <c r="T29" s="81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1">
        <v>24.0</v>
      </c>
      <c r="B30" s="92" t="s">
        <v>124</v>
      </c>
      <c r="C30" s="82" t="str">
        <f>VLOOKUP($B$7:$B$5000,SUM!$L$6:$L$500,1,FALSE)</f>
        <v>#N/A</v>
      </c>
      <c r="D30" s="81" t="s">
        <v>120</v>
      </c>
      <c r="E30" s="85" t="s">
        <v>58</v>
      </c>
      <c r="F30" s="81" t="s">
        <v>78</v>
      </c>
      <c r="G30" s="86" t="s">
        <v>121</v>
      </c>
      <c r="H30" s="81" t="s">
        <v>61</v>
      </c>
      <c r="I30" s="93" t="s">
        <v>86</v>
      </c>
      <c r="J30" s="81" t="s">
        <v>74</v>
      </c>
      <c r="K30" s="81" t="s">
        <v>80</v>
      </c>
      <c r="L30" s="81" t="s">
        <v>65</v>
      </c>
      <c r="M30" s="81" t="s">
        <v>66</v>
      </c>
      <c r="N30" s="25">
        <v>46092.0</v>
      </c>
      <c r="O30" s="81" t="s">
        <v>67</v>
      </c>
      <c r="P30" s="81" t="s">
        <v>68</v>
      </c>
      <c r="Q30" s="89"/>
      <c r="R30" s="81"/>
      <c r="S30" s="89"/>
      <c r="T30" s="81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1">
        <v>25.0</v>
      </c>
      <c r="B31" s="92" t="s">
        <v>125</v>
      </c>
      <c r="C31" s="82" t="str">
        <f>VLOOKUP($B$7:$B$5000,SUM!$L$6:$L$500,1,FALSE)</f>
        <v>#N/A</v>
      </c>
      <c r="D31" s="81" t="s">
        <v>120</v>
      </c>
      <c r="E31" s="85" t="s">
        <v>58</v>
      </c>
      <c r="F31" s="81" t="s">
        <v>78</v>
      </c>
      <c r="G31" s="86" t="s">
        <v>121</v>
      </c>
      <c r="H31" s="81" t="s">
        <v>61</v>
      </c>
      <c r="I31" s="93" t="s">
        <v>126</v>
      </c>
      <c r="J31" s="81" t="s">
        <v>74</v>
      </c>
      <c r="K31" s="81" t="s">
        <v>80</v>
      </c>
      <c r="L31" s="81" t="s">
        <v>65</v>
      </c>
      <c r="M31" s="81" t="s">
        <v>66</v>
      </c>
      <c r="N31" s="25">
        <v>46092.0</v>
      </c>
      <c r="O31" s="81" t="s">
        <v>67</v>
      </c>
      <c r="P31" s="81" t="s">
        <v>68</v>
      </c>
      <c r="Q31" s="89"/>
      <c r="R31" s="81"/>
      <c r="S31" s="89"/>
      <c r="T31" s="81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1">
        <v>26.0</v>
      </c>
      <c r="B32" s="92" t="s">
        <v>127</v>
      </c>
      <c r="C32" s="82" t="str">
        <f>VLOOKUP($B$7:$B$5000,SUM!$L$6:$L$500,1,FALSE)</f>
        <v>#N/A</v>
      </c>
      <c r="D32" s="81" t="s">
        <v>120</v>
      </c>
      <c r="E32" s="85" t="s">
        <v>58</v>
      </c>
      <c r="F32" s="81" t="s">
        <v>78</v>
      </c>
      <c r="G32" s="86" t="s">
        <v>121</v>
      </c>
      <c r="H32" s="81" t="s">
        <v>61</v>
      </c>
      <c r="I32" s="93" t="s">
        <v>128</v>
      </c>
      <c r="J32" s="81" t="s">
        <v>63</v>
      </c>
      <c r="K32" s="81" t="s">
        <v>80</v>
      </c>
      <c r="L32" s="81" t="s">
        <v>65</v>
      </c>
      <c r="M32" s="81" t="s">
        <v>66</v>
      </c>
      <c r="N32" s="25">
        <v>46092.0</v>
      </c>
      <c r="O32" s="81" t="s">
        <v>67</v>
      </c>
      <c r="P32" s="81" t="s">
        <v>68</v>
      </c>
      <c r="Q32" s="89"/>
      <c r="R32" s="81"/>
      <c r="S32" s="89"/>
      <c r="T32" s="81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1">
        <v>27.0</v>
      </c>
      <c r="B33" s="92" t="s">
        <v>129</v>
      </c>
      <c r="C33" s="82" t="str">
        <f>VLOOKUP($B$7:$B$5000,SUM!$L$6:$L$500,1,FALSE)</f>
        <v>#N/A</v>
      </c>
      <c r="D33" s="81" t="s">
        <v>130</v>
      </c>
      <c r="E33" s="85" t="s">
        <v>58</v>
      </c>
      <c r="F33" s="81" t="s">
        <v>59</v>
      </c>
      <c r="G33" s="86" t="s">
        <v>121</v>
      </c>
      <c r="H33" s="81" t="s">
        <v>61</v>
      </c>
      <c r="I33" s="93" t="s">
        <v>131</v>
      </c>
      <c r="J33" s="81" t="s">
        <v>74</v>
      </c>
      <c r="K33" s="81" t="s">
        <v>64</v>
      </c>
      <c r="L33" s="81" t="s">
        <v>65</v>
      </c>
      <c r="M33" s="81" t="s">
        <v>66</v>
      </c>
      <c r="N33" s="25">
        <v>46092.0</v>
      </c>
      <c r="O33" s="81" t="s">
        <v>67</v>
      </c>
      <c r="P33" s="81" t="s">
        <v>68</v>
      </c>
      <c r="Q33" s="89"/>
      <c r="R33" s="81"/>
      <c r="S33" s="89"/>
      <c r="T33" s="81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1">
        <v>28.0</v>
      </c>
      <c r="B34" s="92" t="s">
        <v>132</v>
      </c>
      <c r="C34" s="82" t="str">
        <f>VLOOKUP($B$7:$B$5000,SUM!$L$6:$L$500,1,FALSE)</f>
        <v>#N/A</v>
      </c>
      <c r="D34" s="81" t="s">
        <v>130</v>
      </c>
      <c r="E34" s="85" t="s">
        <v>58</v>
      </c>
      <c r="F34" s="81" t="s">
        <v>59</v>
      </c>
      <c r="G34" s="86" t="s">
        <v>121</v>
      </c>
      <c r="H34" s="81" t="s">
        <v>61</v>
      </c>
      <c r="I34" s="93" t="s">
        <v>133</v>
      </c>
      <c r="J34" s="81" t="s">
        <v>63</v>
      </c>
      <c r="K34" s="81" t="s">
        <v>64</v>
      </c>
      <c r="L34" s="81" t="s">
        <v>65</v>
      </c>
      <c r="M34" s="81" t="s">
        <v>66</v>
      </c>
      <c r="N34" s="25">
        <v>46092.0</v>
      </c>
      <c r="O34" s="81" t="s">
        <v>67</v>
      </c>
      <c r="P34" s="81" t="s">
        <v>68</v>
      </c>
      <c r="Q34" s="89"/>
      <c r="R34" s="81"/>
      <c r="S34" s="89"/>
      <c r="T34" s="81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1">
        <v>29.0</v>
      </c>
      <c r="B35" s="92" t="s">
        <v>134</v>
      </c>
      <c r="C35" s="82" t="str">
        <f>VLOOKUP($B$7:$B$5000,SUM!$L$6:$L$500,1,FALSE)</f>
        <v>#N/A</v>
      </c>
      <c r="D35" s="81" t="s">
        <v>130</v>
      </c>
      <c r="E35" s="85" t="s">
        <v>58</v>
      </c>
      <c r="F35" s="81" t="s">
        <v>59</v>
      </c>
      <c r="G35" s="86" t="s">
        <v>121</v>
      </c>
      <c r="H35" s="81" t="s">
        <v>61</v>
      </c>
      <c r="I35" s="93" t="s">
        <v>135</v>
      </c>
      <c r="J35" s="81" t="s">
        <v>63</v>
      </c>
      <c r="K35" s="81" t="s">
        <v>64</v>
      </c>
      <c r="L35" s="81" t="s">
        <v>65</v>
      </c>
      <c r="M35" s="81" t="s">
        <v>66</v>
      </c>
      <c r="N35" s="25">
        <v>46092.0</v>
      </c>
      <c r="O35" s="81" t="s">
        <v>67</v>
      </c>
      <c r="P35" s="81" t="s">
        <v>68</v>
      </c>
      <c r="Q35" s="89"/>
      <c r="R35" s="81"/>
      <c r="S35" s="89"/>
      <c r="T35" s="81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1">
        <v>30.0</v>
      </c>
      <c r="B36" s="92" t="s">
        <v>136</v>
      </c>
      <c r="C36" s="82" t="str">
        <f>VLOOKUP($B$7:$B$5000,SUM!$L$6:$L$500,1,FALSE)</f>
        <v>#N/A</v>
      </c>
      <c r="D36" s="81" t="s">
        <v>130</v>
      </c>
      <c r="E36" s="85" t="s">
        <v>58</v>
      </c>
      <c r="F36" s="81" t="s">
        <v>59</v>
      </c>
      <c r="G36" s="86" t="s">
        <v>121</v>
      </c>
      <c r="H36" s="81" t="s">
        <v>61</v>
      </c>
      <c r="I36" s="93" t="s">
        <v>137</v>
      </c>
      <c r="J36" s="81" t="s">
        <v>63</v>
      </c>
      <c r="K36" s="81" t="s">
        <v>64</v>
      </c>
      <c r="L36" s="81" t="s">
        <v>65</v>
      </c>
      <c r="M36" s="81" t="s">
        <v>66</v>
      </c>
      <c r="N36" s="25">
        <v>46092.0</v>
      </c>
      <c r="O36" s="81" t="s">
        <v>67</v>
      </c>
      <c r="P36" s="81" t="s">
        <v>68</v>
      </c>
      <c r="Q36" s="89"/>
      <c r="R36" s="81"/>
      <c r="S36" s="89"/>
      <c r="T36" s="81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1">
        <v>31.0</v>
      </c>
      <c r="B37" s="92" t="s">
        <v>138</v>
      </c>
      <c r="C37" s="82" t="str">
        <f>VLOOKUP($B$7:$B$5000,SUM!$L$6:$L$500,1,FALSE)</f>
        <v>#N/A</v>
      </c>
      <c r="D37" s="81" t="s">
        <v>130</v>
      </c>
      <c r="E37" s="85" t="s">
        <v>58</v>
      </c>
      <c r="F37" s="81" t="s">
        <v>59</v>
      </c>
      <c r="G37" s="86" t="s">
        <v>121</v>
      </c>
      <c r="H37" s="81" t="s">
        <v>61</v>
      </c>
      <c r="I37" s="93" t="s">
        <v>139</v>
      </c>
      <c r="J37" s="81" t="s">
        <v>74</v>
      </c>
      <c r="K37" s="81" t="s">
        <v>64</v>
      </c>
      <c r="L37" s="81" t="s">
        <v>65</v>
      </c>
      <c r="M37" s="81" t="s">
        <v>66</v>
      </c>
      <c r="N37" s="25">
        <v>46092.0</v>
      </c>
      <c r="O37" s="81" t="s">
        <v>67</v>
      </c>
      <c r="P37" s="81" t="s">
        <v>68</v>
      </c>
      <c r="Q37" s="89"/>
      <c r="R37" s="81"/>
      <c r="S37" s="89"/>
      <c r="T37" s="81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1">
        <v>32.0</v>
      </c>
      <c r="B38" s="92" t="s">
        <v>140</v>
      </c>
      <c r="C38" s="82" t="str">
        <f>VLOOKUP($B$7:$B$5000,SUM!$L$6:$L$500,1,FALSE)</f>
        <v>#N/A</v>
      </c>
      <c r="D38" s="81" t="s">
        <v>130</v>
      </c>
      <c r="E38" s="85" t="s">
        <v>58</v>
      </c>
      <c r="F38" s="81" t="s">
        <v>59</v>
      </c>
      <c r="G38" s="86" t="s">
        <v>121</v>
      </c>
      <c r="H38" s="81" t="s">
        <v>61</v>
      </c>
      <c r="I38" s="93" t="s">
        <v>141</v>
      </c>
      <c r="J38" s="81" t="s">
        <v>74</v>
      </c>
      <c r="K38" s="81" t="s">
        <v>64</v>
      </c>
      <c r="L38" s="81" t="s">
        <v>65</v>
      </c>
      <c r="M38" s="81" t="s">
        <v>66</v>
      </c>
      <c r="N38" s="25">
        <v>46092.0</v>
      </c>
      <c r="O38" s="81" t="s">
        <v>67</v>
      </c>
      <c r="P38" s="81" t="s">
        <v>68</v>
      </c>
      <c r="Q38" s="89"/>
      <c r="R38" s="81"/>
      <c r="S38" s="89"/>
      <c r="T38" s="81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1">
        <v>33.0</v>
      </c>
      <c r="B39" s="92" t="s">
        <v>142</v>
      </c>
      <c r="C39" s="82" t="str">
        <f>VLOOKUP($B$7:$B$5000,SUM!$L$6:$L$500,1,FALSE)</f>
        <v>#N/A</v>
      </c>
      <c r="D39" s="81" t="s">
        <v>143</v>
      </c>
      <c r="E39" s="85" t="s">
        <v>58</v>
      </c>
      <c r="F39" s="81" t="s">
        <v>89</v>
      </c>
      <c r="G39" s="86" t="s">
        <v>121</v>
      </c>
      <c r="H39" s="81" t="s">
        <v>61</v>
      </c>
      <c r="I39" s="93" t="s">
        <v>144</v>
      </c>
      <c r="J39" s="81" t="s">
        <v>74</v>
      </c>
      <c r="K39" s="81" t="s">
        <v>91</v>
      </c>
      <c r="L39" s="81" t="s">
        <v>65</v>
      </c>
      <c r="M39" s="81" t="s">
        <v>66</v>
      </c>
      <c r="N39" s="25">
        <v>46092.0</v>
      </c>
      <c r="O39" s="81" t="s">
        <v>67</v>
      </c>
      <c r="P39" s="81" t="s">
        <v>68</v>
      </c>
      <c r="Q39" s="89"/>
      <c r="R39" s="81"/>
      <c r="S39" s="89"/>
      <c r="T39" s="81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1">
        <v>34.0</v>
      </c>
      <c r="B40" s="92" t="s">
        <v>145</v>
      </c>
      <c r="C40" s="82" t="str">
        <f>VLOOKUP($B$7:$B$5000,SUM!$L$6:$L$500,1,FALSE)</f>
        <v>#N/A</v>
      </c>
      <c r="D40" s="81" t="s">
        <v>143</v>
      </c>
      <c r="E40" s="85" t="s">
        <v>58</v>
      </c>
      <c r="F40" s="81" t="s">
        <v>89</v>
      </c>
      <c r="G40" s="86" t="s">
        <v>121</v>
      </c>
      <c r="H40" s="81" t="s">
        <v>61</v>
      </c>
      <c r="I40" s="93" t="s">
        <v>146</v>
      </c>
      <c r="J40" s="81" t="s">
        <v>63</v>
      </c>
      <c r="K40" s="81" t="s">
        <v>91</v>
      </c>
      <c r="L40" s="81" t="s">
        <v>65</v>
      </c>
      <c r="M40" s="81" t="s">
        <v>66</v>
      </c>
      <c r="N40" s="25">
        <v>46092.0</v>
      </c>
      <c r="O40" s="81" t="s">
        <v>67</v>
      </c>
      <c r="P40" s="81" t="s">
        <v>68</v>
      </c>
      <c r="Q40" s="89"/>
      <c r="R40" s="81"/>
      <c r="S40" s="89"/>
      <c r="T40" s="81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1">
        <v>35.0</v>
      </c>
      <c r="B41" s="92" t="s">
        <v>147</v>
      </c>
      <c r="C41" s="82" t="str">
        <f>VLOOKUP($B$7:$B$5000,SUM!$L$6:$L$500,1,FALSE)</f>
        <v>#N/A</v>
      </c>
      <c r="D41" s="81" t="s">
        <v>143</v>
      </c>
      <c r="E41" s="85" t="s">
        <v>58</v>
      </c>
      <c r="F41" s="81" t="s">
        <v>89</v>
      </c>
      <c r="G41" s="86" t="s">
        <v>121</v>
      </c>
      <c r="H41" s="81" t="s">
        <v>61</v>
      </c>
      <c r="I41" s="93" t="s">
        <v>148</v>
      </c>
      <c r="J41" s="81" t="s">
        <v>63</v>
      </c>
      <c r="K41" s="81" t="s">
        <v>91</v>
      </c>
      <c r="L41" s="81" t="s">
        <v>65</v>
      </c>
      <c r="M41" s="81" t="s">
        <v>66</v>
      </c>
      <c r="N41" s="25">
        <v>46092.0</v>
      </c>
      <c r="O41" s="81" t="s">
        <v>67</v>
      </c>
      <c r="P41" s="81" t="s">
        <v>68</v>
      </c>
      <c r="Q41" s="89"/>
      <c r="R41" s="81"/>
      <c r="S41" s="89"/>
      <c r="T41" s="81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1">
        <v>36.0</v>
      </c>
      <c r="B42" s="92" t="s">
        <v>149</v>
      </c>
      <c r="C42" s="82" t="str">
        <f>VLOOKUP($B$7:$B$5000,SUM!$L$6:$L$500,1,FALSE)</f>
        <v>#N/A</v>
      </c>
      <c r="D42" s="81" t="s">
        <v>143</v>
      </c>
      <c r="E42" s="85" t="s">
        <v>58</v>
      </c>
      <c r="F42" s="81" t="s">
        <v>89</v>
      </c>
      <c r="G42" s="86" t="s">
        <v>121</v>
      </c>
      <c r="H42" s="81" t="s">
        <v>61</v>
      </c>
      <c r="I42" s="93" t="s">
        <v>90</v>
      </c>
      <c r="J42" s="81" t="s">
        <v>63</v>
      </c>
      <c r="K42" s="81" t="s">
        <v>91</v>
      </c>
      <c r="L42" s="81" t="s">
        <v>65</v>
      </c>
      <c r="M42" s="81" t="s">
        <v>66</v>
      </c>
      <c r="N42" s="25">
        <v>46092.0</v>
      </c>
      <c r="O42" s="81" t="s">
        <v>67</v>
      </c>
      <c r="P42" s="81" t="s">
        <v>68</v>
      </c>
      <c r="Q42" s="89"/>
      <c r="R42" s="81"/>
      <c r="S42" s="89"/>
      <c r="T42" s="81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1">
        <v>37.0</v>
      </c>
      <c r="B43" s="92" t="s">
        <v>150</v>
      </c>
      <c r="C43" s="82" t="str">
        <f>VLOOKUP($B$7:$B$5000,SUM!$L$6:$L$500,1,FALSE)</f>
        <v>#N/A</v>
      </c>
      <c r="D43" s="81" t="s">
        <v>143</v>
      </c>
      <c r="E43" s="85" t="s">
        <v>58</v>
      </c>
      <c r="F43" s="81" t="s">
        <v>89</v>
      </c>
      <c r="G43" s="86" t="s">
        <v>121</v>
      </c>
      <c r="H43" s="81" t="s">
        <v>61</v>
      </c>
      <c r="I43" s="93" t="s">
        <v>151</v>
      </c>
      <c r="J43" s="81" t="s">
        <v>74</v>
      </c>
      <c r="K43" s="81" t="s">
        <v>91</v>
      </c>
      <c r="L43" s="81" t="s">
        <v>65</v>
      </c>
      <c r="M43" s="81" t="s">
        <v>66</v>
      </c>
      <c r="N43" s="25">
        <v>46092.0</v>
      </c>
      <c r="O43" s="81" t="s">
        <v>67</v>
      </c>
      <c r="P43" s="81" t="s">
        <v>68</v>
      </c>
      <c r="Q43" s="89"/>
      <c r="R43" s="81"/>
      <c r="S43" s="89"/>
      <c r="T43" s="81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1">
        <v>38.0</v>
      </c>
      <c r="B44" s="92" t="s">
        <v>152</v>
      </c>
      <c r="C44" s="82" t="str">
        <f>VLOOKUP($B$7:$B$5000,SUM!$L$6:$L$500,1,FALSE)</f>
        <v>#N/A</v>
      </c>
      <c r="D44" s="81" t="s">
        <v>143</v>
      </c>
      <c r="E44" s="85" t="s">
        <v>58</v>
      </c>
      <c r="F44" s="81" t="s">
        <v>89</v>
      </c>
      <c r="G44" s="86" t="s">
        <v>121</v>
      </c>
      <c r="H44" s="81" t="s">
        <v>61</v>
      </c>
      <c r="I44" s="93" t="s">
        <v>95</v>
      </c>
      <c r="J44" s="81" t="s">
        <v>74</v>
      </c>
      <c r="K44" s="81" t="s">
        <v>91</v>
      </c>
      <c r="L44" s="81" t="s">
        <v>65</v>
      </c>
      <c r="M44" s="81" t="s">
        <v>66</v>
      </c>
      <c r="N44" s="25">
        <v>46092.0</v>
      </c>
      <c r="O44" s="81" t="s">
        <v>67</v>
      </c>
      <c r="P44" s="81" t="s">
        <v>68</v>
      </c>
      <c r="Q44" s="89"/>
      <c r="R44" s="81"/>
      <c r="S44" s="89"/>
      <c r="T44" s="81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1">
        <v>39.0</v>
      </c>
      <c r="B45" s="92" t="s">
        <v>153</v>
      </c>
      <c r="C45" s="82" t="str">
        <f>VLOOKUP($B$7:$B$5000,SUM!$L$6:$L$500,1,FALSE)</f>
        <v>#N/A</v>
      </c>
      <c r="D45" s="84" t="s">
        <v>154</v>
      </c>
      <c r="E45" s="85" t="s">
        <v>58</v>
      </c>
      <c r="F45" s="81" t="s">
        <v>59</v>
      </c>
      <c r="G45" s="94" t="s">
        <v>155</v>
      </c>
      <c r="H45" s="81" t="s">
        <v>61</v>
      </c>
      <c r="I45" s="93" t="s">
        <v>156</v>
      </c>
      <c r="J45" s="81" t="s">
        <v>74</v>
      </c>
      <c r="K45" s="81" t="s">
        <v>64</v>
      </c>
      <c r="L45" s="81" t="s">
        <v>65</v>
      </c>
      <c r="M45" s="81" t="s">
        <v>66</v>
      </c>
      <c r="N45" s="25">
        <v>46097.0</v>
      </c>
      <c r="O45" s="81" t="s">
        <v>67</v>
      </c>
      <c r="P45" s="81" t="s">
        <v>68</v>
      </c>
      <c r="Q45" s="89"/>
      <c r="R45" s="81"/>
      <c r="S45" s="89"/>
      <c r="T45" s="81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1">
        <v>40.0</v>
      </c>
      <c r="B46" s="92" t="s">
        <v>157</v>
      </c>
      <c r="C46" s="82" t="str">
        <f>VLOOKUP($B$7:$B$5000,SUM!$L$6:$L$500,1,FALSE)</f>
        <v>#N/A</v>
      </c>
      <c r="D46" s="84" t="s">
        <v>154</v>
      </c>
      <c r="E46" s="85" t="s">
        <v>58</v>
      </c>
      <c r="F46" s="81" t="s">
        <v>59</v>
      </c>
      <c r="G46" s="94" t="s">
        <v>155</v>
      </c>
      <c r="H46" s="81" t="s">
        <v>61</v>
      </c>
      <c r="I46" s="93" t="s">
        <v>158</v>
      </c>
      <c r="J46" s="81" t="s">
        <v>63</v>
      </c>
      <c r="K46" s="81" t="s">
        <v>64</v>
      </c>
      <c r="L46" s="81" t="s">
        <v>65</v>
      </c>
      <c r="M46" s="81" t="s">
        <v>66</v>
      </c>
      <c r="N46" s="25">
        <v>46097.0</v>
      </c>
      <c r="O46" s="81" t="s">
        <v>67</v>
      </c>
      <c r="P46" s="81" t="s">
        <v>68</v>
      </c>
      <c r="Q46" s="89"/>
      <c r="R46" s="81"/>
      <c r="S46" s="89"/>
      <c r="T46" s="81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1">
        <v>41.0</v>
      </c>
      <c r="B47" s="92" t="s">
        <v>159</v>
      </c>
      <c r="C47" s="82" t="str">
        <f>VLOOKUP($B$7:$B$5000,SUM!$L$6:$L$500,1,FALSE)</f>
        <v>#N/A</v>
      </c>
      <c r="D47" s="84" t="s">
        <v>154</v>
      </c>
      <c r="E47" s="85" t="s">
        <v>58</v>
      </c>
      <c r="F47" s="81" t="s">
        <v>59</v>
      </c>
      <c r="G47" s="94" t="s">
        <v>155</v>
      </c>
      <c r="H47" s="81" t="s">
        <v>61</v>
      </c>
      <c r="I47" s="93" t="s">
        <v>160</v>
      </c>
      <c r="J47" s="81" t="s">
        <v>63</v>
      </c>
      <c r="K47" s="81" t="s">
        <v>64</v>
      </c>
      <c r="L47" s="81" t="s">
        <v>65</v>
      </c>
      <c r="M47" s="81" t="s">
        <v>66</v>
      </c>
      <c r="N47" s="25">
        <v>46097.0</v>
      </c>
      <c r="O47" s="81" t="s">
        <v>67</v>
      </c>
      <c r="P47" s="81" t="s">
        <v>68</v>
      </c>
      <c r="Q47" s="89"/>
      <c r="R47" s="81"/>
      <c r="S47" s="89"/>
      <c r="T47" s="81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1">
        <v>42.0</v>
      </c>
      <c r="B48" s="92" t="s">
        <v>161</v>
      </c>
      <c r="C48" s="82" t="str">
        <f>VLOOKUP($B$7:$B$5000,SUM!$L$6:$L$500,1,FALSE)</f>
        <v>#N/A</v>
      </c>
      <c r="D48" s="84" t="s">
        <v>154</v>
      </c>
      <c r="E48" s="85" t="s">
        <v>58</v>
      </c>
      <c r="F48" s="81" t="s">
        <v>59</v>
      </c>
      <c r="G48" s="94" t="s">
        <v>155</v>
      </c>
      <c r="H48" s="81" t="s">
        <v>61</v>
      </c>
      <c r="I48" s="93" t="s">
        <v>162</v>
      </c>
      <c r="J48" s="81" t="s">
        <v>63</v>
      </c>
      <c r="K48" s="81" t="s">
        <v>64</v>
      </c>
      <c r="L48" s="81" t="s">
        <v>65</v>
      </c>
      <c r="M48" s="81" t="s">
        <v>66</v>
      </c>
      <c r="N48" s="25">
        <v>46097.0</v>
      </c>
      <c r="O48" s="81" t="s">
        <v>67</v>
      </c>
      <c r="P48" s="81" t="s">
        <v>68</v>
      </c>
      <c r="Q48" s="89"/>
      <c r="R48" s="81"/>
      <c r="S48" s="89"/>
      <c r="T48" s="81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1">
        <v>43.0</v>
      </c>
      <c r="B49" s="92" t="s">
        <v>163</v>
      </c>
      <c r="C49" s="82" t="str">
        <f>VLOOKUP($B$7:$B$5000,SUM!$L$6:$L$500,1,FALSE)</f>
        <v>#N/A</v>
      </c>
      <c r="D49" s="84" t="s">
        <v>154</v>
      </c>
      <c r="E49" s="85" t="s">
        <v>58</v>
      </c>
      <c r="F49" s="81" t="s">
        <v>59</v>
      </c>
      <c r="G49" s="94" t="s">
        <v>155</v>
      </c>
      <c r="H49" s="81" t="s">
        <v>61</v>
      </c>
      <c r="I49" s="93" t="s">
        <v>164</v>
      </c>
      <c r="J49" s="81" t="s">
        <v>74</v>
      </c>
      <c r="K49" s="81" t="s">
        <v>64</v>
      </c>
      <c r="L49" s="81" t="s">
        <v>65</v>
      </c>
      <c r="M49" s="81" t="s">
        <v>66</v>
      </c>
      <c r="N49" s="25">
        <v>46097.0</v>
      </c>
      <c r="O49" s="81" t="s">
        <v>67</v>
      </c>
      <c r="P49" s="81" t="s">
        <v>68</v>
      </c>
      <c r="Q49" s="89"/>
      <c r="R49" s="81"/>
      <c r="S49" s="89"/>
      <c r="T49" s="81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1">
        <v>44.0</v>
      </c>
      <c r="B50" s="92" t="s">
        <v>165</v>
      </c>
      <c r="C50" s="82" t="str">
        <f>VLOOKUP($B$7:$B$5000,SUM!$L$6:$L$500,1,FALSE)</f>
        <v>#N/A</v>
      </c>
      <c r="D50" s="84" t="s">
        <v>154</v>
      </c>
      <c r="E50" s="85" t="s">
        <v>58</v>
      </c>
      <c r="F50" s="81" t="s">
        <v>59</v>
      </c>
      <c r="G50" s="94" t="s">
        <v>155</v>
      </c>
      <c r="H50" s="81" t="s">
        <v>61</v>
      </c>
      <c r="I50" s="93" t="s">
        <v>166</v>
      </c>
      <c r="J50" s="81" t="s">
        <v>74</v>
      </c>
      <c r="K50" s="81" t="s">
        <v>64</v>
      </c>
      <c r="L50" s="81" t="s">
        <v>65</v>
      </c>
      <c r="M50" s="81" t="s">
        <v>66</v>
      </c>
      <c r="N50" s="25">
        <v>46097.0</v>
      </c>
      <c r="O50" s="81" t="s">
        <v>67</v>
      </c>
      <c r="P50" s="81" t="s">
        <v>68</v>
      </c>
      <c r="Q50" s="89"/>
      <c r="R50" s="81"/>
      <c r="S50" s="89"/>
      <c r="T50" s="81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1">
        <v>45.0</v>
      </c>
      <c r="B51" s="92" t="s">
        <v>167</v>
      </c>
      <c r="C51" s="82" t="str">
        <f>VLOOKUP($B$7:$B$5000,SUM!$L$6:$L$500,1,FALSE)</f>
        <v>#N/A</v>
      </c>
      <c r="D51" s="84" t="s">
        <v>168</v>
      </c>
      <c r="E51" s="85" t="s">
        <v>58</v>
      </c>
      <c r="F51" s="81" t="s">
        <v>78</v>
      </c>
      <c r="G51" s="94" t="s">
        <v>155</v>
      </c>
      <c r="H51" s="81" t="s">
        <v>61</v>
      </c>
      <c r="I51" s="93" t="s">
        <v>79</v>
      </c>
      <c r="J51" s="81" t="s">
        <v>63</v>
      </c>
      <c r="K51" s="81" t="s">
        <v>80</v>
      </c>
      <c r="L51" s="81" t="s">
        <v>65</v>
      </c>
      <c r="M51" s="81" t="s">
        <v>66</v>
      </c>
      <c r="N51" s="25">
        <v>46097.0</v>
      </c>
      <c r="O51" s="81" t="s">
        <v>67</v>
      </c>
      <c r="P51" s="81" t="s">
        <v>68</v>
      </c>
      <c r="Q51" s="89"/>
      <c r="R51" s="81"/>
      <c r="S51" s="89"/>
      <c r="T51" s="81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1">
        <v>46.0</v>
      </c>
      <c r="B52" s="92" t="s">
        <v>169</v>
      </c>
      <c r="C52" s="82" t="str">
        <f>VLOOKUP($B$7:$B$5000,SUM!$L$6:$L$500,1,FALSE)</f>
        <v>#N/A</v>
      </c>
      <c r="D52" s="84" t="s">
        <v>168</v>
      </c>
      <c r="E52" s="85" t="s">
        <v>58</v>
      </c>
      <c r="F52" s="81" t="s">
        <v>78</v>
      </c>
      <c r="G52" s="94" t="s">
        <v>155</v>
      </c>
      <c r="H52" s="81" t="s">
        <v>61</v>
      </c>
      <c r="I52" s="87" t="s">
        <v>82</v>
      </c>
      <c r="J52" s="81" t="s">
        <v>63</v>
      </c>
      <c r="K52" s="81" t="s">
        <v>80</v>
      </c>
      <c r="L52" s="81" t="s">
        <v>65</v>
      </c>
      <c r="M52" s="81" t="s">
        <v>66</v>
      </c>
      <c r="N52" s="25">
        <v>46097.0</v>
      </c>
      <c r="O52" s="81" t="s">
        <v>67</v>
      </c>
      <c r="P52" s="81" t="s">
        <v>68</v>
      </c>
      <c r="Q52" s="89"/>
      <c r="R52" s="81"/>
      <c r="S52" s="89"/>
      <c r="T52" s="81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1">
        <v>47.0</v>
      </c>
      <c r="B53" s="92" t="s">
        <v>170</v>
      </c>
      <c r="C53" s="82" t="str">
        <f>VLOOKUP($B$7:$B$5000,SUM!$L$6:$L$500,1,FALSE)</f>
        <v>#N/A</v>
      </c>
      <c r="D53" s="84" t="s">
        <v>168</v>
      </c>
      <c r="E53" s="85" t="s">
        <v>58</v>
      </c>
      <c r="F53" s="81" t="s">
        <v>78</v>
      </c>
      <c r="G53" s="94" t="s">
        <v>155</v>
      </c>
      <c r="H53" s="81" t="s">
        <v>61</v>
      </c>
      <c r="I53" s="93" t="s">
        <v>84</v>
      </c>
      <c r="J53" s="81" t="s">
        <v>74</v>
      </c>
      <c r="K53" s="81" t="s">
        <v>80</v>
      </c>
      <c r="L53" s="81" t="s">
        <v>65</v>
      </c>
      <c r="M53" s="81" t="s">
        <v>66</v>
      </c>
      <c r="N53" s="25">
        <v>46097.0</v>
      </c>
      <c r="O53" s="81" t="s">
        <v>67</v>
      </c>
      <c r="P53" s="81" t="s">
        <v>68</v>
      </c>
      <c r="Q53" s="89"/>
      <c r="R53" s="81"/>
      <c r="S53" s="89"/>
      <c r="T53" s="81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1">
        <v>48.0</v>
      </c>
      <c r="B54" s="92" t="s">
        <v>171</v>
      </c>
      <c r="C54" s="82" t="str">
        <f>VLOOKUP($B$7:$B$5000,SUM!$L$6:$L$500,1,FALSE)</f>
        <v>#N/A</v>
      </c>
      <c r="D54" s="84" t="s">
        <v>168</v>
      </c>
      <c r="E54" s="85" t="s">
        <v>58</v>
      </c>
      <c r="F54" s="81" t="s">
        <v>78</v>
      </c>
      <c r="G54" s="94" t="s">
        <v>155</v>
      </c>
      <c r="H54" s="81" t="s">
        <v>61</v>
      </c>
      <c r="I54" s="93" t="s">
        <v>86</v>
      </c>
      <c r="J54" s="81" t="s">
        <v>74</v>
      </c>
      <c r="K54" s="81" t="s">
        <v>80</v>
      </c>
      <c r="L54" s="81" t="s">
        <v>65</v>
      </c>
      <c r="M54" s="81" t="s">
        <v>66</v>
      </c>
      <c r="N54" s="25">
        <v>46097.0</v>
      </c>
      <c r="O54" s="81" t="s">
        <v>67</v>
      </c>
      <c r="P54" s="81" t="s">
        <v>68</v>
      </c>
      <c r="Q54" s="89"/>
      <c r="R54" s="81"/>
      <c r="S54" s="89"/>
      <c r="T54" s="81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1">
        <v>49.0</v>
      </c>
      <c r="B55" s="92" t="s">
        <v>172</v>
      </c>
      <c r="C55" s="82" t="str">
        <f>VLOOKUP($B$7:$B$5000,SUM!$L$6:$L$500,1,FALSE)</f>
        <v>#N/A</v>
      </c>
      <c r="D55" s="84" t="s">
        <v>168</v>
      </c>
      <c r="E55" s="85" t="s">
        <v>58</v>
      </c>
      <c r="F55" s="81" t="s">
        <v>78</v>
      </c>
      <c r="G55" s="94" t="s">
        <v>155</v>
      </c>
      <c r="H55" s="81" t="s">
        <v>61</v>
      </c>
      <c r="I55" s="93" t="s">
        <v>126</v>
      </c>
      <c r="J55" s="81" t="s">
        <v>74</v>
      </c>
      <c r="K55" s="81" t="s">
        <v>80</v>
      </c>
      <c r="L55" s="81" t="s">
        <v>65</v>
      </c>
      <c r="M55" s="81" t="s">
        <v>66</v>
      </c>
      <c r="N55" s="25">
        <v>46097.0</v>
      </c>
      <c r="O55" s="81" t="s">
        <v>67</v>
      </c>
      <c r="P55" s="81" t="s">
        <v>68</v>
      </c>
      <c r="Q55" s="89"/>
      <c r="R55" s="81"/>
      <c r="S55" s="89"/>
      <c r="T55" s="81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1">
        <v>50.0</v>
      </c>
      <c r="B56" s="92" t="s">
        <v>173</v>
      </c>
      <c r="C56" s="82" t="str">
        <f>VLOOKUP($B$7:$B$5000,SUM!$L$6:$L$500,1,FALSE)</f>
        <v>#N/A</v>
      </c>
      <c r="D56" s="84" t="s">
        <v>168</v>
      </c>
      <c r="E56" s="85" t="s">
        <v>58</v>
      </c>
      <c r="F56" s="81" t="s">
        <v>78</v>
      </c>
      <c r="G56" s="94" t="s">
        <v>155</v>
      </c>
      <c r="H56" s="81" t="s">
        <v>61</v>
      </c>
      <c r="I56" s="93" t="s">
        <v>128</v>
      </c>
      <c r="J56" s="81" t="s">
        <v>63</v>
      </c>
      <c r="K56" s="81" t="s">
        <v>80</v>
      </c>
      <c r="L56" s="81" t="s">
        <v>65</v>
      </c>
      <c r="M56" s="81" t="s">
        <v>66</v>
      </c>
      <c r="N56" s="25">
        <v>46097.0</v>
      </c>
      <c r="O56" s="81" t="s">
        <v>67</v>
      </c>
      <c r="P56" s="81" t="s">
        <v>68</v>
      </c>
      <c r="Q56" s="89"/>
      <c r="R56" s="81"/>
      <c r="S56" s="89"/>
      <c r="T56" s="81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1">
        <v>51.0</v>
      </c>
      <c r="B57" s="92" t="s">
        <v>174</v>
      </c>
      <c r="C57" s="82" t="str">
        <f>VLOOKUP($B$7:$B$5000,SUM!$L$6:$L$500,1,FALSE)</f>
        <v>#N/A</v>
      </c>
      <c r="D57" s="84" t="s">
        <v>175</v>
      </c>
      <c r="E57" s="85" t="s">
        <v>58</v>
      </c>
      <c r="F57" s="81" t="s">
        <v>89</v>
      </c>
      <c r="G57" s="94" t="s">
        <v>155</v>
      </c>
      <c r="H57" s="81" t="s">
        <v>61</v>
      </c>
      <c r="I57" s="93" t="s">
        <v>144</v>
      </c>
      <c r="J57" s="81" t="s">
        <v>74</v>
      </c>
      <c r="K57" s="81" t="s">
        <v>91</v>
      </c>
      <c r="L57" s="81" t="s">
        <v>65</v>
      </c>
      <c r="M57" s="81" t="s">
        <v>66</v>
      </c>
      <c r="N57" s="25">
        <v>46097.0</v>
      </c>
      <c r="O57" s="81" t="s">
        <v>67</v>
      </c>
      <c r="P57" s="81" t="s">
        <v>68</v>
      </c>
      <c r="Q57" s="89"/>
      <c r="R57" s="81"/>
      <c r="S57" s="89"/>
      <c r="T57" s="81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1">
        <v>52.0</v>
      </c>
      <c r="B58" s="92" t="s">
        <v>176</v>
      </c>
      <c r="C58" s="82" t="str">
        <f>VLOOKUP($B$7:$B$5000,SUM!$L$6:$L$500,1,FALSE)</f>
        <v>#N/A</v>
      </c>
      <c r="D58" s="84" t="s">
        <v>175</v>
      </c>
      <c r="E58" s="85" t="s">
        <v>58</v>
      </c>
      <c r="F58" s="81" t="s">
        <v>89</v>
      </c>
      <c r="G58" s="94" t="s">
        <v>155</v>
      </c>
      <c r="H58" s="81" t="s">
        <v>61</v>
      </c>
      <c r="I58" s="93" t="s">
        <v>146</v>
      </c>
      <c r="J58" s="81" t="s">
        <v>63</v>
      </c>
      <c r="K58" s="81" t="s">
        <v>91</v>
      </c>
      <c r="L58" s="81" t="s">
        <v>65</v>
      </c>
      <c r="M58" s="81" t="s">
        <v>66</v>
      </c>
      <c r="N58" s="25">
        <v>46097.0</v>
      </c>
      <c r="O58" s="81" t="s">
        <v>67</v>
      </c>
      <c r="P58" s="81" t="s">
        <v>68</v>
      </c>
      <c r="Q58" s="89"/>
      <c r="R58" s="81"/>
      <c r="S58" s="89"/>
      <c r="T58" s="81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1">
        <v>53.0</v>
      </c>
      <c r="B59" s="92" t="s">
        <v>177</v>
      </c>
      <c r="C59" s="82" t="str">
        <f>VLOOKUP($B$7:$B$5000,SUM!$L$6:$L$500,1,FALSE)</f>
        <v>#N/A</v>
      </c>
      <c r="D59" s="84" t="s">
        <v>175</v>
      </c>
      <c r="E59" s="85" t="s">
        <v>58</v>
      </c>
      <c r="F59" s="81" t="s">
        <v>89</v>
      </c>
      <c r="G59" s="94" t="s">
        <v>155</v>
      </c>
      <c r="H59" s="81" t="s">
        <v>61</v>
      </c>
      <c r="I59" s="93" t="s">
        <v>148</v>
      </c>
      <c r="J59" s="81" t="s">
        <v>63</v>
      </c>
      <c r="K59" s="81" t="s">
        <v>91</v>
      </c>
      <c r="L59" s="81" t="s">
        <v>65</v>
      </c>
      <c r="M59" s="81" t="s">
        <v>66</v>
      </c>
      <c r="N59" s="25">
        <v>46097.0</v>
      </c>
      <c r="O59" s="81" t="s">
        <v>67</v>
      </c>
      <c r="P59" s="81" t="s">
        <v>68</v>
      </c>
      <c r="Q59" s="89"/>
      <c r="R59" s="81"/>
      <c r="S59" s="89"/>
      <c r="T59" s="81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1">
        <v>54.0</v>
      </c>
      <c r="B60" s="92" t="s">
        <v>178</v>
      </c>
      <c r="C60" s="82" t="str">
        <f>VLOOKUP($B$7:$B$5000,SUM!$L$6:$L$500,1,FALSE)</f>
        <v>#N/A</v>
      </c>
      <c r="D60" s="84" t="s">
        <v>175</v>
      </c>
      <c r="E60" s="85" t="s">
        <v>58</v>
      </c>
      <c r="F60" s="81" t="s">
        <v>89</v>
      </c>
      <c r="G60" s="94" t="s">
        <v>155</v>
      </c>
      <c r="H60" s="81" t="s">
        <v>61</v>
      </c>
      <c r="I60" s="93" t="s">
        <v>90</v>
      </c>
      <c r="J60" s="81" t="s">
        <v>63</v>
      </c>
      <c r="K60" s="81" t="s">
        <v>91</v>
      </c>
      <c r="L60" s="81" t="s">
        <v>65</v>
      </c>
      <c r="M60" s="81" t="s">
        <v>66</v>
      </c>
      <c r="N60" s="25">
        <v>46097.0</v>
      </c>
      <c r="O60" s="81" t="s">
        <v>67</v>
      </c>
      <c r="P60" s="81" t="s">
        <v>68</v>
      </c>
      <c r="Q60" s="89"/>
      <c r="R60" s="81"/>
      <c r="S60" s="89"/>
      <c r="T60" s="81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1">
        <v>55.0</v>
      </c>
      <c r="B61" s="92" t="s">
        <v>179</v>
      </c>
      <c r="C61" s="82" t="str">
        <f>VLOOKUP($B$7:$B$5000,SUM!$L$6:$L$500,1,FALSE)</f>
        <v>#N/A</v>
      </c>
      <c r="D61" s="84" t="s">
        <v>175</v>
      </c>
      <c r="E61" s="85" t="s">
        <v>58</v>
      </c>
      <c r="F61" s="81" t="s">
        <v>89</v>
      </c>
      <c r="G61" s="94" t="s">
        <v>155</v>
      </c>
      <c r="H61" s="81" t="s">
        <v>61</v>
      </c>
      <c r="I61" s="93" t="s">
        <v>151</v>
      </c>
      <c r="J61" s="81" t="s">
        <v>74</v>
      </c>
      <c r="K61" s="81" t="s">
        <v>91</v>
      </c>
      <c r="L61" s="81" t="s">
        <v>65</v>
      </c>
      <c r="M61" s="81" t="s">
        <v>66</v>
      </c>
      <c r="N61" s="25">
        <v>46097.0</v>
      </c>
      <c r="O61" s="81" t="s">
        <v>67</v>
      </c>
      <c r="P61" s="81" t="s">
        <v>68</v>
      </c>
      <c r="Q61" s="89"/>
      <c r="R61" s="81"/>
      <c r="S61" s="89"/>
      <c r="T61" s="81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1">
        <v>56.0</v>
      </c>
      <c r="B62" s="92" t="s">
        <v>180</v>
      </c>
      <c r="C62" s="82" t="str">
        <f>VLOOKUP($B$7:$B$5000,SUM!$L$6:$L$500,1,FALSE)</f>
        <v>#N/A</v>
      </c>
      <c r="D62" s="84" t="s">
        <v>175</v>
      </c>
      <c r="E62" s="85" t="s">
        <v>58</v>
      </c>
      <c r="F62" s="81" t="s">
        <v>89</v>
      </c>
      <c r="G62" s="94" t="s">
        <v>155</v>
      </c>
      <c r="H62" s="81" t="s">
        <v>61</v>
      </c>
      <c r="I62" s="93" t="s">
        <v>95</v>
      </c>
      <c r="J62" s="81" t="s">
        <v>74</v>
      </c>
      <c r="K62" s="81" t="s">
        <v>91</v>
      </c>
      <c r="L62" s="81" t="s">
        <v>65</v>
      </c>
      <c r="M62" s="81" t="s">
        <v>66</v>
      </c>
      <c r="N62" s="25">
        <v>46097.0</v>
      </c>
      <c r="O62" s="81" t="s">
        <v>67</v>
      </c>
      <c r="P62" s="81" t="s">
        <v>68</v>
      </c>
      <c r="Q62" s="89"/>
      <c r="R62" s="81"/>
      <c r="S62" s="89"/>
      <c r="T62" s="81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1">
        <v>57.0</v>
      </c>
      <c r="B63" s="92" t="s">
        <v>181</v>
      </c>
      <c r="C63" s="82" t="str">
        <f>VLOOKUP($B$7:$B$5000,SUM!$L$6:$L$500,1,FALSE)</f>
        <v>#N/A</v>
      </c>
      <c r="D63" s="84" t="s">
        <v>182</v>
      </c>
      <c r="E63" s="85" t="s">
        <v>58</v>
      </c>
      <c r="F63" s="81" t="s">
        <v>105</v>
      </c>
      <c r="G63" s="95" t="s">
        <v>183</v>
      </c>
      <c r="H63" s="81" t="s">
        <v>61</v>
      </c>
      <c r="I63" s="93" t="s">
        <v>184</v>
      </c>
      <c r="J63" s="81" t="s">
        <v>63</v>
      </c>
      <c r="K63" s="81" t="s">
        <v>64</v>
      </c>
      <c r="L63" s="81" t="s">
        <v>65</v>
      </c>
      <c r="M63" s="84" t="s">
        <v>185</v>
      </c>
      <c r="N63" s="89">
        <v>46102.0</v>
      </c>
      <c r="O63" s="81" t="s">
        <v>67</v>
      </c>
      <c r="P63" s="81" t="s">
        <v>68</v>
      </c>
      <c r="Q63" s="96">
        <v>46170.0</v>
      </c>
      <c r="R63" s="84" t="s">
        <v>66</v>
      </c>
      <c r="S63" s="96">
        <v>46173.0</v>
      </c>
      <c r="T63" s="81"/>
      <c r="U63" s="97" t="s">
        <v>31</v>
      </c>
      <c r="V63" s="91"/>
      <c r="W63" s="91"/>
      <c r="X63" s="91"/>
      <c r="Y63" s="91"/>
      <c r="Z63" s="91"/>
      <c r="AA63" s="91"/>
      <c r="AB63" s="91"/>
    </row>
    <row r="64" ht="30.0" customHeight="1">
      <c r="A64" s="81">
        <v>58.0</v>
      </c>
      <c r="B64" s="92" t="s">
        <v>186</v>
      </c>
      <c r="C64" s="82" t="str">
        <f>VLOOKUP($B$7:$B$5000,SUM!$L$6:$L$500,1,FALSE)</f>
        <v>#N/A</v>
      </c>
      <c r="D64" s="84" t="s">
        <v>182</v>
      </c>
      <c r="E64" s="85" t="s">
        <v>58</v>
      </c>
      <c r="F64" s="81" t="s">
        <v>105</v>
      </c>
      <c r="G64" s="95" t="s">
        <v>183</v>
      </c>
      <c r="H64" s="81" t="s">
        <v>61</v>
      </c>
      <c r="I64" s="98" t="s">
        <v>187</v>
      </c>
      <c r="J64" s="81" t="s">
        <v>74</v>
      </c>
      <c r="K64" s="81" t="s">
        <v>64</v>
      </c>
      <c r="L64" s="81" t="s">
        <v>65</v>
      </c>
      <c r="M64" s="81" t="s">
        <v>185</v>
      </c>
      <c r="N64" s="89">
        <v>46102.0</v>
      </c>
      <c r="O64" s="81" t="s">
        <v>67</v>
      </c>
      <c r="P64" s="81" t="s">
        <v>68</v>
      </c>
      <c r="Q64" s="89"/>
      <c r="R64" s="81"/>
      <c r="S64" s="89"/>
      <c r="T64" s="81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1">
        <v>59.0</v>
      </c>
      <c r="B65" s="92" t="s">
        <v>188</v>
      </c>
      <c r="C65" s="82" t="str">
        <f>VLOOKUP($B$7:$B$5000,SUM!$L$6:$L$500,1,FALSE)</f>
        <v>#N/A</v>
      </c>
      <c r="D65" s="84" t="s">
        <v>182</v>
      </c>
      <c r="E65" s="85" t="s">
        <v>58</v>
      </c>
      <c r="F65" s="81" t="s">
        <v>105</v>
      </c>
      <c r="G65" s="95" t="s">
        <v>183</v>
      </c>
      <c r="H65" s="81" t="s">
        <v>61</v>
      </c>
      <c r="I65" s="98" t="s">
        <v>189</v>
      </c>
      <c r="J65" s="81" t="s">
        <v>63</v>
      </c>
      <c r="K65" s="81" t="s">
        <v>64</v>
      </c>
      <c r="L65" s="81" t="s">
        <v>65</v>
      </c>
      <c r="M65" s="81" t="s">
        <v>185</v>
      </c>
      <c r="N65" s="89">
        <v>46102.0</v>
      </c>
      <c r="O65" s="81" t="s">
        <v>67</v>
      </c>
      <c r="P65" s="81" t="s">
        <v>68</v>
      </c>
      <c r="Q65" s="89"/>
      <c r="R65" s="81"/>
      <c r="S65" s="89"/>
      <c r="T65" s="81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1">
        <v>60.0</v>
      </c>
      <c r="B66" s="92" t="s">
        <v>190</v>
      </c>
      <c r="C66" s="82" t="str">
        <f>VLOOKUP($B$7:$B$5000,SUM!$L$6:$L$500,1,FALSE)</f>
        <v>#N/A</v>
      </c>
      <c r="D66" s="84" t="s">
        <v>191</v>
      </c>
      <c r="E66" s="85" t="s">
        <v>58</v>
      </c>
      <c r="F66" s="81" t="s">
        <v>59</v>
      </c>
      <c r="G66" s="94" t="s">
        <v>192</v>
      </c>
      <c r="H66" s="81" t="s">
        <v>61</v>
      </c>
      <c r="I66" s="93" t="s">
        <v>193</v>
      </c>
      <c r="J66" s="81" t="s">
        <v>74</v>
      </c>
      <c r="K66" s="81" t="s">
        <v>64</v>
      </c>
      <c r="L66" s="81" t="s">
        <v>65</v>
      </c>
      <c r="M66" s="81" t="s">
        <v>185</v>
      </c>
      <c r="N66" s="89">
        <v>46102.0</v>
      </c>
      <c r="O66" s="81" t="s">
        <v>67</v>
      </c>
      <c r="P66" s="81" t="s">
        <v>68</v>
      </c>
      <c r="Q66" s="89"/>
      <c r="R66" s="81"/>
      <c r="S66" s="89"/>
      <c r="T66" s="81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1">
        <v>61.0</v>
      </c>
      <c r="B67" s="92" t="s">
        <v>194</v>
      </c>
      <c r="C67" s="82" t="str">
        <f>VLOOKUP($B$7:$B$5000,SUM!$L$6:$L$500,1,FALSE)</f>
        <v>#N/A</v>
      </c>
      <c r="D67" s="84" t="s">
        <v>191</v>
      </c>
      <c r="E67" s="85" t="s">
        <v>58</v>
      </c>
      <c r="F67" s="81" t="s">
        <v>59</v>
      </c>
      <c r="G67" s="94" t="s">
        <v>192</v>
      </c>
      <c r="H67" s="81" t="s">
        <v>61</v>
      </c>
      <c r="I67" s="93" t="s">
        <v>195</v>
      </c>
      <c r="J67" s="81" t="s">
        <v>63</v>
      </c>
      <c r="K67" s="81" t="s">
        <v>64</v>
      </c>
      <c r="L67" s="81" t="s">
        <v>65</v>
      </c>
      <c r="M67" s="81" t="s">
        <v>185</v>
      </c>
      <c r="N67" s="89">
        <v>46102.0</v>
      </c>
      <c r="O67" s="81" t="s">
        <v>67</v>
      </c>
      <c r="P67" s="81" t="s">
        <v>68</v>
      </c>
      <c r="Q67" s="89"/>
      <c r="R67" s="81"/>
      <c r="S67" s="89"/>
      <c r="T67" s="81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1">
        <v>62.0</v>
      </c>
      <c r="B68" s="92" t="s">
        <v>196</v>
      </c>
      <c r="C68" s="82" t="str">
        <f>VLOOKUP($B$7:$B$5000,SUM!$L$6:$L$500,1,FALSE)</f>
        <v>#N/A</v>
      </c>
      <c r="D68" s="84" t="s">
        <v>191</v>
      </c>
      <c r="E68" s="85" t="s">
        <v>58</v>
      </c>
      <c r="F68" s="81" t="s">
        <v>59</v>
      </c>
      <c r="G68" s="94" t="s">
        <v>192</v>
      </c>
      <c r="H68" s="81" t="s">
        <v>61</v>
      </c>
      <c r="I68" s="93" t="s">
        <v>197</v>
      </c>
      <c r="J68" s="81" t="s">
        <v>63</v>
      </c>
      <c r="K68" s="81" t="s">
        <v>64</v>
      </c>
      <c r="L68" s="81" t="s">
        <v>65</v>
      </c>
      <c r="M68" s="81" t="s">
        <v>185</v>
      </c>
      <c r="N68" s="89">
        <v>46102.0</v>
      </c>
      <c r="O68" s="81" t="s">
        <v>67</v>
      </c>
      <c r="P68" s="81" t="s">
        <v>68</v>
      </c>
      <c r="Q68" s="89"/>
      <c r="R68" s="81"/>
      <c r="S68" s="89"/>
      <c r="T68" s="81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1">
        <v>63.0</v>
      </c>
      <c r="B69" s="92" t="s">
        <v>198</v>
      </c>
      <c r="C69" s="82" t="str">
        <f>VLOOKUP($B$7:$B$5000,SUM!$L$6:$L$500,1,FALSE)</f>
        <v>#N/A</v>
      </c>
      <c r="D69" s="84" t="s">
        <v>191</v>
      </c>
      <c r="E69" s="85" t="s">
        <v>58</v>
      </c>
      <c r="F69" s="81" t="s">
        <v>59</v>
      </c>
      <c r="G69" s="94" t="s">
        <v>192</v>
      </c>
      <c r="H69" s="81" t="s">
        <v>61</v>
      </c>
      <c r="I69" s="93" t="s">
        <v>199</v>
      </c>
      <c r="J69" s="81" t="s">
        <v>63</v>
      </c>
      <c r="K69" s="81" t="s">
        <v>64</v>
      </c>
      <c r="L69" s="81" t="s">
        <v>65</v>
      </c>
      <c r="M69" s="81" t="s">
        <v>185</v>
      </c>
      <c r="N69" s="89">
        <v>46102.0</v>
      </c>
      <c r="O69" s="81" t="s">
        <v>67</v>
      </c>
      <c r="P69" s="81" t="s">
        <v>68</v>
      </c>
      <c r="Q69" s="89"/>
      <c r="R69" s="81"/>
      <c r="S69" s="89"/>
      <c r="T69" s="81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1">
        <v>64.0</v>
      </c>
      <c r="B70" s="92" t="s">
        <v>200</v>
      </c>
      <c r="C70" s="82" t="str">
        <f>VLOOKUP($B$7:$B$5000,SUM!$L$6:$L$500,1,FALSE)</f>
        <v>#N/A</v>
      </c>
      <c r="D70" s="84" t="s">
        <v>191</v>
      </c>
      <c r="E70" s="85" t="s">
        <v>58</v>
      </c>
      <c r="F70" s="81" t="s">
        <v>59</v>
      </c>
      <c r="G70" s="94" t="s">
        <v>192</v>
      </c>
      <c r="H70" s="81" t="s">
        <v>61</v>
      </c>
      <c r="I70" s="93" t="s">
        <v>201</v>
      </c>
      <c r="J70" s="81" t="s">
        <v>74</v>
      </c>
      <c r="K70" s="81" t="s">
        <v>64</v>
      </c>
      <c r="L70" s="81" t="s">
        <v>65</v>
      </c>
      <c r="M70" s="81" t="s">
        <v>185</v>
      </c>
      <c r="N70" s="89">
        <v>46102.0</v>
      </c>
      <c r="O70" s="81" t="s">
        <v>67</v>
      </c>
      <c r="P70" s="81" t="s">
        <v>68</v>
      </c>
      <c r="Q70" s="81"/>
      <c r="R70" s="81"/>
      <c r="S70" s="25"/>
      <c r="T70" s="81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1">
        <v>65.0</v>
      </c>
      <c r="B71" s="92" t="s">
        <v>202</v>
      </c>
      <c r="C71" s="82" t="str">
        <f>VLOOKUP($B$7:$B$5000,SUM!$L$6:$L$500,1,FALSE)</f>
        <v>#N/A</v>
      </c>
      <c r="D71" s="84" t="s">
        <v>191</v>
      </c>
      <c r="E71" s="85" t="s">
        <v>58</v>
      </c>
      <c r="F71" s="81" t="s">
        <v>59</v>
      </c>
      <c r="G71" s="94" t="s">
        <v>192</v>
      </c>
      <c r="H71" s="81" t="s">
        <v>61</v>
      </c>
      <c r="I71" s="93" t="s">
        <v>203</v>
      </c>
      <c r="J71" s="81" t="s">
        <v>74</v>
      </c>
      <c r="K71" s="81" t="s">
        <v>64</v>
      </c>
      <c r="L71" s="81" t="s">
        <v>65</v>
      </c>
      <c r="M71" s="81" t="s">
        <v>185</v>
      </c>
      <c r="N71" s="89">
        <v>46102.0</v>
      </c>
      <c r="O71" s="81" t="s">
        <v>67</v>
      </c>
      <c r="P71" s="81" t="s">
        <v>68</v>
      </c>
      <c r="Q71" s="89"/>
      <c r="R71" s="81"/>
      <c r="S71" s="89"/>
      <c r="T71" s="81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4">
        <v>66.0</v>
      </c>
      <c r="B72" s="99" t="s">
        <v>204</v>
      </c>
      <c r="C72" s="82" t="str">
        <f>VLOOKUP($B$7:$B$5000,SUM!$L$6:$L$500,1,FALSE)</f>
        <v>#N/A</v>
      </c>
      <c r="D72" s="84" t="s">
        <v>205</v>
      </c>
      <c r="E72" s="100" t="s">
        <v>58</v>
      </c>
      <c r="F72" s="84" t="s">
        <v>78</v>
      </c>
      <c r="G72" s="94" t="s">
        <v>192</v>
      </c>
      <c r="H72" s="84" t="s">
        <v>61</v>
      </c>
      <c r="I72" s="93" t="s">
        <v>206</v>
      </c>
      <c r="J72" s="84" t="s">
        <v>74</v>
      </c>
      <c r="K72" s="84" t="s">
        <v>64</v>
      </c>
      <c r="L72" s="84" t="s">
        <v>65</v>
      </c>
      <c r="M72" s="84" t="s">
        <v>185</v>
      </c>
      <c r="N72" s="101">
        <v>46102.0</v>
      </c>
      <c r="O72" s="84" t="s">
        <v>67</v>
      </c>
      <c r="P72" s="84" t="s">
        <v>68</v>
      </c>
      <c r="Q72" s="101"/>
      <c r="R72" s="84"/>
      <c r="S72" s="101"/>
      <c r="T72" s="84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4">
        <v>67.0</v>
      </c>
      <c r="B73" s="99" t="s">
        <v>207</v>
      </c>
      <c r="C73" s="82" t="str">
        <f>VLOOKUP($B$7:$B$5000,SUM!$L$6:$L$500,1,FALSE)</f>
        <v>#N/A</v>
      </c>
      <c r="D73" s="84" t="s">
        <v>205</v>
      </c>
      <c r="E73" s="100" t="s">
        <v>58</v>
      </c>
      <c r="F73" s="84" t="s">
        <v>78</v>
      </c>
      <c r="G73" s="94" t="s">
        <v>192</v>
      </c>
      <c r="H73" s="84" t="s">
        <v>61</v>
      </c>
      <c r="I73" s="93" t="s">
        <v>128</v>
      </c>
      <c r="J73" s="84" t="s">
        <v>63</v>
      </c>
      <c r="K73" s="84" t="s">
        <v>64</v>
      </c>
      <c r="L73" s="84" t="s">
        <v>65</v>
      </c>
      <c r="M73" s="84" t="s">
        <v>185</v>
      </c>
      <c r="N73" s="101">
        <v>46102.0</v>
      </c>
      <c r="O73" s="84" t="s">
        <v>67</v>
      </c>
      <c r="P73" s="84" t="s">
        <v>68</v>
      </c>
      <c r="Q73" s="101"/>
      <c r="R73" s="84"/>
      <c r="S73" s="101"/>
      <c r="T73" s="84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4">
        <v>68.0</v>
      </c>
      <c r="B74" s="99" t="s">
        <v>208</v>
      </c>
      <c r="C74" s="82" t="str">
        <f>VLOOKUP($B$7:$B$5000,SUM!$L$6:$L$500,1,FALSE)</f>
        <v>#N/A</v>
      </c>
      <c r="D74" s="84" t="s">
        <v>205</v>
      </c>
      <c r="E74" s="100" t="s">
        <v>58</v>
      </c>
      <c r="F74" s="84" t="s">
        <v>78</v>
      </c>
      <c r="G74" s="94" t="s">
        <v>192</v>
      </c>
      <c r="H74" s="84" t="s">
        <v>61</v>
      </c>
      <c r="I74" s="93" t="s">
        <v>209</v>
      </c>
      <c r="J74" s="84" t="s">
        <v>63</v>
      </c>
      <c r="K74" s="84" t="s">
        <v>64</v>
      </c>
      <c r="L74" s="84" t="s">
        <v>65</v>
      </c>
      <c r="M74" s="84" t="s">
        <v>185</v>
      </c>
      <c r="N74" s="101">
        <v>46102.0</v>
      </c>
      <c r="O74" s="84" t="s">
        <v>67</v>
      </c>
      <c r="P74" s="84" t="s">
        <v>68</v>
      </c>
      <c r="Q74" s="101"/>
      <c r="R74" s="84"/>
      <c r="S74" s="101"/>
      <c r="T74" s="84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4">
        <v>69.0</v>
      </c>
      <c r="B75" s="99" t="s">
        <v>210</v>
      </c>
      <c r="C75" s="82" t="str">
        <f>VLOOKUP($B$7:$B$5000,SUM!$L$6:$L$500,1,FALSE)</f>
        <v>#N/A</v>
      </c>
      <c r="D75" s="84" t="s">
        <v>205</v>
      </c>
      <c r="E75" s="100" t="s">
        <v>58</v>
      </c>
      <c r="F75" s="84" t="s">
        <v>78</v>
      </c>
      <c r="G75" s="94" t="s">
        <v>192</v>
      </c>
      <c r="H75" s="84" t="s">
        <v>61</v>
      </c>
      <c r="I75" s="93" t="s">
        <v>211</v>
      </c>
      <c r="J75" s="84" t="s">
        <v>63</v>
      </c>
      <c r="K75" s="84" t="s">
        <v>64</v>
      </c>
      <c r="L75" s="84" t="s">
        <v>65</v>
      </c>
      <c r="M75" s="84" t="s">
        <v>185</v>
      </c>
      <c r="N75" s="101">
        <v>46102.0</v>
      </c>
      <c r="O75" s="84" t="s">
        <v>67</v>
      </c>
      <c r="P75" s="84" t="s">
        <v>68</v>
      </c>
      <c r="Q75" s="101"/>
      <c r="R75" s="84"/>
      <c r="S75" s="101"/>
      <c r="T75" s="84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4">
        <v>70.0</v>
      </c>
      <c r="B76" s="99" t="s">
        <v>212</v>
      </c>
      <c r="C76" s="82" t="str">
        <f>VLOOKUP($B$7:$B$5000,SUM!$L$6:$L$500,1,FALSE)</f>
        <v>#N/A</v>
      </c>
      <c r="D76" s="84" t="s">
        <v>205</v>
      </c>
      <c r="E76" s="100" t="s">
        <v>58</v>
      </c>
      <c r="F76" s="84" t="s">
        <v>78</v>
      </c>
      <c r="G76" s="94" t="s">
        <v>192</v>
      </c>
      <c r="H76" s="84" t="s">
        <v>61</v>
      </c>
      <c r="I76" s="93" t="s">
        <v>213</v>
      </c>
      <c r="J76" s="84" t="s">
        <v>74</v>
      </c>
      <c r="K76" s="84" t="s">
        <v>64</v>
      </c>
      <c r="L76" s="84" t="s">
        <v>65</v>
      </c>
      <c r="M76" s="84" t="s">
        <v>185</v>
      </c>
      <c r="N76" s="101">
        <v>46102.0</v>
      </c>
      <c r="O76" s="84" t="s">
        <v>67</v>
      </c>
      <c r="P76" s="84" t="s">
        <v>68</v>
      </c>
      <c r="Q76" s="84"/>
      <c r="R76" s="84"/>
      <c r="S76" s="102"/>
      <c r="T76" s="84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4">
        <v>71.0</v>
      </c>
      <c r="B77" s="99" t="s">
        <v>214</v>
      </c>
      <c r="C77" s="82" t="str">
        <f>VLOOKUP($B$7:$B$5000,SUM!$L$6:$L$500,1,FALSE)</f>
        <v>#N/A</v>
      </c>
      <c r="D77" s="84" t="s">
        <v>205</v>
      </c>
      <c r="E77" s="100" t="s">
        <v>58</v>
      </c>
      <c r="F77" s="84" t="s">
        <v>78</v>
      </c>
      <c r="G77" s="94" t="s">
        <v>192</v>
      </c>
      <c r="H77" s="84" t="s">
        <v>61</v>
      </c>
      <c r="I77" s="93" t="s">
        <v>215</v>
      </c>
      <c r="J77" s="84" t="s">
        <v>74</v>
      </c>
      <c r="K77" s="84" t="s">
        <v>64</v>
      </c>
      <c r="L77" s="84" t="s">
        <v>65</v>
      </c>
      <c r="M77" s="84" t="s">
        <v>185</v>
      </c>
      <c r="N77" s="101">
        <v>46102.0</v>
      </c>
      <c r="O77" s="84" t="s">
        <v>67</v>
      </c>
      <c r="P77" s="84" t="s">
        <v>68</v>
      </c>
      <c r="Q77" s="101"/>
      <c r="R77" s="84"/>
      <c r="S77" s="101"/>
      <c r="T77" s="84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1">
        <v>72.0</v>
      </c>
      <c r="B78" s="99" t="s">
        <v>216</v>
      </c>
      <c r="C78" s="82" t="str">
        <f>VLOOKUP($B$7:$B$5000,SUM!$L$6:$L$500,1,FALSE)</f>
        <v>#N/A</v>
      </c>
      <c r="D78" s="84" t="s">
        <v>217</v>
      </c>
      <c r="E78" s="100" t="s">
        <v>58</v>
      </c>
      <c r="F78" s="84" t="s">
        <v>105</v>
      </c>
      <c r="G78" s="84" t="s">
        <v>218</v>
      </c>
      <c r="H78" s="84" t="s">
        <v>219</v>
      </c>
      <c r="I78" s="93" t="s">
        <v>220</v>
      </c>
      <c r="J78" s="84" t="s">
        <v>74</v>
      </c>
      <c r="K78" s="84" t="s">
        <v>64</v>
      </c>
      <c r="L78" s="84" t="s">
        <v>65</v>
      </c>
      <c r="M78" s="84" t="s">
        <v>66</v>
      </c>
      <c r="N78" s="25">
        <v>46101.0</v>
      </c>
      <c r="O78" s="84" t="s">
        <v>67</v>
      </c>
      <c r="P78" s="84" t="s">
        <v>68</v>
      </c>
      <c r="Q78" s="81"/>
      <c r="R78" s="81"/>
      <c r="S78" s="25"/>
      <c r="T78" s="81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2" t="str">
        <f>VLOOKUP($B$7:$B$5000,SUM!$L$6:$L$500,1,FALSE)</f>
        <v>#N/A</v>
      </c>
      <c r="D79" s="84" t="s">
        <v>217</v>
      </c>
      <c r="E79" s="100" t="s">
        <v>58</v>
      </c>
      <c r="F79" s="84" t="s">
        <v>105</v>
      </c>
      <c r="G79" s="84" t="s">
        <v>218</v>
      </c>
      <c r="H79" s="84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4" t="s">
        <v>66</v>
      </c>
      <c r="N79" s="89">
        <v>46114.0</v>
      </c>
      <c r="O79" s="90" t="s">
        <v>67</v>
      </c>
      <c r="P79" s="84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1">
        <v>74.0</v>
      </c>
      <c r="B80" s="99" t="s">
        <v>224</v>
      </c>
      <c r="C80" s="82" t="str">
        <f>VLOOKUP($B$7:$B$5000,SUM!$L$6:$L$500,1,FALSE)</f>
        <v>#N/A</v>
      </c>
      <c r="D80" s="84" t="s">
        <v>217</v>
      </c>
      <c r="E80" s="100" t="s">
        <v>58</v>
      </c>
      <c r="F80" s="84" t="s">
        <v>105</v>
      </c>
      <c r="G80" s="84" t="s">
        <v>218</v>
      </c>
      <c r="H80" s="84" t="s">
        <v>222</v>
      </c>
      <c r="I80" s="93" t="s">
        <v>225</v>
      </c>
      <c r="J80" s="84" t="s">
        <v>108</v>
      </c>
      <c r="K80" s="84" t="s">
        <v>64</v>
      </c>
      <c r="L80" s="84" t="s">
        <v>65</v>
      </c>
      <c r="M80" s="84" t="s">
        <v>66</v>
      </c>
      <c r="N80" s="25">
        <v>46114.0</v>
      </c>
      <c r="O80" s="84" t="s">
        <v>226</v>
      </c>
      <c r="P80" s="84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31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1">
        <v>75.0</v>
      </c>
      <c r="B81" s="99" t="s">
        <v>228</v>
      </c>
      <c r="C81" s="82" t="str">
        <f>VLOOKUP($B$7:$B$5000,SUM!$L$6:$L$500,1,FALSE)</f>
        <v>#N/A</v>
      </c>
      <c r="D81" s="84" t="s">
        <v>217</v>
      </c>
      <c r="E81" s="100" t="s">
        <v>58</v>
      </c>
      <c r="F81" s="84" t="s">
        <v>105</v>
      </c>
      <c r="G81" s="84" t="s">
        <v>218</v>
      </c>
      <c r="H81" s="84" t="s">
        <v>229</v>
      </c>
      <c r="I81" s="93" t="s">
        <v>230</v>
      </c>
      <c r="J81" s="84" t="s">
        <v>63</v>
      </c>
      <c r="K81" s="84" t="s">
        <v>64</v>
      </c>
      <c r="L81" s="84" t="s">
        <v>65</v>
      </c>
      <c r="M81" s="84" t="s">
        <v>66</v>
      </c>
      <c r="N81" s="25">
        <v>46114.0</v>
      </c>
      <c r="O81" s="84" t="s">
        <v>67</v>
      </c>
      <c r="P81" s="84" t="s">
        <v>68</v>
      </c>
      <c r="Q81" s="81"/>
      <c r="R81" s="81"/>
      <c r="S81" s="25"/>
      <c r="T81" s="81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1">
        <v>76.0</v>
      </c>
      <c r="B82" s="99" t="s">
        <v>231</v>
      </c>
      <c r="C82" s="82" t="str">
        <f>VLOOKUP($B$7:$B$5000,SUM!$L$6:$L$500,1,FALSE)</f>
        <v>#N/A</v>
      </c>
      <c r="D82" s="84" t="s">
        <v>182</v>
      </c>
      <c r="E82" s="100" t="s">
        <v>58</v>
      </c>
      <c r="F82" s="84" t="s">
        <v>105</v>
      </c>
      <c r="G82" s="84" t="s">
        <v>183</v>
      </c>
      <c r="H82" s="84" t="s">
        <v>61</v>
      </c>
      <c r="I82" s="93" t="s">
        <v>232</v>
      </c>
      <c r="J82" s="84" t="s">
        <v>108</v>
      </c>
      <c r="K82" s="84" t="s">
        <v>64</v>
      </c>
      <c r="L82" s="84" t="s">
        <v>65</v>
      </c>
      <c r="M82" s="84" t="s">
        <v>66</v>
      </c>
      <c r="N82" s="102">
        <v>46114.0</v>
      </c>
      <c r="O82" s="84" t="s">
        <v>67</v>
      </c>
      <c r="P82" s="84" t="s">
        <v>68</v>
      </c>
      <c r="Q82" s="96">
        <v>46170.0</v>
      </c>
      <c r="R82" s="84" t="s">
        <v>66</v>
      </c>
      <c r="S82" s="96">
        <v>46173.0</v>
      </c>
      <c r="T82" s="81"/>
      <c r="U82" s="97" t="s">
        <v>31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1">
        <v>77.0</v>
      </c>
      <c r="B83" s="99" t="s">
        <v>233</v>
      </c>
      <c r="C83" s="82" t="str">
        <f>VLOOKUP($B$7:$B$5000,SUM!$L$6:$L$500,1,FALSE)</f>
        <v>#N/A</v>
      </c>
      <c r="D83" s="84" t="s">
        <v>234</v>
      </c>
      <c r="E83" s="100" t="s">
        <v>58</v>
      </c>
      <c r="F83" s="84" t="s">
        <v>105</v>
      </c>
      <c r="G83" s="84" t="s">
        <v>235</v>
      </c>
      <c r="H83" s="84" t="s">
        <v>61</v>
      </c>
      <c r="I83" s="93" t="s">
        <v>236</v>
      </c>
      <c r="J83" s="84" t="s">
        <v>63</v>
      </c>
      <c r="K83" s="84" t="s">
        <v>64</v>
      </c>
      <c r="L83" s="84" t="s">
        <v>65</v>
      </c>
      <c r="M83" s="84" t="s">
        <v>66</v>
      </c>
      <c r="N83" s="25">
        <v>46114.0</v>
      </c>
      <c r="O83" s="84" t="s">
        <v>67</v>
      </c>
      <c r="P83" s="84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31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1">
        <v>78.0</v>
      </c>
      <c r="B84" s="99" t="s">
        <v>237</v>
      </c>
      <c r="C84" s="82" t="str">
        <f>VLOOKUP($B$7:$B$5000,SUM!$L$6:$L$500,1,FALSE)</f>
        <v>#N/A</v>
      </c>
      <c r="D84" s="84" t="s">
        <v>234</v>
      </c>
      <c r="E84" s="100" t="s">
        <v>58</v>
      </c>
      <c r="F84" s="84" t="s">
        <v>105</v>
      </c>
      <c r="G84" s="84" t="s">
        <v>235</v>
      </c>
      <c r="H84" s="84" t="s">
        <v>61</v>
      </c>
      <c r="I84" s="93" t="s">
        <v>238</v>
      </c>
      <c r="J84" s="84" t="s">
        <v>63</v>
      </c>
      <c r="K84" s="84" t="s">
        <v>64</v>
      </c>
      <c r="L84" s="84" t="s">
        <v>65</v>
      </c>
      <c r="M84" s="84" t="s">
        <v>66</v>
      </c>
      <c r="N84" s="102">
        <v>46114.0</v>
      </c>
      <c r="O84" s="84" t="s">
        <v>67</v>
      </c>
      <c r="P84" s="84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31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1">
        <v>79.0</v>
      </c>
      <c r="B85" s="99" t="s">
        <v>239</v>
      </c>
      <c r="C85" s="82" t="str">
        <f>VLOOKUP($B$7:$B$5000,SUM!$L$6:$L$500,1,FALSE)</f>
        <v>#N/A</v>
      </c>
      <c r="D85" s="84" t="s">
        <v>234</v>
      </c>
      <c r="E85" s="100" t="s">
        <v>58</v>
      </c>
      <c r="F85" s="84" t="s">
        <v>105</v>
      </c>
      <c r="G85" s="84" t="s">
        <v>235</v>
      </c>
      <c r="H85" s="84" t="s">
        <v>61</v>
      </c>
      <c r="I85" s="93" t="s">
        <v>240</v>
      </c>
      <c r="J85" s="84" t="s">
        <v>63</v>
      </c>
      <c r="K85" s="84" t="s">
        <v>64</v>
      </c>
      <c r="L85" s="84" t="s">
        <v>65</v>
      </c>
      <c r="M85" s="84" t="s">
        <v>66</v>
      </c>
      <c r="N85" s="25">
        <v>46114.0</v>
      </c>
      <c r="O85" s="84" t="s">
        <v>67</v>
      </c>
      <c r="P85" s="84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31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1">
        <v>80.0</v>
      </c>
      <c r="B86" s="99" t="s">
        <v>241</v>
      </c>
      <c r="C86" s="82" t="str">
        <f>VLOOKUP($B$7:$B$5000,SUM!$L$6:$L$500,1,FALSE)</f>
        <v>#N/A</v>
      </c>
      <c r="D86" s="84" t="s">
        <v>234</v>
      </c>
      <c r="E86" s="100" t="s">
        <v>58</v>
      </c>
      <c r="F86" s="84" t="s">
        <v>105</v>
      </c>
      <c r="G86" s="84" t="s">
        <v>235</v>
      </c>
      <c r="H86" s="84" t="s">
        <v>61</v>
      </c>
      <c r="I86" s="93" t="s">
        <v>242</v>
      </c>
      <c r="J86" s="84" t="s">
        <v>63</v>
      </c>
      <c r="K86" s="84" t="s">
        <v>64</v>
      </c>
      <c r="L86" s="84" t="s">
        <v>65</v>
      </c>
      <c r="M86" s="84" t="s">
        <v>66</v>
      </c>
      <c r="N86" s="102">
        <v>46114.0</v>
      </c>
      <c r="O86" s="84" t="s">
        <v>67</v>
      </c>
      <c r="P86" s="84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31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2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31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2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31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2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31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2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31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2" t="str">
        <f>VLOOKUP($B$7:$B$5000,SUM!$L$6:$L$500,1,FALSE)</f>
        <v>#N/A</v>
      </c>
      <c r="D91" s="84" t="s">
        <v>191</v>
      </c>
      <c r="E91" s="124" t="s">
        <v>58</v>
      </c>
      <c r="F91" s="81" t="s">
        <v>59</v>
      </c>
      <c r="G91" s="94" t="s">
        <v>192</v>
      </c>
      <c r="H91" s="81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4" t="s">
        <v>67</v>
      </c>
      <c r="P91" s="84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2" t="str">
        <f>VLOOKUP($B$7:$B$5000,SUM!$L$6:$L$500,1,FALSE)</f>
        <v>#N/A</v>
      </c>
      <c r="D92" s="84" t="s">
        <v>205</v>
      </c>
      <c r="E92" s="100" t="s">
        <v>58</v>
      </c>
      <c r="F92" s="81" t="s">
        <v>59</v>
      </c>
      <c r="G92" s="94" t="s">
        <v>192</v>
      </c>
      <c r="H92" s="81" t="s">
        <v>61</v>
      </c>
      <c r="I92" s="93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4" t="s">
        <v>67</v>
      </c>
      <c r="P92" s="84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1">
        <v>87.0</v>
      </c>
      <c r="B93" s="99" t="s">
        <v>257</v>
      </c>
      <c r="C93" s="82" t="str">
        <f>VLOOKUP($B$7:$B$5000,SUM!$L$6:$L$500,1,FALSE)</f>
        <v>#N/A</v>
      </c>
      <c r="D93" s="84" t="s">
        <v>258</v>
      </c>
      <c r="E93" s="124" t="s">
        <v>58</v>
      </c>
      <c r="F93" s="84" t="s">
        <v>59</v>
      </c>
      <c r="G93" s="95" t="s">
        <v>259</v>
      </c>
      <c r="H93" s="84" t="s">
        <v>61</v>
      </c>
      <c r="I93" s="93" t="s">
        <v>260</v>
      </c>
      <c r="J93" s="84" t="s">
        <v>74</v>
      </c>
      <c r="K93" s="84" t="s">
        <v>64</v>
      </c>
      <c r="L93" s="90" t="s">
        <v>65</v>
      </c>
      <c r="M93" s="90" t="s">
        <v>66</v>
      </c>
      <c r="N93" s="89">
        <v>46122.0</v>
      </c>
      <c r="O93" s="84" t="s">
        <v>67</v>
      </c>
      <c r="P93" s="84" t="s">
        <v>68</v>
      </c>
      <c r="Q93" s="81"/>
      <c r="R93" s="81"/>
      <c r="S93" s="25"/>
      <c r="T93" s="81"/>
      <c r="U93" s="90" t="s">
        <v>69</v>
      </c>
      <c r="V93" s="125"/>
      <c r="W93" s="125"/>
      <c r="X93" s="125"/>
      <c r="Y93" s="125"/>
      <c r="Z93" s="125"/>
      <c r="AA93" s="125"/>
      <c r="AB93" s="125"/>
    </row>
    <row r="94" ht="30.0" customHeight="1">
      <c r="A94" s="81">
        <v>88.0</v>
      </c>
      <c r="B94" s="99" t="s">
        <v>261</v>
      </c>
      <c r="C94" s="82" t="str">
        <f>VLOOKUP($B$7:$B$5000,SUM!$L$6:$L$500,1,FALSE)</f>
        <v>#N/A</v>
      </c>
      <c r="D94" s="84" t="s">
        <v>258</v>
      </c>
      <c r="E94" s="124" t="s">
        <v>58</v>
      </c>
      <c r="F94" s="84" t="s">
        <v>59</v>
      </c>
      <c r="G94" s="95" t="s">
        <v>259</v>
      </c>
      <c r="H94" s="84" t="s">
        <v>61</v>
      </c>
      <c r="I94" s="93" t="s">
        <v>262</v>
      </c>
      <c r="J94" s="84" t="s">
        <v>63</v>
      </c>
      <c r="K94" s="84" t="s">
        <v>64</v>
      </c>
      <c r="L94" s="90" t="s">
        <v>65</v>
      </c>
      <c r="M94" s="90" t="s">
        <v>66</v>
      </c>
      <c r="N94" s="89">
        <v>46122.0</v>
      </c>
      <c r="O94" s="84" t="s">
        <v>67</v>
      </c>
      <c r="P94" s="84" t="s">
        <v>68</v>
      </c>
      <c r="Q94" s="81"/>
      <c r="R94" s="81"/>
      <c r="S94" s="25"/>
      <c r="T94" s="81"/>
      <c r="U94" s="90" t="s">
        <v>69</v>
      </c>
      <c r="V94" s="125"/>
      <c r="W94" s="125"/>
      <c r="X94" s="125"/>
      <c r="Y94" s="125"/>
      <c r="Z94" s="125"/>
      <c r="AA94" s="125"/>
      <c r="AB94" s="125"/>
    </row>
    <row r="95" ht="30.0" customHeight="1">
      <c r="A95" s="81">
        <v>89.0</v>
      </c>
      <c r="B95" s="99" t="s">
        <v>263</v>
      </c>
      <c r="C95" s="82" t="str">
        <f>VLOOKUP($B$7:$B$5000,SUM!$L$6:$L$500,1,FALSE)</f>
        <v>#N/A</v>
      </c>
      <c r="D95" s="84" t="s">
        <v>258</v>
      </c>
      <c r="E95" s="124" t="s">
        <v>58</v>
      </c>
      <c r="F95" s="84" t="s">
        <v>59</v>
      </c>
      <c r="G95" s="95" t="s">
        <v>259</v>
      </c>
      <c r="H95" s="84" t="s">
        <v>61</v>
      </c>
      <c r="I95" s="93" t="s">
        <v>264</v>
      </c>
      <c r="J95" s="84" t="s">
        <v>63</v>
      </c>
      <c r="K95" s="84" t="s">
        <v>64</v>
      </c>
      <c r="L95" s="90" t="s">
        <v>65</v>
      </c>
      <c r="M95" s="90" t="s">
        <v>66</v>
      </c>
      <c r="N95" s="89">
        <v>46122.0</v>
      </c>
      <c r="O95" s="84" t="s">
        <v>67</v>
      </c>
      <c r="P95" s="84" t="s">
        <v>68</v>
      </c>
      <c r="Q95" s="81"/>
      <c r="R95" s="81"/>
      <c r="S95" s="25"/>
      <c r="T95" s="81"/>
      <c r="U95" s="90" t="s">
        <v>69</v>
      </c>
      <c r="V95" s="125"/>
      <c r="W95" s="125"/>
      <c r="X95" s="125"/>
      <c r="Y95" s="125"/>
      <c r="Z95" s="125"/>
      <c r="AA95" s="125"/>
      <c r="AB95" s="125"/>
    </row>
    <row r="96" ht="30.0" customHeight="1">
      <c r="A96" s="81">
        <v>90.0</v>
      </c>
      <c r="B96" s="99" t="s">
        <v>265</v>
      </c>
      <c r="C96" s="82" t="str">
        <f>VLOOKUP($B$7:$B$5000,SUM!$L$6:$L$500,1,FALSE)</f>
        <v>#N/A</v>
      </c>
      <c r="D96" s="84" t="s">
        <v>258</v>
      </c>
      <c r="E96" s="124" t="s">
        <v>58</v>
      </c>
      <c r="F96" s="84" t="s">
        <v>59</v>
      </c>
      <c r="G96" s="95" t="s">
        <v>259</v>
      </c>
      <c r="H96" s="84" t="s">
        <v>61</v>
      </c>
      <c r="I96" s="93" t="s">
        <v>266</v>
      </c>
      <c r="J96" s="84" t="s">
        <v>63</v>
      </c>
      <c r="K96" s="84" t="s">
        <v>64</v>
      </c>
      <c r="L96" s="90" t="s">
        <v>65</v>
      </c>
      <c r="M96" s="90" t="s">
        <v>66</v>
      </c>
      <c r="N96" s="89">
        <v>46122.0</v>
      </c>
      <c r="O96" s="84" t="s">
        <v>67</v>
      </c>
      <c r="P96" s="84" t="s">
        <v>68</v>
      </c>
      <c r="Q96" s="81"/>
      <c r="R96" s="81"/>
      <c r="S96" s="25"/>
      <c r="T96" s="81"/>
      <c r="U96" s="90" t="s">
        <v>69</v>
      </c>
      <c r="V96" s="125"/>
      <c r="W96" s="125"/>
      <c r="X96" s="125"/>
      <c r="Y96" s="125"/>
      <c r="Z96" s="125"/>
      <c r="AA96" s="125"/>
      <c r="AB96" s="125"/>
    </row>
    <row r="97" ht="30.0" customHeight="1">
      <c r="A97" s="81">
        <v>91.0</v>
      </c>
      <c r="B97" s="99" t="s">
        <v>267</v>
      </c>
      <c r="C97" s="82" t="str">
        <f>VLOOKUP($B$7:$B$5000,SUM!$L$6:$L$500,1,FALSE)</f>
        <v>#N/A</v>
      </c>
      <c r="D97" s="84" t="s">
        <v>258</v>
      </c>
      <c r="E97" s="124" t="s">
        <v>58</v>
      </c>
      <c r="F97" s="84" t="s">
        <v>59</v>
      </c>
      <c r="G97" s="95" t="s">
        <v>259</v>
      </c>
      <c r="H97" s="84" t="s">
        <v>61</v>
      </c>
      <c r="I97" s="93" t="s">
        <v>268</v>
      </c>
      <c r="J97" s="84" t="s">
        <v>74</v>
      </c>
      <c r="K97" s="84" t="s">
        <v>64</v>
      </c>
      <c r="L97" s="90" t="s">
        <v>65</v>
      </c>
      <c r="M97" s="90" t="s">
        <v>66</v>
      </c>
      <c r="N97" s="89">
        <v>46122.0</v>
      </c>
      <c r="O97" s="84" t="s">
        <v>67</v>
      </c>
      <c r="P97" s="84" t="s">
        <v>68</v>
      </c>
      <c r="Q97" s="81"/>
      <c r="R97" s="81"/>
      <c r="S97" s="25"/>
      <c r="T97" s="81"/>
      <c r="U97" s="90" t="s">
        <v>69</v>
      </c>
      <c r="V97" s="125"/>
      <c r="W97" s="125"/>
      <c r="X97" s="125"/>
      <c r="Y97" s="125"/>
      <c r="Z97" s="125"/>
      <c r="AA97" s="125"/>
      <c r="AB97" s="125"/>
    </row>
    <row r="98" ht="30.0" customHeight="1">
      <c r="A98" s="81">
        <v>92.0</v>
      </c>
      <c r="B98" s="99" t="s">
        <v>269</v>
      </c>
      <c r="C98" s="82" t="str">
        <f>VLOOKUP($B$7:$B$5000,SUM!$L$6:$L$500,1,FALSE)</f>
        <v>#N/A</v>
      </c>
      <c r="D98" s="84" t="s">
        <v>258</v>
      </c>
      <c r="E98" s="124" t="s">
        <v>58</v>
      </c>
      <c r="F98" s="84" t="s">
        <v>59</v>
      </c>
      <c r="G98" s="95" t="s">
        <v>259</v>
      </c>
      <c r="H98" s="84" t="s">
        <v>61</v>
      </c>
      <c r="I98" s="93" t="s">
        <v>270</v>
      </c>
      <c r="J98" s="84" t="s">
        <v>63</v>
      </c>
      <c r="K98" s="84" t="s">
        <v>64</v>
      </c>
      <c r="L98" s="90" t="s">
        <v>65</v>
      </c>
      <c r="M98" s="90" t="s">
        <v>66</v>
      </c>
      <c r="N98" s="89">
        <v>46122.0</v>
      </c>
      <c r="O98" s="84" t="s">
        <v>67</v>
      </c>
      <c r="P98" s="84" t="s">
        <v>68</v>
      </c>
      <c r="Q98" s="81"/>
      <c r="R98" s="81"/>
      <c r="S98" s="25"/>
      <c r="T98" s="81"/>
      <c r="U98" s="90" t="s">
        <v>69</v>
      </c>
      <c r="V98" s="125"/>
      <c r="W98" s="125"/>
      <c r="X98" s="125"/>
      <c r="Y98" s="125"/>
      <c r="Z98" s="125"/>
      <c r="AA98" s="125"/>
      <c r="AB98" s="125"/>
    </row>
    <row r="99" ht="30.0" customHeight="1">
      <c r="A99" s="81">
        <v>93.0</v>
      </c>
      <c r="B99" s="99" t="s">
        <v>271</v>
      </c>
      <c r="C99" s="82" t="str">
        <f>VLOOKUP($B$7:$B$5000,SUM!$L$6:$L$500,1,FALSE)</f>
        <v>#N/A</v>
      </c>
      <c r="D99" s="84" t="s">
        <v>272</v>
      </c>
      <c r="E99" s="124" t="s">
        <v>58</v>
      </c>
      <c r="F99" s="84" t="s">
        <v>78</v>
      </c>
      <c r="G99" s="84" t="s">
        <v>259</v>
      </c>
      <c r="H99" s="84" t="s">
        <v>61</v>
      </c>
      <c r="I99" s="93" t="s">
        <v>206</v>
      </c>
      <c r="J99" s="84" t="s">
        <v>74</v>
      </c>
      <c r="K99" s="84" t="s">
        <v>80</v>
      </c>
      <c r="L99" s="90" t="s">
        <v>65</v>
      </c>
      <c r="M99" s="90" t="s">
        <v>66</v>
      </c>
      <c r="N99" s="89">
        <v>46122.0</v>
      </c>
      <c r="O99" s="84" t="s">
        <v>67</v>
      </c>
      <c r="P99" s="84" t="s">
        <v>68</v>
      </c>
      <c r="Q99" s="81"/>
      <c r="R99" s="81"/>
      <c r="S99" s="25"/>
      <c r="T99" s="81"/>
      <c r="U99" s="90" t="s">
        <v>69</v>
      </c>
      <c r="V99" s="125"/>
      <c r="W99" s="125"/>
      <c r="X99" s="125"/>
      <c r="Y99" s="125"/>
      <c r="Z99" s="125"/>
      <c r="AA99" s="125"/>
      <c r="AB99" s="125"/>
    </row>
    <row r="100" ht="30.0" customHeight="1">
      <c r="A100" s="81">
        <v>94.0</v>
      </c>
      <c r="B100" s="99" t="s">
        <v>273</v>
      </c>
      <c r="C100" s="82" t="str">
        <f>VLOOKUP($B$7:$B$5000,SUM!$L$6:$L$500,1,FALSE)</f>
        <v>#N/A</v>
      </c>
      <c r="D100" s="84" t="s">
        <v>272</v>
      </c>
      <c r="E100" s="124" t="s">
        <v>58</v>
      </c>
      <c r="F100" s="84" t="s">
        <v>78</v>
      </c>
      <c r="G100" s="84" t="s">
        <v>259</v>
      </c>
      <c r="H100" s="84" t="s">
        <v>61</v>
      </c>
      <c r="I100" s="93" t="s">
        <v>128</v>
      </c>
      <c r="J100" s="126" t="s">
        <v>74</v>
      </c>
      <c r="K100" s="84" t="s">
        <v>80</v>
      </c>
      <c r="L100" s="90" t="s">
        <v>65</v>
      </c>
      <c r="M100" s="90" t="s">
        <v>66</v>
      </c>
      <c r="N100" s="89">
        <v>46122.0</v>
      </c>
      <c r="O100" s="84" t="s">
        <v>67</v>
      </c>
      <c r="P100" s="84" t="s">
        <v>68</v>
      </c>
      <c r="Q100" s="127"/>
      <c r="R100" s="127"/>
      <c r="S100" s="128"/>
      <c r="T100" s="127"/>
      <c r="U100" s="90" t="s">
        <v>69</v>
      </c>
      <c r="V100" s="129"/>
      <c r="W100" s="129"/>
      <c r="X100" s="129"/>
      <c r="Y100" s="129"/>
      <c r="Z100" s="129"/>
      <c r="AA100" s="129"/>
      <c r="AB100" s="129"/>
    </row>
    <row r="101" ht="30.0" customHeight="1">
      <c r="A101" s="81">
        <v>95.0</v>
      </c>
      <c r="B101" s="99" t="s">
        <v>274</v>
      </c>
      <c r="C101" s="82" t="str">
        <f>VLOOKUP($B$7:$B$5000,SUM!$L$6:$L$500,1,FALSE)</f>
        <v>#N/A</v>
      </c>
      <c r="D101" s="84" t="s">
        <v>272</v>
      </c>
      <c r="E101" s="124" t="s">
        <v>58</v>
      </c>
      <c r="F101" s="84" t="s">
        <v>78</v>
      </c>
      <c r="G101" s="84" t="s">
        <v>259</v>
      </c>
      <c r="H101" s="84" t="s">
        <v>61</v>
      </c>
      <c r="I101" s="93" t="s">
        <v>209</v>
      </c>
      <c r="J101" s="84" t="s">
        <v>63</v>
      </c>
      <c r="K101" s="84" t="s">
        <v>80</v>
      </c>
      <c r="L101" s="90" t="s">
        <v>65</v>
      </c>
      <c r="M101" s="90" t="s">
        <v>66</v>
      </c>
      <c r="N101" s="89">
        <v>46122.0</v>
      </c>
      <c r="O101" s="84" t="s">
        <v>67</v>
      </c>
      <c r="P101" s="84" t="s">
        <v>68</v>
      </c>
      <c r="Q101" s="81"/>
      <c r="R101" s="81"/>
      <c r="S101" s="25"/>
      <c r="T101" s="81"/>
      <c r="U101" s="90" t="s">
        <v>69</v>
      </c>
      <c r="V101" s="129"/>
      <c r="W101" s="129"/>
      <c r="X101" s="129"/>
      <c r="Y101" s="129"/>
      <c r="Z101" s="129"/>
      <c r="AA101" s="129"/>
      <c r="AB101" s="129"/>
    </row>
    <row r="102" ht="30.0" customHeight="1">
      <c r="A102" s="81">
        <v>96.0</v>
      </c>
      <c r="B102" s="99" t="s">
        <v>275</v>
      </c>
      <c r="C102" s="82" t="str">
        <f>VLOOKUP($B$7:$B$5000,SUM!$L$6:$L$500,1,FALSE)</f>
        <v>#N/A</v>
      </c>
      <c r="D102" s="84" t="s">
        <v>272</v>
      </c>
      <c r="E102" s="124" t="s">
        <v>58</v>
      </c>
      <c r="F102" s="84" t="s">
        <v>78</v>
      </c>
      <c r="G102" s="84" t="s">
        <v>259</v>
      </c>
      <c r="H102" s="84" t="s">
        <v>61</v>
      </c>
      <c r="I102" s="93" t="s">
        <v>211</v>
      </c>
      <c r="J102" s="84" t="s">
        <v>63</v>
      </c>
      <c r="K102" s="84" t="s">
        <v>80</v>
      </c>
      <c r="L102" s="90" t="s">
        <v>65</v>
      </c>
      <c r="M102" s="90" t="s">
        <v>66</v>
      </c>
      <c r="N102" s="89">
        <v>46122.0</v>
      </c>
      <c r="O102" s="84" t="s">
        <v>67</v>
      </c>
      <c r="P102" s="84" t="s">
        <v>68</v>
      </c>
      <c r="Q102" s="81"/>
      <c r="R102" s="81"/>
      <c r="S102" s="25"/>
      <c r="T102" s="81"/>
      <c r="U102" s="90" t="s">
        <v>69</v>
      </c>
      <c r="V102" s="129"/>
      <c r="W102" s="129"/>
      <c r="X102" s="129"/>
      <c r="Y102" s="129"/>
      <c r="Z102" s="129"/>
      <c r="AA102" s="129"/>
      <c r="AB102" s="129"/>
    </row>
    <row r="103" ht="30.0" customHeight="1">
      <c r="A103" s="81">
        <v>97.0</v>
      </c>
      <c r="B103" s="99" t="s">
        <v>276</v>
      </c>
      <c r="C103" s="82" t="str">
        <f>VLOOKUP($B$7:$B$5000,SUM!$L$6:$L$500,1,FALSE)</f>
        <v>#N/A</v>
      </c>
      <c r="D103" s="84" t="s">
        <v>272</v>
      </c>
      <c r="E103" s="124" t="s">
        <v>58</v>
      </c>
      <c r="F103" s="84" t="s">
        <v>78</v>
      </c>
      <c r="G103" s="84" t="s">
        <v>259</v>
      </c>
      <c r="H103" s="84" t="s">
        <v>61</v>
      </c>
      <c r="I103" s="93" t="s">
        <v>215</v>
      </c>
      <c r="J103" s="84" t="s">
        <v>74</v>
      </c>
      <c r="K103" s="84" t="s">
        <v>80</v>
      </c>
      <c r="L103" s="90" t="s">
        <v>65</v>
      </c>
      <c r="M103" s="90" t="s">
        <v>66</v>
      </c>
      <c r="N103" s="89">
        <v>46122.0</v>
      </c>
      <c r="O103" s="84" t="s">
        <v>67</v>
      </c>
      <c r="P103" s="84" t="s">
        <v>68</v>
      </c>
      <c r="Q103" s="81"/>
      <c r="R103" s="81"/>
      <c r="S103" s="25"/>
      <c r="T103" s="81"/>
      <c r="U103" s="90" t="s">
        <v>69</v>
      </c>
      <c r="V103" s="129"/>
      <c r="W103" s="129"/>
      <c r="X103" s="129"/>
      <c r="Y103" s="129"/>
      <c r="Z103" s="129"/>
      <c r="AA103" s="129"/>
      <c r="AB103" s="129"/>
    </row>
    <row r="104" ht="30.0" customHeight="1">
      <c r="A104" s="103">
        <v>98.0</v>
      </c>
      <c r="B104" s="99" t="s">
        <v>277</v>
      </c>
      <c r="C104" s="82" t="str">
        <f>VLOOKUP($B$7:$B$5000,SUM!$L$6:$L$500,1,FALSE)</f>
        <v>#N/A</v>
      </c>
      <c r="D104" s="84" t="s">
        <v>182</v>
      </c>
      <c r="E104" s="100" t="s">
        <v>58</v>
      </c>
      <c r="F104" s="81" t="s">
        <v>105</v>
      </c>
      <c r="G104" s="95" t="s">
        <v>183</v>
      </c>
      <c r="H104" s="84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4" t="s">
        <v>68</v>
      </c>
      <c r="Q104" s="96">
        <v>46170.0</v>
      </c>
      <c r="R104" s="84" t="s">
        <v>66</v>
      </c>
      <c r="S104" s="96">
        <v>46173.0</v>
      </c>
      <c r="T104" s="81"/>
      <c r="U104" s="97" t="s">
        <v>31</v>
      </c>
      <c r="V104" s="9"/>
      <c r="W104" s="9"/>
      <c r="X104" s="9"/>
      <c r="Y104" s="9"/>
      <c r="Z104" s="9"/>
      <c r="AA104" s="9"/>
      <c r="AB104" s="9"/>
    </row>
    <row r="105" ht="30.0" customHeight="1">
      <c r="A105" s="81">
        <v>99.0</v>
      </c>
      <c r="B105" s="99" t="s">
        <v>279</v>
      </c>
      <c r="C105" s="82" t="str">
        <f>VLOOKUP($B$7:$B$5000,SUM!$L$6:$L$500,1,FALSE)</f>
        <v>#N/A</v>
      </c>
      <c r="D105" s="84" t="s">
        <v>217</v>
      </c>
      <c r="E105" s="100" t="s">
        <v>58</v>
      </c>
      <c r="F105" s="84" t="s">
        <v>105</v>
      </c>
      <c r="G105" s="84" t="s">
        <v>218</v>
      </c>
      <c r="H105" s="84" t="s">
        <v>222</v>
      </c>
      <c r="I105" s="93" t="s">
        <v>280</v>
      </c>
      <c r="J105" s="84" t="s">
        <v>108</v>
      </c>
      <c r="K105" s="84" t="s">
        <v>64</v>
      </c>
      <c r="L105" s="84" t="s">
        <v>65</v>
      </c>
      <c r="M105" s="84" t="s">
        <v>66</v>
      </c>
      <c r="N105" s="89">
        <v>46122.0</v>
      </c>
      <c r="O105" s="84" t="s">
        <v>67</v>
      </c>
      <c r="P105" s="84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31</v>
      </c>
      <c r="V105" s="130"/>
      <c r="W105" s="130"/>
      <c r="X105" s="130"/>
      <c r="Y105" s="130"/>
      <c r="Z105" s="130"/>
      <c r="AA105" s="130"/>
      <c r="AB105" s="130"/>
    </row>
    <row r="106" ht="30.0" customHeight="1">
      <c r="A106" s="81">
        <v>100.0</v>
      </c>
      <c r="B106" s="99" t="s">
        <v>281</v>
      </c>
      <c r="C106" s="82" t="str">
        <f>VLOOKUP($B$7:$B$5000,SUM!$L$6:$L$500,1,FALSE)</f>
        <v>#N/A</v>
      </c>
      <c r="D106" s="84" t="s">
        <v>272</v>
      </c>
      <c r="E106" s="124" t="s">
        <v>58</v>
      </c>
      <c r="F106" s="84" t="s">
        <v>78</v>
      </c>
      <c r="G106" s="84" t="s">
        <v>259</v>
      </c>
      <c r="H106" s="84" t="s">
        <v>61</v>
      </c>
      <c r="I106" s="93" t="s">
        <v>282</v>
      </c>
      <c r="J106" s="84" t="s">
        <v>74</v>
      </c>
      <c r="K106" s="84" t="s">
        <v>80</v>
      </c>
      <c r="L106" s="90" t="s">
        <v>65</v>
      </c>
      <c r="M106" s="90" t="s">
        <v>66</v>
      </c>
      <c r="N106" s="89">
        <v>46122.0</v>
      </c>
      <c r="O106" s="84" t="s">
        <v>67</v>
      </c>
      <c r="P106" s="84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2" t="str">
        <f>VLOOKUP($B$7:$B$5000,SUM!$L$6:$L$500,1,FALSE)</f>
        <v>#N/A</v>
      </c>
      <c r="D107" s="84" t="s">
        <v>234</v>
      </c>
      <c r="E107" s="124" t="s">
        <v>58</v>
      </c>
      <c r="F107" s="84" t="s">
        <v>105</v>
      </c>
      <c r="G107" s="84" t="s">
        <v>235</v>
      </c>
      <c r="H107" s="84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25">
        <v>46112.0</v>
      </c>
      <c r="O107" s="84" t="s">
        <v>67</v>
      </c>
      <c r="P107" s="84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31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2" t="str">
        <f>VLOOKUP($B$7:$B$5000,SUM!$L$6:$L$500,1,FALSE)</f>
        <v>#N/A</v>
      </c>
      <c r="D108" s="84" t="s">
        <v>234</v>
      </c>
      <c r="E108" s="124" t="s">
        <v>58</v>
      </c>
      <c r="F108" s="84" t="s">
        <v>105</v>
      </c>
      <c r="G108" s="84" t="s">
        <v>235</v>
      </c>
      <c r="H108" s="84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25">
        <v>46112.0</v>
      </c>
      <c r="O108" s="84" t="s">
        <v>67</v>
      </c>
      <c r="P108" s="84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31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2" t="str">
        <f>VLOOKUP($B$7:$B$5000,SUM!$L$6:$L$500,1,FALSE)</f>
        <v>#N/A</v>
      </c>
      <c r="D109" s="84" t="s">
        <v>234</v>
      </c>
      <c r="E109" s="124" t="s">
        <v>58</v>
      </c>
      <c r="F109" s="84" t="s">
        <v>105</v>
      </c>
      <c r="G109" s="84" t="s">
        <v>235</v>
      </c>
      <c r="H109" s="84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25">
        <v>46112.0</v>
      </c>
      <c r="O109" s="84" t="s">
        <v>67</v>
      </c>
      <c r="P109" s="84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31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2" t="str">
        <f>VLOOKUP($B$7:$B$5000,SUM!$L$6:$L$500,1,FALSE)</f>
        <v>#N/A</v>
      </c>
      <c r="D110" s="84" t="s">
        <v>234</v>
      </c>
      <c r="E110" s="124" t="s">
        <v>58</v>
      </c>
      <c r="F110" s="84" t="s">
        <v>105</v>
      </c>
      <c r="G110" s="84" t="s">
        <v>235</v>
      </c>
      <c r="H110" s="84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25">
        <v>46112.0</v>
      </c>
      <c r="O110" s="84" t="s">
        <v>67</v>
      </c>
      <c r="P110" s="84" t="s">
        <v>68</v>
      </c>
      <c r="Q110" s="103"/>
      <c r="R110" s="103"/>
      <c r="S110" s="104"/>
      <c r="T110" s="103"/>
      <c r="U110" s="97" t="s">
        <v>31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2" t="str">
        <f>VLOOKUP($B$7:$B$5000,SUM!$L$6:$L$500,1,FALSE)</f>
        <v>#N/A</v>
      </c>
      <c r="D111" s="84" t="s">
        <v>234</v>
      </c>
      <c r="E111" s="124" t="s">
        <v>58</v>
      </c>
      <c r="F111" s="84" t="s">
        <v>105</v>
      </c>
      <c r="G111" s="84" t="s">
        <v>235</v>
      </c>
      <c r="H111" s="84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25">
        <v>46112.0</v>
      </c>
      <c r="O111" s="84" t="s">
        <v>67</v>
      </c>
      <c r="P111" s="84" t="s">
        <v>68</v>
      </c>
      <c r="Q111" s="103"/>
      <c r="R111" s="103"/>
      <c r="S111" s="104"/>
      <c r="T111" s="103"/>
      <c r="U111" s="97" t="s">
        <v>31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2" t="str">
        <f>VLOOKUP($B$7:$B$5000,SUM!$L$6:$L$500,1,FALSE)</f>
        <v>#N/A</v>
      </c>
      <c r="D112" s="84" t="s">
        <v>234</v>
      </c>
      <c r="E112" s="124" t="s">
        <v>58</v>
      </c>
      <c r="F112" s="81" t="s">
        <v>105</v>
      </c>
      <c r="G112" s="84" t="s">
        <v>235</v>
      </c>
      <c r="H112" s="84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25">
        <v>46112.0</v>
      </c>
      <c r="O112" s="84" t="s">
        <v>67</v>
      </c>
      <c r="P112" s="84" t="s">
        <v>68</v>
      </c>
      <c r="Q112" s="103"/>
      <c r="R112" s="103"/>
      <c r="S112" s="104"/>
      <c r="T112" s="103"/>
      <c r="U112" s="97" t="s">
        <v>31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2" t="str">
        <f>VLOOKUP($B$7:$B$5000,SUM!$L$6:$L$500,1,FALSE)</f>
        <v>#N/A</v>
      </c>
      <c r="D113" s="84" t="s">
        <v>234</v>
      </c>
      <c r="E113" s="124" t="s">
        <v>58</v>
      </c>
      <c r="F113" s="81" t="s">
        <v>105</v>
      </c>
      <c r="G113" s="84" t="s">
        <v>235</v>
      </c>
      <c r="H113" s="84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25">
        <v>46112.0</v>
      </c>
      <c r="O113" s="84" t="s">
        <v>67</v>
      </c>
      <c r="P113" s="84" t="s">
        <v>68</v>
      </c>
      <c r="Q113" s="103"/>
      <c r="R113" s="103"/>
      <c r="S113" s="104"/>
      <c r="T113" s="103"/>
      <c r="U113" s="97" t="s">
        <v>31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2" t="str">
        <f>VLOOKUP($B$7:$B$5000,SUM!$L$6:$L$500,1,FALSE)</f>
        <v>#N/A</v>
      </c>
      <c r="D114" s="84" t="s">
        <v>234</v>
      </c>
      <c r="E114" s="124" t="s">
        <v>58</v>
      </c>
      <c r="F114" s="81" t="s">
        <v>105</v>
      </c>
      <c r="G114" s="84" t="s">
        <v>235</v>
      </c>
      <c r="H114" s="84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25">
        <v>46112.0</v>
      </c>
      <c r="O114" s="84" t="s">
        <v>67</v>
      </c>
      <c r="P114" s="84" t="s">
        <v>68</v>
      </c>
      <c r="Q114" s="103"/>
      <c r="R114" s="103"/>
      <c r="S114" s="104"/>
      <c r="T114" s="103"/>
      <c r="U114" s="97" t="s">
        <v>31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2" t="str">
        <f>VLOOKUP($B$7:$B$5000,SUM!$L$6:$L$500,1,FALSE)</f>
        <v>#N/A</v>
      </c>
      <c r="D115" s="84" t="s">
        <v>234</v>
      </c>
      <c r="E115" s="124" t="s">
        <v>58</v>
      </c>
      <c r="F115" s="81" t="s">
        <v>105</v>
      </c>
      <c r="G115" s="84" t="s">
        <v>235</v>
      </c>
      <c r="H115" s="84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25">
        <v>46112.0</v>
      </c>
      <c r="O115" s="84" t="s">
        <v>67</v>
      </c>
      <c r="P115" s="84" t="s">
        <v>68</v>
      </c>
      <c r="Q115" s="103"/>
      <c r="R115" s="103"/>
      <c r="S115" s="104"/>
      <c r="T115" s="103"/>
      <c r="U115" s="97" t="s">
        <v>31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2" t="str">
        <f>VLOOKUP($B$7:$B$5000,SUM!$L$6:$L$500,1,FALSE)</f>
        <v>#N/A</v>
      </c>
      <c r="D116" s="84" t="s">
        <v>234</v>
      </c>
      <c r="E116" s="124" t="s">
        <v>58</v>
      </c>
      <c r="F116" s="81" t="s">
        <v>105</v>
      </c>
      <c r="G116" s="84" t="s">
        <v>235</v>
      </c>
      <c r="H116" s="84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25">
        <v>46112.0</v>
      </c>
      <c r="O116" s="84" t="s">
        <v>67</v>
      </c>
      <c r="P116" s="84" t="s">
        <v>68</v>
      </c>
      <c r="Q116" s="103"/>
      <c r="R116" s="103"/>
      <c r="S116" s="104"/>
      <c r="T116" s="103"/>
      <c r="U116" s="97" t="s">
        <v>31</v>
      </c>
      <c r="V116" s="9"/>
      <c r="W116" s="9"/>
      <c r="X116" s="9"/>
      <c r="Y116" s="9"/>
      <c r="Z116" s="9"/>
      <c r="AA116" s="9"/>
      <c r="AB116" s="9"/>
    </row>
    <row r="117" ht="39.0" customHeight="1">
      <c r="A117" s="131">
        <v>111.0</v>
      </c>
      <c r="B117" s="99" t="s">
        <v>303</v>
      </c>
      <c r="C117" s="82" t="str">
        <f>VLOOKUP($B$7:$B$5000,SUM!$L$6:$L$500,1,FALSE)</f>
        <v>#N/A</v>
      </c>
      <c r="D117" s="84" t="s">
        <v>234</v>
      </c>
      <c r="E117" s="124" t="s">
        <v>58</v>
      </c>
      <c r="F117" s="81" t="s">
        <v>105</v>
      </c>
      <c r="G117" s="84" t="s">
        <v>235</v>
      </c>
      <c r="H117" s="84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25">
        <v>46112.0</v>
      </c>
      <c r="O117" s="84" t="s">
        <v>67</v>
      </c>
      <c r="P117" s="84" t="s">
        <v>68</v>
      </c>
      <c r="Q117" s="103"/>
      <c r="R117" s="103"/>
      <c r="S117" s="104"/>
      <c r="T117" s="103"/>
      <c r="U117" s="97" t="s">
        <v>31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2" t="str">
        <f>VLOOKUP($B$7:$B$5000,SUM!$L$6:$L$500,1,FALSE)</f>
        <v>#N/A</v>
      </c>
      <c r="D118" s="84" t="s">
        <v>234</v>
      </c>
      <c r="E118" s="124" t="s">
        <v>58</v>
      </c>
      <c r="F118" s="84" t="s">
        <v>105</v>
      </c>
      <c r="G118" s="84" t="s">
        <v>235</v>
      </c>
      <c r="H118" s="84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25">
        <v>46112.0</v>
      </c>
      <c r="O118" s="84" t="s">
        <v>67</v>
      </c>
      <c r="P118" s="84" t="s">
        <v>68</v>
      </c>
      <c r="Q118" s="103"/>
      <c r="R118" s="103"/>
      <c r="S118" s="104"/>
      <c r="T118" s="103"/>
      <c r="U118" s="97" t="s">
        <v>31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2" t="str">
        <f>VLOOKUP($B$7:$B$5000,SUM!$L$6:$L$500,1,FALSE)</f>
        <v>#N/A</v>
      </c>
      <c r="D119" s="84" t="s">
        <v>234</v>
      </c>
      <c r="E119" s="124" t="s">
        <v>58</v>
      </c>
      <c r="F119" s="84" t="s">
        <v>105</v>
      </c>
      <c r="G119" s="84" t="s">
        <v>235</v>
      </c>
      <c r="H119" s="84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25">
        <v>46112.0</v>
      </c>
      <c r="O119" s="84" t="s">
        <v>67</v>
      </c>
      <c r="P119" s="84" t="s">
        <v>68</v>
      </c>
      <c r="Q119" s="103"/>
      <c r="R119" s="103"/>
      <c r="S119" s="104"/>
      <c r="T119" s="103"/>
      <c r="U119" s="97" t="s">
        <v>31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2" t="str">
        <f>VLOOKUP($B$7:$B$5000,SUM!$L$6:$L$500,1,FALSE)</f>
        <v>#N/A</v>
      </c>
      <c r="D120" s="81" t="s">
        <v>234</v>
      </c>
      <c r="E120" s="124" t="s">
        <v>58</v>
      </c>
      <c r="F120" s="84" t="s">
        <v>105</v>
      </c>
      <c r="G120" s="84" t="s">
        <v>235</v>
      </c>
      <c r="H120" s="84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25">
        <v>46112.0</v>
      </c>
      <c r="O120" s="84" t="s">
        <v>67</v>
      </c>
      <c r="P120" s="84" t="s">
        <v>68</v>
      </c>
      <c r="Q120" s="103"/>
      <c r="R120" s="103"/>
      <c r="S120" s="104"/>
      <c r="T120" s="103"/>
      <c r="U120" s="97" t="s">
        <v>31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2" t="str">
        <f>VLOOKUP($B$7:$B$5000,SUM!$L$6:$L$500,1,FALSE)</f>
        <v>#N/A</v>
      </c>
      <c r="D121" s="84" t="s">
        <v>234</v>
      </c>
      <c r="E121" s="124" t="s">
        <v>58</v>
      </c>
      <c r="F121" s="81" t="s">
        <v>105</v>
      </c>
      <c r="G121" s="84" t="s">
        <v>235</v>
      </c>
      <c r="H121" s="84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25">
        <v>46112.0</v>
      </c>
      <c r="O121" s="84" t="s">
        <v>67</v>
      </c>
      <c r="P121" s="84" t="s">
        <v>68</v>
      </c>
      <c r="Q121" s="103"/>
      <c r="R121" s="103"/>
      <c r="S121" s="104"/>
      <c r="T121" s="103"/>
      <c r="U121" s="97" t="s">
        <v>31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2" t="str">
        <f>VLOOKUP($B$7:$B$5000,SUM!$L$6:$L$500,1,FALSE)</f>
        <v>#N/A</v>
      </c>
      <c r="D122" s="84" t="s">
        <v>234</v>
      </c>
      <c r="E122" s="124" t="s">
        <v>58</v>
      </c>
      <c r="F122" s="84" t="s">
        <v>105</v>
      </c>
      <c r="G122" s="84" t="s">
        <v>235</v>
      </c>
      <c r="H122" s="84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25">
        <v>46112.0</v>
      </c>
      <c r="O122" s="84" t="s">
        <v>67</v>
      </c>
      <c r="P122" s="84" t="s">
        <v>68</v>
      </c>
      <c r="Q122" s="103"/>
      <c r="R122" s="103"/>
      <c r="S122" s="104"/>
      <c r="T122" s="103"/>
      <c r="U122" s="97" t="s">
        <v>31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2" t="str">
        <f>VLOOKUP($B$7:$B$5000,SUM!$L$6:$L$500,1,FALSE)</f>
        <v>#N/A</v>
      </c>
      <c r="D123" s="84" t="s">
        <v>234</v>
      </c>
      <c r="E123" s="124" t="s">
        <v>58</v>
      </c>
      <c r="F123" s="84" t="s">
        <v>105</v>
      </c>
      <c r="G123" s="84" t="s">
        <v>235</v>
      </c>
      <c r="H123" s="84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25">
        <v>46112.0</v>
      </c>
      <c r="O123" s="84" t="s">
        <v>67</v>
      </c>
      <c r="P123" s="84" t="s">
        <v>68</v>
      </c>
      <c r="Q123" s="103"/>
      <c r="R123" s="103"/>
      <c r="S123" s="104"/>
      <c r="T123" s="103"/>
      <c r="U123" s="97" t="s">
        <v>31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2" t="str">
        <f>VLOOKUP($B$7:$B$5000,SUM!$L$6:$L$500,1,FALSE)</f>
        <v>#N/A</v>
      </c>
      <c r="D124" s="84" t="s">
        <v>234</v>
      </c>
      <c r="E124" s="124" t="s">
        <v>58</v>
      </c>
      <c r="F124" s="84" t="s">
        <v>105</v>
      </c>
      <c r="G124" s="95" t="s">
        <v>235</v>
      </c>
      <c r="H124" s="84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25">
        <v>46112.0</v>
      </c>
      <c r="O124" s="84" t="s">
        <v>67</v>
      </c>
      <c r="P124" s="84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2">
        <v>119.0</v>
      </c>
      <c r="B125" s="133" t="s">
        <v>317</v>
      </c>
      <c r="C125" s="82" t="str">
        <f>VLOOKUP($B$7:$B$5000,SUM!$L$6:$L$500,1,FALSE)</f>
        <v>#N/A</v>
      </c>
      <c r="D125" s="134" t="s">
        <v>244</v>
      </c>
      <c r="E125" s="135" t="s">
        <v>58</v>
      </c>
      <c r="F125" s="134" t="s">
        <v>105</v>
      </c>
      <c r="G125" s="136" t="s">
        <v>235</v>
      </c>
      <c r="H125" s="134" t="s">
        <v>61</v>
      </c>
      <c r="I125" s="137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8" t="s">
        <v>246</v>
      </c>
      <c r="O125" s="90" t="s">
        <v>67</v>
      </c>
      <c r="P125" s="84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31</v>
      </c>
      <c r="V125" s="9"/>
      <c r="W125" s="9"/>
      <c r="X125" s="9"/>
      <c r="Y125" s="9"/>
      <c r="Z125" s="9"/>
      <c r="AA125" s="9"/>
      <c r="AB125" s="9"/>
    </row>
    <row r="126" ht="39.0" customHeight="1">
      <c r="A126" s="131">
        <v>120.0</v>
      </c>
      <c r="B126" s="139" t="s">
        <v>320</v>
      </c>
      <c r="C126" s="82" t="str">
        <f>VLOOKUP($B$7:$B$5000,SUM!$L$6:$L$500,1,FALSE)</f>
        <v>#N/A</v>
      </c>
      <c r="D126" s="84" t="s">
        <v>244</v>
      </c>
      <c r="E126" s="124" t="s">
        <v>58</v>
      </c>
      <c r="F126" s="84" t="s">
        <v>105</v>
      </c>
      <c r="G126" s="95" t="s">
        <v>235</v>
      </c>
      <c r="H126" s="84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8" t="s">
        <v>246</v>
      </c>
      <c r="O126" s="90" t="s">
        <v>67</v>
      </c>
      <c r="P126" s="84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31</v>
      </c>
      <c r="V126" s="9"/>
      <c r="W126" s="9"/>
      <c r="X126" s="9"/>
      <c r="Y126" s="9"/>
      <c r="Z126" s="9"/>
      <c r="AA126" s="9"/>
      <c r="AB126" s="9"/>
    </row>
    <row r="127" ht="39.0" customHeight="1">
      <c r="A127" s="131">
        <v>121.0</v>
      </c>
      <c r="B127" s="139" t="s">
        <v>322</v>
      </c>
      <c r="C127" s="82" t="str">
        <f>VLOOKUP($B$7:$B$5000,SUM!$L$6:$L$500,1,FALSE)</f>
        <v>#N/A</v>
      </c>
      <c r="D127" s="84" t="s">
        <v>244</v>
      </c>
      <c r="E127" s="124" t="s">
        <v>58</v>
      </c>
      <c r="F127" s="84" t="s">
        <v>105</v>
      </c>
      <c r="G127" s="95" t="s">
        <v>235</v>
      </c>
      <c r="H127" s="84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8" t="s">
        <v>246</v>
      </c>
      <c r="O127" s="90" t="s">
        <v>67</v>
      </c>
      <c r="P127" s="84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31</v>
      </c>
      <c r="V127" s="9"/>
      <c r="W127" s="9"/>
      <c r="X127" s="9"/>
      <c r="Y127" s="9"/>
      <c r="Z127" s="9"/>
      <c r="AA127" s="9"/>
      <c r="AB127" s="9"/>
    </row>
    <row r="128" ht="39.0" customHeight="1">
      <c r="A128" s="131">
        <v>122.0</v>
      </c>
      <c r="B128" s="139" t="s">
        <v>324</v>
      </c>
      <c r="C128" s="82" t="str">
        <f>VLOOKUP($B$7:$B$5000,SUM!$L$6:$L$500,1,FALSE)</f>
        <v>#N/A</v>
      </c>
      <c r="D128" s="84" t="s">
        <v>244</v>
      </c>
      <c r="E128" s="124" t="s">
        <v>58</v>
      </c>
      <c r="F128" s="84" t="s">
        <v>105</v>
      </c>
      <c r="G128" s="95" t="s">
        <v>235</v>
      </c>
      <c r="H128" s="84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8" t="s">
        <v>246</v>
      </c>
      <c r="O128" s="90" t="s">
        <v>67</v>
      </c>
      <c r="P128" s="84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31</v>
      </c>
      <c r="V128" s="9"/>
      <c r="W128" s="9"/>
      <c r="X128" s="9"/>
      <c r="Y128" s="9"/>
      <c r="Z128" s="9"/>
      <c r="AA128" s="9"/>
      <c r="AB128" s="9"/>
    </row>
    <row r="129" ht="39.0" customHeight="1">
      <c r="A129" s="131">
        <v>123.0</v>
      </c>
      <c r="B129" s="139" t="s">
        <v>326</v>
      </c>
      <c r="C129" s="82" t="str">
        <f>VLOOKUP($B$7:$B$5000,SUM!$L$6:$L$500,1,FALSE)</f>
        <v>#N/A</v>
      </c>
      <c r="D129" s="84" t="s">
        <v>244</v>
      </c>
      <c r="E129" s="124" t="s">
        <v>58</v>
      </c>
      <c r="F129" s="84" t="s">
        <v>105</v>
      </c>
      <c r="G129" s="95" t="s">
        <v>235</v>
      </c>
      <c r="H129" s="84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8" t="s">
        <v>246</v>
      </c>
      <c r="O129" s="90" t="s">
        <v>67</v>
      </c>
      <c r="P129" s="84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1">
        <v>124.0</v>
      </c>
      <c r="B130" s="139" t="s">
        <v>328</v>
      </c>
      <c r="C130" s="82" t="str">
        <f>VLOOKUP($B$7:$B$5000,SUM!$L$6:$L$500,1,FALSE)</f>
        <v>#N/A</v>
      </c>
      <c r="D130" s="84" t="s">
        <v>244</v>
      </c>
      <c r="E130" s="124" t="s">
        <v>58</v>
      </c>
      <c r="F130" s="84" t="s">
        <v>105</v>
      </c>
      <c r="G130" s="95" t="s">
        <v>235</v>
      </c>
      <c r="H130" s="84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8" t="s">
        <v>246</v>
      </c>
      <c r="O130" s="90" t="s">
        <v>67</v>
      </c>
      <c r="P130" s="84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1">
        <v>125.0</v>
      </c>
      <c r="B131" s="139" t="s">
        <v>330</v>
      </c>
      <c r="C131" s="82" t="str">
        <f>VLOOKUP($B$7:$B$5000,SUM!$L$6:$L$500,1,FALSE)</f>
        <v>#N/A</v>
      </c>
      <c r="D131" s="84" t="s">
        <v>244</v>
      </c>
      <c r="E131" s="124" t="s">
        <v>58</v>
      </c>
      <c r="F131" s="84" t="s">
        <v>105</v>
      </c>
      <c r="G131" s="95" t="s">
        <v>235</v>
      </c>
      <c r="H131" s="84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8" t="s">
        <v>246</v>
      </c>
      <c r="O131" s="90" t="s">
        <v>67</v>
      </c>
      <c r="P131" s="84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1">
        <v>126.0</v>
      </c>
      <c r="B132" s="139" t="s">
        <v>332</v>
      </c>
      <c r="C132" s="82" t="str">
        <f>VLOOKUP($B$7:$B$5000,SUM!$L$6:$L$500,1,FALSE)</f>
        <v>#N/A</v>
      </c>
      <c r="D132" s="84" t="s">
        <v>244</v>
      </c>
      <c r="E132" s="124" t="s">
        <v>58</v>
      </c>
      <c r="F132" s="84" t="s">
        <v>105</v>
      </c>
      <c r="G132" s="95" t="s">
        <v>235</v>
      </c>
      <c r="H132" s="84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8" t="s">
        <v>246</v>
      </c>
      <c r="O132" s="90" t="s">
        <v>67</v>
      </c>
      <c r="P132" s="84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1">
        <v>127.0</v>
      </c>
      <c r="B133" s="139" t="s">
        <v>334</v>
      </c>
      <c r="C133" s="82" t="str">
        <f>VLOOKUP($B$7:$B$5000,SUM!$L$6:$L$500,1,FALSE)</f>
        <v>#N/A</v>
      </c>
      <c r="D133" s="84" t="s">
        <v>244</v>
      </c>
      <c r="E133" s="124" t="s">
        <v>58</v>
      </c>
      <c r="F133" s="84" t="s">
        <v>105</v>
      </c>
      <c r="G133" s="95" t="s">
        <v>235</v>
      </c>
      <c r="H133" s="84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8" t="s">
        <v>246</v>
      </c>
      <c r="O133" s="90" t="s">
        <v>67</v>
      </c>
      <c r="P133" s="84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1">
        <v>128.0</v>
      </c>
      <c r="B134" s="139" t="s">
        <v>336</v>
      </c>
      <c r="C134" s="82" t="str">
        <f>VLOOKUP($B$7:$B$5000,SUM!$L$6:$L$500,1,FALSE)</f>
        <v>#N/A</v>
      </c>
      <c r="D134" s="84" t="s">
        <v>244</v>
      </c>
      <c r="E134" s="124" t="s">
        <v>58</v>
      </c>
      <c r="F134" s="84" t="s">
        <v>105</v>
      </c>
      <c r="G134" s="95" t="s">
        <v>235</v>
      </c>
      <c r="H134" s="84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8" t="s">
        <v>246</v>
      </c>
      <c r="O134" s="90" t="s">
        <v>67</v>
      </c>
      <c r="P134" s="84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1">
        <v>129.0</v>
      </c>
      <c r="B135" s="139" t="s">
        <v>338</v>
      </c>
      <c r="C135" s="82" t="str">
        <f>VLOOKUP($B$7:$B$5000,SUM!$L$6:$L$500,1,FALSE)</f>
        <v>#N/A</v>
      </c>
      <c r="D135" s="84" t="s">
        <v>244</v>
      </c>
      <c r="E135" s="124" t="s">
        <v>58</v>
      </c>
      <c r="F135" s="84" t="s">
        <v>105</v>
      </c>
      <c r="G135" s="95" t="s">
        <v>235</v>
      </c>
      <c r="H135" s="84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8" t="s">
        <v>246</v>
      </c>
      <c r="O135" s="90" t="s">
        <v>67</v>
      </c>
      <c r="P135" s="84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1">
        <v>130.0</v>
      </c>
      <c r="B136" s="139" t="s">
        <v>340</v>
      </c>
      <c r="C136" s="82" t="str">
        <f>VLOOKUP($B$7:$B$5000,SUM!$L$6:$L$500,1,FALSE)</f>
        <v>#N/A</v>
      </c>
      <c r="D136" s="84" t="s">
        <v>244</v>
      </c>
      <c r="E136" s="124" t="s">
        <v>58</v>
      </c>
      <c r="F136" s="84" t="s">
        <v>105</v>
      </c>
      <c r="G136" s="95" t="s">
        <v>235</v>
      </c>
      <c r="H136" s="84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8" t="s">
        <v>246</v>
      </c>
      <c r="O136" s="90" t="s">
        <v>67</v>
      </c>
      <c r="P136" s="84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1">
        <v>131.0</v>
      </c>
      <c r="B137" s="139" t="s">
        <v>342</v>
      </c>
      <c r="C137" s="82" t="str">
        <f>VLOOKUP($B$7:$B$5000,SUM!$L$6:$L$500,1,FALSE)</f>
        <v>#N/A</v>
      </c>
      <c r="D137" s="84" t="s">
        <v>244</v>
      </c>
      <c r="E137" s="124" t="s">
        <v>58</v>
      </c>
      <c r="F137" s="84" t="s">
        <v>105</v>
      </c>
      <c r="G137" s="95" t="s">
        <v>235</v>
      </c>
      <c r="H137" s="84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8" t="s">
        <v>246</v>
      </c>
      <c r="O137" s="90" t="s">
        <v>67</v>
      </c>
      <c r="P137" s="84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1">
        <v>132.0</v>
      </c>
      <c r="B138" s="139" t="s">
        <v>344</v>
      </c>
      <c r="C138" s="82" t="str">
        <f>VLOOKUP($B$7:$B$5000,SUM!$L$6:$L$500,1,FALSE)</f>
        <v>#N/A</v>
      </c>
      <c r="D138" s="84" t="s">
        <v>244</v>
      </c>
      <c r="E138" s="124" t="s">
        <v>58</v>
      </c>
      <c r="F138" s="84" t="s">
        <v>105</v>
      </c>
      <c r="G138" s="95" t="s">
        <v>235</v>
      </c>
      <c r="H138" s="84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8" t="s">
        <v>246</v>
      </c>
      <c r="O138" s="90" t="s">
        <v>67</v>
      </c>
      <c r="P138" s="84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1">
        <v>133.0</v>
      </c>
      <c r="B139" s="139" t="s">
        <v>346</v>
      </c>
      <c r="C139" s="82" t="str">
        <f>VLOOKUP($B$7:$B$5000,SUM!$L$6:$L$500,1,FALSE)</f>
        <v>#N/A</v>
      </c>
      <c r="D139" s="84" t="s">
        <v>244</v>
      </c>
      <c r="E139" s="124" t="s">
        <v>58</v>
      </c>
      <c r="F139" s="84" t="s">
        <v>105</v>
      </c>
      <c r="G139" s="95" t="s">
        <v>235</v>
      </c>
      <c r="H139" s="84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8" t="s">
        <v>246</v>
      </c>
      <c r="O139" s="90" t="s">
        <v>67</v>
      </c>
      <c r="P139" s="84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1">
        <v>134.0</v>
      </c>
      <c r="B140" s="139" t="s">
        <v>348</v>
      </c>
      <c r="C140" s="82" t="str">
        <f>VLOOKUP($B$7:$B$5000,SUM!$L$6:$L$500,1,FALSE)</f>
        <v>#N/A</v>
      </c>
      <c r="D140" s="84" t="s">
        <v>244</v>
      </c>
      <c r="E140" s="124" t="s">
        <v>58</v>
      </c>
      <c r="F140" s="84" t="s">
        <v>105</v>
      </c>
      <c r="G140" s="95" t="s">
        <v>235</v>
      </c>
      <c r="H140" s="84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4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1">
        <v>135.0</v>
      </c>
      <c r="B141" s="139" t="s">
        <v>350</v>
      </c>
      <c r="C141" s="82" t="str">
        <f>VLOOKUP($B$7:$B$5000,SUM!$L$6:$L$500,1,FALSE)</f>
        <v>#N/A</v>
      </c>
      <c r="D141" s="84" t="s">
        <v>244</v>
      </c>
      <c r="E141" s="124" t="s">
        <v>58</v>
      </c>
      <c r="F141" s="84" t="s">
        <v>105</v>
      </c>
      <c r="G141" s="95" t="s">
        <v>235</v>
      </c>
      <c r="H141" s="84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8" t="s">
        <v>246</v>
      </c>
      <c r="O141" s="90" t="s">
        <v>67</v>
      </c>
      <c r="P141" s="84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1">
        <v>136.0</v>
      </c>
      <c r="B142" s="139" t="s">
        <v>352</v>
      </c>
      <c r="C142" s="82" t="str">
        <f>VLOOKUP($B$7:$B$5000,SUM!$L$6:$L$500,1,FALSE)</f>
        <v>#N/A</v>
      </c>
      <c r="D142" s="84" t="s">
        <v>244</v>
      </c>
      <c r="E142" s="124" t="s">
        <v>58</v>
      </c>
      <c r="F142" s="84" t="s">
        <v>105</v>
      </c>
      <c r="G142" s="95" t="s">
        <v>235</v>
      </c>
      <c r="H142" s="84" t="s">
        <v>61</v>
      </c>
      <c r="I142" s="98" t="s">
        <v>353</v>
      </c>
      <c r="J142" s="90" t="s">
        <v>63</v>
      </c>
      <c r="K142" s="90" t="s">
        <v>64</v>
      </c>
      <c r="L142" s="140" t="s">
        <v>65</v>
      </c>
      <c r="M142" s="90" t="s">
        <v>66</v>
      </c>
      <c r="N142" s="138" t="s">
        <v>246</v>
      </c>
      <c r="O142" s="90" t="s">
        <v>67</v>
      </c>
      <c r="P142" s="84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1">
        <v>137.0</v>
      </c>
      <c r="B143" s="139" t="s">
        <v>354</v>
      </c>
      <c r="C143" s="82" t="str">
        <f>VLOOKUP($B$7:$B$5000,SUM!$L$6:$L$500,1,FALSE)</f>
        <v>#N/A</v>
      </c>
      <c r="D143" s="84" t="s">
        <v>244</v>
      </c>
      <c r="E143" s="124" t="s">
        <v>58</v>
      </c>
      <c r="F143" s="84" t="s">
        <v>105</v>
      </c>
      <c r="G143" s="95" t="s">
        <v>235</v>
      </c>
      <c r="H143" s="84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8" t="s">
        <v>246</v>
      </c>
      <c r="O143" s="90" t="s">
        <v>67</v>
      </c>
      <c r="P143" s="84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1">
        <v>138.0</v>
      </c>
      <c r="B144" s="139" t="s">
        <v>356</v>
      </c>
      <c r="C144" s="82" t="str">
        <f>VLOOKUP($B$7:$B$5000,SUM!$L$6:$L$500,1,FALSE)</f>
        <v>#N/A</v>
      </c>
      <c r="D144" s="84" t="s">
        <v>244</v>
      </c>
      <c r="E144" s="124" t="s">
        <v>58</v>
      </c>
      <c r="F144" s="84" t="s">
        <v>105</v>
      </c>
      <c r="G144" s="95" t="s">
        <v>235</v>
      </c>
      <c r="H144" s="84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8" t="s">
        <v>246</v>
      </c>
      <c r="O144" s="90" t="s">
        <v>67</v>
      </c>
      <c r="P144" s="84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1" t="s">
        <v>358</v>
      </c>
      <c r="C145" s="82" t="str">
        <f>VLOOKUP($B$7:$B$5000,SUM!$L$6:$L$500,1,FALSE)</f>
        <v>#N/A</v>
      </c>
      <c r="D145" s="84" t="s">
        <v>244</v>
      </c>
      <c r="E145" s="100" t="s">
        <v>58</v>
      </c>
      <c r="F145" s="84" t="s">
        <v>105</v>
      </c>
      <c r="G145" s="84" t="s">
        <v>235</v>
      </c>
      <c r="H145" s="84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8" t="s">
        <v>246</v>
      </c>
      <c r="O145" s="90" t="s">
        <v>67</v>
      </c>
      <c r="P145" s="84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1" t="s">
        <v>360</v>
      </c>
      <c r="C146" s="82" t="str">
        <f>VLOOKUP($B$7:$B$5000,SUM!$L$6:$L$500,1,FALSE)</f>
        <v>#N/A</v>
      </c>
      <c r="D146" s="84" t="s">
        <v>244</v>
      </c>
      <c r="E146" s="100" t="s">
        <v>58</v>
      </c>
      <c r="F146" s="84" t="s">
        <v>105</v>
      </c>
      <c r="G146" s="84" t="s">
        <v>235</v>
      </c>
      <c r="H146" s="84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8" t="s">
        <v>246</v>
      </c>
      <c r="O146" s="90" t="s">
        <v>226</v>
      </c>
      <c r="P146" s="84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31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1" t="s">
        <v>362</v>
      </c>
      <c r="C147" s="82" t="str">
        <f>VLOOKUP($B$7:$B$5000,SUM!$L$6:$L$500,1,FALSE)</f>
        <v>#N/A</v>
      </c>
      <c r="D147" s="84" t="s">
        <v>244</v>
      </c>
      <c r="E147" s="100" t="s">
        <v>58</v>
      </c>
      <c r="F147" s="84" t="s">
        <v>105</v>
      </c>
      <c r="G147" s="84" t="s">
        <v>235</v>
      </c>
      <c r="H147" s="84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8" t="s">
        <v>246</v>
      </c>
      <c r="O147" s="90" t="s">
        <v>226</v>
      </c>
      <c r="P147" s="84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31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1" t="s">
        <v>364</v>
      </c>
      <c r="C148" s="82" t="str">
        <f>VLOOKUP($B$7:$B$5000,SUM!$L$6:$L$500,1,FALSE)</f>
        <v>#N/A</v>
      </c>
      <c r="D148" s="84" t="s">
        <v>244</v>
      </c>
      <c r="E148" s="100" t="s">
        <v>58</v>
      </c>
      <c r="F148" s="84" t="s">
        <v>105</v>
      </c>
      <c r="G148" s="84" t="s">
        <v>235</v>
      </c>
      <c r="H148" s="84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8" t="s">
        <v>246</v>
      </c>
      <c r="O148" s="90" t="s">
        <v>226</v>
      </c>
      <c r="P148" s="84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31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1" t="s">
        <v>366</v>
      </c>
      <c r="C149" s="82" t="str">
        <f>VLOOKUP($B$7:$B$5000,SUM!$L$6:$L$500,1,FALSE)</f>
        <v>#N/A</v>
      </c>
      <c r="D149" s="84" t="s">
        <v>244</v>
      </c>
      <c r="E149" s="100" t="s">
        <v>58</v>
      </c>
      <c r="F149" s="84" t="s">
        <v>105</v>
      </c>
      <c r="G149" s="84" t="s">
        <v>235</v>
      </c>
      <c r="H149" s="84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8" t="s">
        <v>246</v>
      </c>
      <c r="O149" s="90" t="s">
        <v>226</v>
      </c>
      <c r="P149" s="84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31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1" t="s">
        <v>368</v>
      </c>
      <c r="C150" s="82" t="str">
        <f>VLOOKUP($B$7:$B$5000,SUM!$L$6:$L$500,1,FALSE)</f>
        <v>#N/A</v>
      </c>
      <c r="D150" s="84" t="s">
        <v>244</v>
      </c>
      <c r="E150" s="100" t="s">
        <v>58</v>
      </c>
      <c r="F150" s="84" t="s">
        <v>105</v>
      </c>
      <c r="G150" s="84" t="s">
        <v>235</v>
      </c>
      <c r="H150" s="84" t="s">
        <v>61</v>
      </c>
      <c r="I150" s="98" t="s">
        <v>369</v>
      </c>
      <c r="J150" s="90" t="s">
        <v>108</v>
      </c>
      <c r="K150" s="90" t="s">
        <v>64</v>
      </c>
      <c r="L150" s="140" t="s">
        <v>65</v>
      </c>
      <c r="M150" s="90" t="s">
        <v>66</v>
      </c>
      <c r="N150" s="138" t="s">
        <v>246</v>
      </c>
      <c r="O150" s="90" t="s">
        <v>226</v>
      </c>
      <c r="P150" s="84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1" t="s">
        <v>370</v>
      </c>
      <c r="C151" s="82" t="str">
        <f>VLOOKUP($B$7:$B$5000,SUM!$L$6:$L$500,1,FALSE)</f>
        <v>#N/A</v>
      </c>
      <c r="D151" s="84" t="s">
        <v>244</v>
      </c>
      <c r="E151" s="100" t="s">
        <v>58</v>
      </c>
      <c r="F151" s="84" t="s">
        <v>105</v>
      </c>
      <c r="G151" s="84" t="s">
        <v>235</v>
      </c>
      <c r="H151" s="84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8" t="s">
        <v>246</v>
      </c>
      <c r="O151" s="90" t="s">
        <v>226</v>
      </c>
      <c r="P151" s="84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31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1" t="s">
        <v>372</v>
      </c>
      <c r="C152" s="82" t="str">
        <f>VLOOKUP($B$7:$B$5000,SUM!$L$6:$L$500,1,FALSE)</f>
        <v>#N/A</v>
      </c>
      <c r="D152" s="84" t="s">
        <v>244</v>
      </c>
      <c r="E152" s="100" t="s">
        <v>58</v>
      </c>
      <c r="F152" s="84" t="s">
        <v>105</v>
      </c>
      <c r="G152" s="84" t="s">
        <v>235</v>
      </c>
      <c r="H152" s="84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8" t="s">
        <v>246</v>
      </c>
      <c r="O152" s="90" t="s">
        <v>226</v>
      </c>
      <c r="P152" s="84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31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1" t="s">
        <v>374</v>
      </c>
      <c r="C153" s="82" t="str">
        <f>VLOOKUP($B$7:$B$5000,SUM!$L$6:$L$500,1,FALSE)</f>
        <v>#N/A</v>
      </c>
      <c r="D153" s="84" t="s">
        <v>244</v>
      </c>
      <c r="E153" s="100" t="s">
        <v>58</v>
      </c>
      <c r="F153" s="84" t="s">
        <v>105</v>
      </c>
      <c r="G153" s="84" t="s">
        <v>235</v>
      </c>
      <c r="H153" s="84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8" t="s">
        <v>246</v>
      </c>
      <c r="O153" s="90" t="s">
        <v>226</v>
      </c>
      <c r="P153" s="84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31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1" t="s">
        <v>376</v>
      </c>
      <c r="C154" s="82" t="str">
        <f>VLOOKUP($B$7:$B$5000,SUM!$L$6:$L$500,1,FALSE)</f>
        <v>#N/A</v>
      </c>
      <c r="D154" s="84" t="s">
        <v>244</v>
      </c>
      <c r="E154" s="100" t="s">
        <v>58</v>
      </c>
      <c r="F154" s="84" t="s">
        <v>105</v>
      </c>
      <c r="G154" s="84" t="s">
        <v>235</v>
      </c>
      <c r="H154" s="84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8" t="s">
        <v>246</v>
      </c>
      <c r="O154" s="90" t="s">
        <v>226</v>
      </c>
      <c r="P154" s="84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31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1" t="s">
        <v>378</v>
      </c>
      <c r="C155" s="82" t="str">
        <f>VLOOKUP($B$7:$B$5000,SUM!$L$6:$L$500,1,FALSE)</f>
        <v>#N/A</v>
      </c>
      <c r="D155" s="84" t="s">
        <v>244</v>
      </c>
      <c r="E155" s="100" t="s">
        <v>58</v>
      </c>
      <c r="F155" s="84" t="s">
        <v>105</v>
      </c>
      <c r="G155" s="84" t="s">
        <v>235</v>
      </c>
      <c r="H155" s="84" t="s">
        <v>61</v>
      </c>
      <c r="I155" s="98" t="s">
        <v>379</v>
      </c>
      <c r="J155" s="90" t="s">
        <v>108</v>
      </c>
      <c r="K155" s="90" t="s">
        <v>64</v>
      </c>
      <c r="L155" s="140" t="s">
        <v>65</v>
      </c>
      <c r="M155" s="90" t="s">
        <v>66</v>
      </c>
      <c r="N155" s="138" t="s">
        <v>246</v>
      </c>
      <c r="O155" s="90" t="s">
        <v>67</v>
      </c>
      <c r="P155" s="84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31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1" t="s">
        <v>380</v>
      </c>
      <c r="C156" s="82" t="str">
        <f>VLOOKUP($B$7:$B$5000,SUM!$L$6:$L$500,1,FALSE)</f>
        <v>#N/A</v>
      </c>
      <c r="D156" s="84" t="s">
        <v>244</v>
      </c>
      <c r="E156" s="100" t="s">
        <v>58</v>
      </c>
      <c r="F156" s="84" t="s">
        <v>105</v>
      </c>
      <c r="G156" s="84" t="s">
        <v>235</v>
      </c>
      <c r="H156" s="84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8" t="s">
        <v>246</v>
      </c>
      <c r="O156" s="90" t="s">
        <v>67</v>
      </c>
      <c r="P156" s="84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1" t="s">
        <v>382</v>
      </c>
      <c r="C157" s="82" t="str">
        <f>VLOOKUP($B$7:$B$5000,SUM!$L$6:$L$500,1,FALSE)</f>
        <v>#N/A</v>
      </c>
      <c r="D157" s="84" t="s">
        <v>244</v>
      </c>
      <c r="E157" s="100" t="s">
        <v>58</v>
      </c>
      <c r="F157" s="84" t="s">
        <v>105</v>
      </c>
      <c r="G157" s="84" t="s">
        <v>235</v>
      </c>
      <c r="H157" s="84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8" t="s">
        <v>246</v>
      </c>
      <c r="O157" s="90" t="s">
        <v>67</v>
      </c>
      <c r="P157" s="84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1" t="s">
        <v>384</v>
      </c>
      <c r="C158" s="82" t="str">
        <f>VLOOKUP($B$7:$B$5000,SUM!$L$6:$L$500,1,FALSE)</f>
        <v>#N/A</v>
      </c>
      <c r="D158" s="84" t="s">
        <v>244</v>
      </c>
      <c r="E158" s="100" t="s">
        <v>58</v>
      </c>
      <c r="F158" s="84" t="s">
        <v>105</v>
      </c>
      <c r="G158" s="84" t="s">
        <v>235</v>
      </c>
      <c r="H158" s="84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8" t="s">
        <v>246</v>
      </c>
      <c r="O158" s="90" t="s">
        <v>67</v>
      </c>
      <c r="P158" s="84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1" t="s">
        <v>386</v>
      </c>
      <c r="C159" s="82" t="str">
        <f>VLOOKUP($B$7:$B$5000,SUM!$L$6:$L$500,1,FALSE)</f>
        <v>#N/A</v>
      </c>
      <c r="D159" s="84" t="s">
        <v>244</v>
      </c>
      <c r="E159" s="100" t="s">
        <v>58</v>
      </c>
      <c r="F159" s="84" t="s">
        <v>105</v>
      </c>
      <c r="G159" s="84" t="s">
        <v>235</v>
      </c>
      <c r="H159" s="84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8" t="s">
        <v>246</v>
      </c>
      <c r="O159" s="90" t="s">
        <v>67</v>
      </c>
      <c r="P159" s="84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31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1" t="s">
        <v>388</v>
      </c>
      <c r="C160" s="82" t="str">
        <f>VLOOKUP($B$7:$B$5000,SUM!$L$6:$L$500,1,FALSE)</f>
        <v>#N/A</v>
      </c>
      <c r="D160" s="84" t="s">
        <v>244</v>
      </c>
      <c r="E160" s="100" t="s">
        <v>58</v>
      </c>
      <c r="F160" s="84" t="s">
        <v>105</v>
      </c>
      <c r="G160" s="84" t="s">
        <v>235</v>
      </c>
      <c r="H160" s="84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8" t="s">
        <v>246</v>
      </c>
      <c r="O160" s="90" t="s">
        <v>67</v>
      </c>
      <c r="P160" s="84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1" t="s">
        <v>390</v>
      </c>
      <c r="C161" s="82" t="str">
        <f>VLOOKUP($B$7:$B$5000,SUM!$L$6:$L$500,1,FALSE)</f>
        <v>#N/A</v>
      </c>
      <c r="D161" s="84" t="s">
        <v>244</v>
      </c>
      <c r="E161" s="100" t="s">
        <v>58</v>
      </c>
      <c r="F161" s="84" t="s">
        <v>105</v>
      </c>
      <c r="G161" s="84" t="s">
        <v>235</v>
      </c>
      <c r="H161" s="84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4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1" t="s">
        <v>392</v>
      </c>
      <c r="C162" s="82" t="str">
        <f>VLOOKUP($B$7:$B$5000,SUM!$L$6:$L$500,1,FALSE)</f>
        <v>#N/A</v>
      </c>
      <c r="D162" s="84" t="s">
        <v>393</v>
      </c>
      <c r="E162" s="100" t="s">
        <v>58</v>
      </c>
      <c r="F162" s="84" t="s">
        <v>105</v>
      </c>
      <c r="G162" s="84" t="s">
        <v>235</v>
      </c>
      <c r="H162" s="84" t="s">
        <v>61</v>
      </c>
      <c r="I162" s="98" t="s">
        <v>394</v>
      </c>
      <c r="J162" s="90" t="s">
        <v>63</v>
      </c>
      <c r="K162" s="90" t="s">
        <v>64</v>
      </c>
      <c r="L162" s="140" t="s">
        <v>65</v>
      </c>
      <c r="M162" s="90" t="s">
        <v>66</v>
      </c>
      <c r="N162" s="138" t="s">
        <v>246</v>
      </c>
      <c r="O162" s="90" t="s">
        <v>67</v>
      </c>
      <c r="P162" s="84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31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1" t="s">
        <v>395</v>
      </c>
      <c r="C163" s="82" t="str">
        <f>VLOOKUP($B$7:$B$5000,SUM!$L$6:$L$500,1,FALSE)</f>
        <v>#N/A</v>
      </c>
      <c r="D163" s="84" t="s">
        <v>393</v>
      </c>
      <c r="E163" s="100" t="s">
        <v>58</v>
      </c>
      <c r="F163" s="84" t="s">
        <v>105</v>
      </c>
      <c r="G163" s="84" t="s">
        <v>235</v>
      </c>
      <c r="H163" s="84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8" t="s">
        <v>246</v>
      </c>
      <c r="O163" s="90" t="s">
        <v>67</v>
      </c>
      <c r="P163" s="84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31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1" t="s">
        <v>397</v>
      </c>
      <c r="C164" s="82" t="str">
        <f>VLOOKUP($B$7:$B$5000,SUM!$L$6:$L$500,1,FALSE)</f>
        <v>#N/A</v>
      </c>
      <c r="D164" s="84" t="s">
        <v>393</v>
      </c>
      <c r="E164" s="100" t="s">
        <v>58</v>
      </c>
      <c r="F164" s="84" t="s">
        <v>105</v>
      </c>
      <c r="G164" s="84" t="s">
        <v>235</v>
      </c>
      <c r="H164" s="84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8" t="s">
        <v>246</v>
      </c>
      <c r="O164" s="90" t="s">
        <v>67</v>
      </c>
      <c r="P164" s="84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1" t="s">
        <v>399</v>
      </c>
      <c r="C165" s="82" t="str">
        <f>VLOOKUP($B$7:$B$5000,SUM!$L$6:$L$500,1,FALSE)</f>
        <v>#N/A</v>
      </c>
      <c r="D165" s="84" t="s">
        <v>393</v>
      </c>
      <c r="E165" s="100" t="s">
        <v>58</v>
      </c>
      <c r="F165" s="84" t="s">
        <v>105</v>
      </c>
      <c r="G165" s="84" t="s">
        <v>235</v>
      </c>
      <c r="H165" s="84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8" t="s">
        <v>246</v>
      </c>
      <c r="O165" s="90" t="s">
        <v>67</v>
      </c>
      <c r="P165" s="84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1" t="s">
        <v>401</v>
      </c>
      <c r="C166" s="82" t="str">
        <f>VLOOKUP($B$7:$B$5000,SUM!$L$6:$L$500,1,FALSE)</f>
        <v>#N/A</v>
      </c>
      <c r="D166" s="84" t="s">
        <v>393</v>
      </c>
      <c r="E166" s="100" t="s">
        <v>58</v>
      </c>
      <c r="F166" s="84" t="s">
        <v>105</v>
      </c>
      <c r="G166" s="84" t="s">
        <v>235</v>
      </c>
      <c r="H166" s="84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4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1" t="s">
        <v>403</v>
      </c>
      <c r="C167" s="82" t="str">
        <f>VLOOKUP($B$7:$B$5000,SUM!$L$6:$L$500,1,FALSE)</f>
        <v>#N/A</v>
      </c>
      <c r="D167" s="84" t="s">
        <v>393</v>
      </c>
      <c r="E167" s="100" t="s">
        <v>58</v>
      </c>
      <c r="F167" s="84" t="s">
        <v>105</v>
      </c>
      <c r="G167" s="84" t="s">
        <v>235</v>
      </c>
      <c r="H167" s="84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8" t="s">
        <v>246</v>
      </c>
      <c r="O167" s="90" t="s">
        <v>67</v>
      </c>
      <c r="P167" s="84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1" t="s">
        <v>405</v>
      </c>
      <c r="C168" s="82" t="str">
        <f>VLOOKUP($B$7:$B$5000,SUM!$L$6:$L$500,1,FALSE)</f>
        <v>#N/A</v>
      </c>
      <c r="D168" s="84" t="s">
        <v>393</v>
      </c>
      <c r="E168" s="100" t="s">
        <v>58</v>
      </c>
      <c r="F168" s="84" t="s">
        <v>105</v>
      </c>
      <c r="G168" s="84" t="s">
        <v>235</v>
      </c>
      <c r="H168" s="84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4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31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1" t="s">
        <v>407</v>
      </c>
      <c r="C169" s="82" t="str">
        <f>VLOOKUP($B$7:$B$5000,SUM!$L$6:$L$500,1,FALSE)</f>
        <v>#N/A</v>
      </c>
      <c r="D169" s="84" t="s">
        <v>393</v>
      </c>
      <c r="E169" s="100" t="s">
        <v>58</v>
      </c>
      <c r="F169" s="84" t="s">
        <v>105</v>
      </c>
      <c r="G169" s="84" t="s">
        <v>235</v>
      </c>
      <c r="H169" s="84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8" t="s">
        <v>246</v>
      </c>
      <c r="O169" s="90" t="s">
        <v>226</v>
      </c>
      <c r="P169" s="84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31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1" t="s">
        <v>409</v>
      </c>
      <c r="C170" s="82" t="str">
        <f>VLOOKUP($B$7:$B$5000,SUM!$L$6:$L$500,1,FALSE)</f>
        <v>#N/A</v>
      </c>
      <c r="D170" s="84" t="s">
        <v>393</v>
      </c>
      <c r="E170" s="100" t="s">
        <v>58</v>
      </c>
      <c r="F170" s="84" t="s">
        <v>105</v>
      </c>
      <c r="G170" s="84" t="s">
        <v>235</v>
      </c>
      <c r="H170" s="84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8" t="s">
        <v>246</v>
      </c>
      <c r="O170" s="90" t="s">
        <v>67</v>
      </c>
      <c r="P170" s="84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1" t="s">
        <v>411</v>
      </c>
      <c r="C171" s="82" t="str">
        <f>VLOOKUP($B$7:$B$5000,SUM!$L$6:$L$500,1,FALSE)</f>
        <v>#N/A</v>
      </c>
      <c r="D171" s="84" t="s">
        <v>393</v>
      </c>
      <c r="E171" s="100" t="s">
        <v>58</v>
      </c>
      <c r="F171" s="84" t="s">
        <v>105</v>
      </c>
      <c r="G171" s="84" t="s">
        <v>235</v>
      </c>
      <c r="H171" s="84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8" t="s">
        <v>246</v>
      </c>
      <c r="O171" s="90" t="s">
        <v>67</v>
      </c>
      <c r="P171" s="84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1" t="s">
        <v>413</v>
      </c>
      <c r="C172" s="82" t="str">
        <f>VLOOKUP($B$7:$B$5000,SUM!$L$6:$L$500,1,FALSE)</f>
        <v>#N/A</v>
      </c>
      <c r="D172" s="84" t="s">
        <v>414</v>
      </c>
      <c r="E172" s="124" t="s">
        <v>58</v>
      </c>
      <c r="F172" s="84" t="s">
        <v>105</v>
      </c>
      <c r="G172" s="95" t="s">
        <v>415</v>
      </c>
      <c r="H172" s="84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8" t="s">
        <v>246</v>
      </c>
      <c r="O172" s="90" t="s">
        <v>67</v>
      </c>
      <c r="P172" s="84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1" t="s">
        <v>418</v>
      </c>
      <c r="C173" s="82" t="str">
        <f>VLOOKUP($B$7:$B$5000,SUM!$L$6:$L$500,1,FALSE)</f>
        <v>#N/A</v>
      </c>
      <c r="D173" s="84" t="s">
        <v>414</v>
      </c>
      <c r="E173" s="124" t="s">
        <v>58</v>
      </c>
      <c r="F173" s="84" t="s">
        <v>105</v>
      </c>
      <c r="G173" s="95" t="s">
        <v>415</v>
      </c>
      <c r="H173" s="84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8" t="s">
        <v>246</v>
      </c>
      <c r="O173" s="90" t="s">
        <v>67</v>
      </c>
      <c r="P173" s="84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1">
        <v>168.0</v>
      </c>
      <c r="B174" s="141" t="s">
        <v>420</v>
      </c>
      <c r="C174" s="82" t="str">
        <f>VLOOKUP($B$7:$B$5000,SUM!$L$6:$L$500,1,FALSE)</f>
        <v>#N/A</v>
      </c>
      <c r="D174" s="84" t="s">
        <v>421</v>
      </c>
      <c r="E174" s="124" t="s">
        <v>58</v>
      </c>
      <c r="F174" s="84" t="s">
        <v>105</v>
      </c>
      <c r="G174" s="95" t="s">
        <v>422</v>
      </c>
      <c r="H174" s="84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8" t="s">
        <v>246</v>
      </c>
      <c r="O174" s="90" t="s">
        <v>67</v>
      </c>
      <c r="P174" s="84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1">
        <v>169.0</v>
      </c>
      <c r="B175" s="141" t="s">
        <v>425</v>
      </c>
      <c r="C175" s="82" t="str">
        <f>VLOOKUP($B$7:$B$5000,SUM!$L$6:$L$500,1,FALSE)</f>
        <v>#N/A</v>
      </c>
      <c r="D175" s="84" t="s">
        <v>426</v>
      </c>
      <c r="E175" s="124" t="s">
        <v>58</v>
      </c>
      <c r="F175" s="84" t="s">
        <v>105</v>
      </c>
      <c r="G175" s="95" t="s">
        <v>415</v>
      </c>
      <c r="H175" s="84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8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1">
        <v>170.0</v>
      </c>
      <c r="B176" s="141" t="s">
        <v>428</v>
      </c>
      <c r="C176" s="82" t="str">
        <f>VLOOKUP($B$7:$B$5000,SUM!$L$6:$L$500,1,FALSE)</f>
        <v>#N/A</v>
      </c>
      <c r="D176" s="84" t="s">
        <v>429</v>
      </c>
      <c r="E176" s="124" t="s">
        <v>58</v>
      </c>
      <c r="F176" s="84" t="s">
        <v>105</v>
      </c>
      <c r="G176" s="142" t="s">
        <v>430</v>
      </c>
      <c r="H176" s="84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8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1" t="s">
        <v>434</v>
      </c>
      <c r="C177" s="82" t="str">
        <f>VLOOKUP($B$7:$B$5000,SUM!$L$6:$L$500,1,FALSE)</f>
        <v>#N/A</v>
      </c>
      <c r="D177" s="84" t="s">
        <v>217</v>
      </c>
      <c r="E177" s="100" t="s">
        <v>58</v>
      </c>
      <c r="F177" s="84" t="s">
        <v>105</v>
      </c>
      <c r="G177" s="84" t="s">
        <v>218</v>
      </c>
      <c r="H177" s="84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8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3">
        <v>172.0</v>
      </c>
      <c r="B178" s="141" t="s">
        <v>436</v>
      </c>
      <c r="C178" s="82" t="str">
        <f>VLOOKUP($B$7:$B$5000,SUM!$L$6:$L$500,1,FALSE)</f>
        <v>#N/A</v>
      </c>
      <c r="D178" s="84" t="s">
        <v>217</v>
      </c>
      <c r="E178" s="100" t="s">
        <v>58</v>
      </c>
      <c r="F178" s="84" t="s">
        <v>105</v>
      </c>
      <c r="G178" s="84" t="s">
        <v>218</v>
      </c>
      <c r="H178" s="84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8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1" t="s">
        <v>438</v>
      </c>
      <c r="C179" s="82" t="str">
        <f>VLOOKUP($B$7:$B$5000,SUM!$L$6:$L$500,1,FALSE)</f>
        <v>#N/A</v>
      </c>
      <c r="D179" s="84" t="s">
        <v>217</v>
      </c>
      <c r="E179" s="100" t="s">
        <v>58</v>
      </c>
      <c r="F179" s="84" t="s">
        <v>105</v>
      </c>
      <c r="G179" s="84" t="s">
        <v>218</v>
      </c>
      <c r="H179" s="84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8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1" t="s">
        <v>440</v>
      </c>
      <c r="C180" s="82" t="str">
        <f>VLOOKUP($B$7:$B$5000,SUM!$L$6:$L$500,1,FALSE)</f>
        <v>#N/A</v>
      </c>
      <c r="D180" s="84" t="s">
        <v>217</v>
      </c>
      <c r="E180" s="100" t="s">
        <v>58</v>
      </c>
      <c r="F180" s="84" t="s">
        <v>105</v>
      </c>
      <c r="G180" s="84" t="s">
        <v>218</v>
      </c>
      <c r="H180" s="84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8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31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1" t="s">
        <v>441</v>
      </c>
      <c r="C181" s="82" t="str">
        <f>VLOOKUP($B$7:$B$5000,SUM!$L$6:$L$500,1,FALSE)</f>
        <v>#N/A</v>
      </c>
      <c r="D181" s="84" t="s">
        <v>217</v>
      </c>
      <c r="E181" s="100" t="s">
        <v>58</v>
      </c>
      <c r="F181" s="84" t="s">
        <v>105</v>
      </c>
      <c r="G181" s="84" t="s">
        <v>218</v>
      </c>
      <c r="H181" s="84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8" t="s">
        <v>246</v>
      </c>
      <c r="O181" s="90" t="s">
        <v>67</v>
      </c>
      <c r="P181" s="90" t="s">
        <v>68</v>
      </c>
      <c r="Q181" s="143"/>
      <c r="R181" s="143"/>
      <c r="S181" s="144"/>
      <c r="T181" s="143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1" t="s">
        <v>443</v>
      </c>
      <c r="C182" s="82" t="str">
        <f>VLOOKUP($B$7:$B$5000,SUM!$L$6:$L$500,1,FALSE)</f>
        <v>#N/A</v>
      </c>
      <c r="D182" s="84" t="s">
        <v>217</v>
      </c>
      <c r="E182" s="100" t="s">
        <v>58</v>
      </c>
      <c r="F182" s="84" t="s">
        <v>105</v>
      </c>
      <c r="G182" s="84" t="s">
        <v>218</v>
      </c>
      <c r="H182" s="84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8" t="s">
        <v>246</v>
      </c>
      <c r="O182" s="90" t="s">
        <v>67</v>
      </c>
      <c r="P182" s="141" t="s">
        <v>68</v>
      </c>
      <c r="Q182" s="145"/>
      <c r="R182" s="145"/>
      <c r="S182" s="104"/>
      <c r="T182" s="145"/>
      <c r="U182" s="146" t="s">
        <v>69</v>
      </c>
      <c r="V182" s="147"/>
      <c r="W182" s="147"/>
      <c r="X182" s="147"/>
      <c r="Y182" s="147"/>
      <c r="Z182" s="147"/>
      <c r="AA182" s="147"/>
      <c r="AB182" s="147"/>
    </row>
    <row r="183" ht="45.0" customHeight="1">
      <c r="A183" s="103">
        <v>177.0</v>
      </c>
      <c r="B183" s="141" t="s">
        <v>445</v>
      </c>
      <c r="C183" s="82" t="str">
        <f>VLOOKUP($B$7:$B$5000,SUM!$L$6:$L$500,1,FALSE)</f>
        <v>#N/A</v>
      </c>
      <c r="D183" s="84" t="s">
        <v>217</v>
      </c>
      <c r="E183" s="100" t="s">
        <v>58</v>
      </c>
      <c r="F183" s="84" t="s">
        <v>105</v>
      </c>
      <c r="G183" s="84" t="s">
        <v>218</v>
      </c>
      <c r="H183" s="84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8" t="s">
        <v>246</v>
      </c>
      <c r="O183" s="90" t="s">
        <v>67</v>
      </c>
      <c r="P183" s="141" t="s">
        <v>68</v>
      </c>
      <c r="Q183" s="145"/>
      <c r="R183" s="145"/>
      <c r="S183" s="104"/>
      <c r="T183" s="145"/>
      <c r="U183" s="146" t="s">
        <v>69</v>
      </c>
      <c r="V183" s="147"/>
      <c r="W183" s="147"/>
      <c r="X183" s="147"/>
      <c r="Y183" s="147"/>
      <c r="Z183" s="147"/>
      <c r="AA183" s="147"/>
      <c r="AB183" s="147"/>
    </row>
    <row r="184" ht="45.0" customHeight="1">
      <c r="A184" s="103">
        <v>178.0</v>
      </c>
      <c r="B184" s="141" t="s">
        <v>447</v>
      </c>
      <c r="C184" s="82" t="str">
        <f>VLOOKUP($B$7:$B$5000,SUM!$L$6:$L$500,1,FALSE)</f>
        <v>#N/A</v>
      </c>
      <c r="D184" s="84" t="s">
        <v>217</v>
      </c>
      <c r="E184" s="100" t="s">
        <v>58</v>
      </c>
      <c r="F184" s="84" t="s">
        <v>105</v>
      </c>
      <c r="G184" s="84" t="s">
        <v>218</v>
      </c>
      <c r="H184" s="84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8" t="s">
        <v>246</v>
      </c>
      <c r="O184" s="90" t="s">
        <v>67</v>
      </c>
      <c r="P184" s="141" t="s">
        <v>68</v>
      </c>
      <c r="Q184" s="145"/>
      <c r="R184" s="145"/>
      <c r="S184" s="104"/>
      <c r="T184" s="145"/>
      <c r="U184" s="146" t="s">
        <v>69</v>
      </c>
      <c r="V184" s="147"/>
      <c r="W184" s="147"/>
      <c r="X184" s="147"/>
      <c r="Y184" s="147"/>
      <c r="Z184" s="147"/>
      <c r="AA184" s="147"/>
      <c r="AB184" s="147"/>
    </row>
    <row r="185" ht="45.0" customHeight="1">
      <c r="A185" s="103">
        <v>179.0</v>
      </c>
      <c r="B185" s="141" t="s">
        <v>449</v>
      </c>
      <c r="C185" s="82" t="str">
        <f>VLOOKUP($B$7:$B$5000,SUM!$L$6:$L$500,1,FALSE)</f>
        <v>#N/A</v>
      </c>
      <c r="D185" s="84" t="s">
        <v>217</v>
      </c>
      <c r="E185" s="100" t="s">
        <v>58</v>
      </c>
      <c r="F185" s="84" t="s">
        <v>105</v>
      </c>
      <c r="G185" s="84" t="s">
        <v>218</v>
      </c>
      <c r="H185" s="84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8" t="s">
        <v>246</v>
      </c>
      <c r="O185" s="90" t="s">
        <v>67</v>
      </c>
      <c r="P185" s="141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31</v>
      </c>
      <c r="V185" s="147"/>
      <c r="W185" s="147"/>
      <c r="X185" s="147"/>
      <c r="Y185" s="147"/>
      <c r="Z185" s="147"/>
      <c r="AA185" s="147"/>
      <c r="AB185" s="147"/>
    </row>
    <row r="186" ht="45.0" customHeight="1">
      <c r="A186" s="103">
        <v>180.0</v>
      </c>
      <c r="B186" s="141" t="s">
        <v>450</v>
      </c>
      <c r="C186" s="82" t="str">
        <f>VLOOKUP($B$7:$B$5000,SUM!$L$6:$L$500,1,FALSE)</f>
        <v>#N/A</v>
      </c>
      <c r="D186" s="84" t="s">
        <v>217</v>
      </c>
      <c r="E186" s="100" t="s">
        <v>58</v>
      </c>
      <c r="F186" s="84" t="s">
        <v>105</v>
      </c>
      <c r="G186" s="84" t="s">
        <v>218</v>
      </c>
      <c r="H186" s="84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8" t="s">
        <v>246</v>
      </c>
      <c r="O186" s="90" t="s">
        <v>67</v>
      </c>
      <c r="P186" s="141" t="s">
        <v>68</v>
      </c>
      <c r="Q186" s="145"/>
      <c r="R186" s="145"/>
      <c r="S186" s="104"/>
      <c r="T186" s="145"/>
      <c r="U186" s="146" t="s">
        <v>69</v>
      </c>
      <c r="V186" s="147"/>
      <c r="W186" s="147"/>
      <c r="X186" s="147"/>
      <c r="Y186" s="147"/>
      <c r="Z186" s="147"/>
      <c r="AA186" s="147"/>
      <c r="AB186" s="147"/>
    </row>
    <row r="187" ht="45.0" customHeight="1">
      <c r="A187" s="103">
        <v>181.0</v>
      </c>
      <c r="B187" s="141" t="s">
        <v>452</v>
      </c>
      <c r="C187" s="82" t="str">
        <f>VLOOKUP($B$7:$B$5000,SUM!$L$6:$L$500,1,FALSE)</f>
        <v>#N/A</v>
      </c>
      <c r="D187" s="84" t="s">
        <v>217</v>
      </c>
      <c r="E187" s="100" t="s">
        <v>58</v>
      </c>
      <c r="F187" s="84" t="s">
        <v>105</v>
      </c>
      <c r="G187" s="84" t="s">
        <v>218</v>
      </c>
      <c r="H187" s="84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8" t="s">
        <v>246</v>
      </c>
      <c r="O187" s="90" t="s">
        <v>67</v>
      </c>
      <c r="P187" s="141" t="s">
        <v>68</v>
      </c>
      <c r="Q187" s="145"/>
      <c r="R187" s="145"/>
      <c r="S187" s="104"/>
      <c r="T187" s="145"/>
      <c r="U187" s="146" t="s">
        <v>69</v>
      </c>
      <c r="V187" s="147"/>
      <c r="W187" s="147"/>
      <c r="X187" s="147"/>
      <c r="Y187" s="147"/>
      <c r="Z187" s="147"/>
      <c r="AA187" s="147"/>
      <c r="AB187" s="147"/>
    </row>
    <row r="188" ht="45.0" customHeight="1">
      <c r="A188" s="103">
        <v>182.0</v>
      </c>
      <c r="B188" s="141" t="s">
        <v>454</v>
      </c>
      <c r="C188" s="82" t="str">
        <f>VLOOKUP($B$7:$B$5000,SUM!$L$6:$L$500,1,FALSE)</f>
        <v>#N/A</v>
      </c>
      <c r="D188" s="84" t="s">
        <v>217</v>
      </c>
      <c r="E188" s="100" t="s">
        <v>58</v>
      </c>
      <c r="F188" s="84" t="s">
        <v>105</v>
      </c>
      <c r="G188" s="84" t="s">
        <v>218</v>
      </c>
      <c r="H188" s="84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8" t="s">
        <v>246</v>
      </c>
      <c r="O188" s="90" t="s">
        <v>67</v>
      </c>
      <c r="P188" s="141" t="s">
        <v>68</v>
      </c>
      <c r="Q188" s="145"/>
      <c r="R188" s="145"/>
      <c r="S188" s="104"/>
      <c r="T188" s="145"/>
      <c r="U188" s="146" t="s">
        <v>69</v>
      </c>
      <c r="V188" s="147"/>
      <c r="W188" s="147"/>
      <c r="X188" s="147"/>
      <c r="Y188" s="147"/>
      <c r="Z188" s="147"/>
      <c r="AA188" s="147"/>
      <c r="AB188" s="147"/>
    </row>
    <row r="189" ht="45.0" customHeight="1">
      <c r="A189" s="103">
        <v>183.0</v>
      </c>
      <c r="B189" s="141" t="s">
        <v>456</v>
      </c>
      <c r="C189" s="82" t="str">
        <f>VLOOKUP($B$7:$B$5000,SUM!$L$6:$L$500,1,FALSE)</f>
        <v>#N/A</v>
      </c>
      <c r="D189" s="84" t="s">
        <v>217</v>
      </c>
      <c r="E189" s="100" t="s">
        <v>58</v>
      </c>
      <c r="F189" s="84" t="s">
        <v>105</v>
      </c>
      <c r="G189" s="84" t="s">
        <v>218</v>
      </c>
      <c r="H189" s="84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8" t="s">
        <v>246</v>
      </c>
      <c r="O189" s="90" t="s">
        <v>67</v>
      </c>
      <c r="P189" s="141" t="s">
        <v>68</v>
      </c>
      <c r="Q189" s="145"/>
      <c r="R189" s="145"/>
      <c r="S189" s="104"/>
      <c r="T189" s="145"/>
      <c r="U189" s="146" t="s">
        <v>69</v>
      </c>
      <c r="V189" s="147"/>
      <c r="W189" s="147"/>
      <c r="X189" s="147"/>
      <c r="Y189" s="147"/>
      <c r="Z189" s="147"/>
      <c r="AA189" s="147"/>
      <c r="AB189" s="147"/>
    </row>
    <row r="190" ht="45.0" customHeight="1">
      <c r="A190" s="103">
        <v>184.0</v>
      </c>
      <c r="B190" s="141" t="s">
        <v>458</v>
      </c>
      <c r="C190" s="82" t="str">
        <f>VLOOKUP($B$7:$B$5000,SUM!$L$6:$L$500,1,FALSE)</f>
        <v>#N/A</v>
      </c>
      <c r="D190" s="84" t="s">
        <v>217</v>
      </c>
      <c r="E190" s="100" t="s">
        <v>58</v>
      </c>
      <c r="F190" s="84" t="s">
        <v>105</v>
      </c>
      <c r="G190" s="84" t="s">
        <v>218</v>
      </c>
      <c r="H190" s="84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8" t="s">
        <v>246</v>
      </c>
      <c r="O190" s="90" t="s">
        <v>67</v>
      </c>
      <c r="P190" s="141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31</v>
      </c>
      <c r="V190" s="147"/>
      <c r="W190" s="147"/>
      <c r="X190" s="147"/>
      <c r="Y190" s="147"/>
      <c r="Z190" s="147"/>
      <c r="AA190" s="147"/>
      <c r="AB190" s="147"/>
    </row>
    <row r="191" ht="45.0" customHeight="1">
      <c r="A191" s="103">
        <v>185.0</v>
      </c>
      <c r="B191" s="141" t="s">
        <v>459</v>
      </c>
      <c r="C191" s="82" t="str">
        <f>VLOOKUP($B$7:$B$5000,SUM!$L$6:$L$500,1,FALSE)</f>
        <v>#N/A</v>
      </c>
      <c r="D191" s="84" t="s">
        <v>217</v>
      </c>
      <c r="E191" s="100" t="s">
        <v>58</v>
      </c>
      <c r="F191" s="84" t="s">
        <v>105</v>
      </c>
      <c r="G191" s="84" t="s">
        <v>218</v>
      </c>
      <c r="H191" s="84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8" t="s">
        <v>246</v>
      </c>
      <c r="O191" s="90" t="s">
        <v>67</v>
      </c>
      <c r="P191" s="141" t="s">
        <v>68</v>
      </c>
      <c r="Q191" s="145"/>
      <c r="R191" s="145"/>
      <c r="S191" s="104"/>
      <c r="T191" s="145"/>
      <c r="U191" s="146" t="s">
        <v>69</v>
      </c>
      <c r="V191" s="147"/>
      <c r="W191" s="147"/>
      <c r="X191" s="147"/>
      <c r="Y191" s="147"/>
      <c r="Z191" s="147"/>
      <c r="AA191" s="147"/>
      <c r="AB191" s="147"/>
    </row>
    <row r="192" ht="45.0" customHeight="1">
      <c r="A192" s="103">
        <v>186.0</v>
      </c>
      <c r="B192" s="141" t="s">
        <v>461</v>
      </c>
      <c r="C192" s="82" t="str">
        <f>VLOOKUP($B$7:$B$5000,SUM!$L$6:$L$500,1,FALSE)</f>
        <v>#N/A</v>
      </c>
      <c r="D192" s="84" t="s">
        <v>217</v>
      </c>
      <c r="E192" s="100" t="s">
        <v>58</v>
      </c>
      <c r="F192" s="84" t="s">
        <v>105</v>
      </c>
      <c r="G192" s="84" t="s">
        <v>218</v>
      </c>
      <c r="H192" s="84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8" t="s">
        <v>246</v>
      </c>
      <c r="O192" s="90" t="s">
        <v>67</v>
      </c>
      <c r="P192" s="141" t="s">
        <v>68</v>
      </c>
      <c r="Q192" s="145"/>
      <c r="R192" s="145"/>
      <c r="S192" s="104"/>
      <c r="T192" s="145"/>
      <c r="U192" s="146" t="s">
        <v>69</v>
      </c>
      <c r="V192" s="147"/>
      <c r="W192" s="147"/>
      <c r="X192" s="147"/>
      <c r="Y192" s="147"/>
      <c r="Z192" s="147"/>
      <c r="AA192" s="147"/>
      <c r="AB192" s="147"/>
    </row>
    <row r="193" ht="45.0" customHeight="1">
      <c r="A193" s="103">
        <v>187.0</v>
      </c>
      <c r="B193" s="141" t="s">
        <v>463</v>
      </c>
      <c r="C193" s="82" t="str">
        <f>VLOOKUP($B$7:$B$5000,SUM!$L$6:$L$500,1,FALSE)</f>
        <v>#N/A</v>
      </c>
      <c r="D193" s="84" t="s">
        <v>217</v>
      </c>
      <c r="E193" s="100" t="s">
        <v>58</v>
      </c>
      <c r="F193" s="84" t="s">
        <v>105</v>
      </c>
      <c r="G193" s="84" t="s">
        <v>218</v>
      </c>
      <c r="H193" s="84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8" t="s">
        <v>246</v>
      </c>
      <c r="O193" s="90" t="s">
        <v>67</v>
      </c>
      <c r="P193" s="141" t="s">
        <v>68</v>
      </c>
      <c r="Q193" s="145"/>
      <c r="R193" s="145"/>
      <c r="S193" s="104"/>
      <c r="T193" s="145"/>
      <c r="U193" s="146" t="s">
        <v>69</v>
      </c>
      <c r="V193" s="147"/>
      <c r="W193" s="147"/>
      <c r="X193" s="147"/>
      <c r="Y193" s="147"/>
      <c r="Z193" s="147"/>
      <c r="AA193" s="147"/>
      <c r="AB193" s="147"/>
    </row>
    <row r="194" ht="37.5" customHeight="1">
      <c r="A194" s="103">
        <v>188.0</v>
      </c>
      <c r="B194" s="141" t="s">
        <v>465</v>
      </c>
      <c r="C194" s="82" t="str">
        <f>VLOOKUP($B$7:$B$5000,SUM!$L$6:$L$500,1,FALSE)</f>
        <v>#N/A</v>
      </c>
      <c r="D194" s="84" t="s">
        <v>414</v>
      </c>
      <c r="E194" s="124" t="s">
        <v>58</v>
      </c>
      <c r="F194" s="84" t="s">
        <v>105</v>
      </c>
      <c r="G194" s="95" t="s">
        <v>415</v>
      </c>
      <c r="H194" s="84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8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6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1" t="s">
        <v>467</v>
      </c>
      <c r="C195" s="82" t="str">
        <f>VLOOKUP($B$7:$B$5000,SUM!$L$6:$L$500,1,FALSE)</f>
        <v>#N/A</v>
      </c>
      <c r="D195" s="84" t="s">
        <v>414</v>
      </c>
      <c r="E195" s="124" t="s">
        <v>58</v>
      </c>
      <c r="F195" s="84" t="s">
        <v>105</v>
      </c>
      <c r="G195" s="95" t="s">
        <v>415</v>
      </c>
      <c r="H195" s="84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8" t="s">
        <v>246</v>
      </c>
      <c r="O195" s="90" t="s">
        <v>67</v>
      </c>
      <c r="P195" s="99" t="s">
        <v>68</v>
      </c>
      <c r="Q195" s="96">
        <v>46170.0</v>
      </c>
      <c r="R195" s="84" t="s">
        <v>66</v>
      </c>
      <c r="S195" s="96">
        <v>46173.0</v>
      </c>
      <c r="T195" s="81"/>
      <c r="U195" s="97" t="s">
        <v>31</v>
      </c>
      <c r="V195" s="147"/>
      <c r="W195" s="147"/>
      <c r="X195" s="147"/>
      <c r="Y195" s="147"/>
      <c r="Z195" s="147"/>
      <c r="AA195" s="147"/>
      <c r="AB195" s="147"/>
    </row>
    <row r="196" ht="45.0" customHeight="1">
      <c r="A196" s="103">
        <v>190.0</v>
      </c>
      <c r="B196" s="141" t="s">
        <v>470</v>
      </c>
      <c r="C196" s="82" t="str">
        <f>VLOOKUP($B$7:$B$5000,SUM!$L$6:$L$500,1,FALSE)</f>
        <v>#N/A</v>
      </c>
      <c r="D196" s="84" t="s">
        <v>414</v>
      </c>
      <c r="E196" s="124" t="s">
        <v>58</v>
      </c>
      <c r="F196" s="84" t="s">
        <v>105</v>
      </c>
      <c r="G196" s="95" t="s">
        <v>415</v>
      </c>
      <c r="H196" s="84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8" t="s">
        <v>246</v>
      </c>
      <c r="O196" s="90" t="s">
        <v>67</v>
      </c>
      <c r="P196" s="99" t="s">
        <v>68</v>
      </c>
      <c r="Q196" s="96">
        <v>46170.0</v>
      </c>
      <c r="R196" s="84" t="s">
        <v>66</v>
      </c>
      <c r="S196" s="96">
        <v>46173.0</v>
      </c>
      <c r="T196" s="81"/>
      <c r="U196" s="97" t="s">
        <v>31</v>
      </c>
      <c r="V196" s="147"/>
      <c r="W196" s="147"/>
      <c r="X196" s="147"/>
      <c r="Y196" s="147"/>
      <c r="Z196" s="147"/>
      <c r="AA196" s="147"/>
      <c r="AB196" s="147"/>
    </row>
    <row r="197" ht="45.0" customHeight="1">
      <c r="A197" s="103">
        <v>191.0</v>
      </c>
      <c r="B197" s="141" t="s">
        <v>472</v>
      </c>
      <c r="C197" s="82" t="str">
        <f>VLOOKUP($B$7:$B$5000,SUM!$L$6:$L$500,1,FALSE)</f>
        <v>#N/A</v>
      </c>
      <c r="D197" s="84" t="s">
        <v>414</v>
      </c>
      <c r="E197" s="124" t="s">
        <v>58</v>
      </c>
      <c r="F197" s="84" t="s">
        <v>105</v>
      </c>
      <c r="G197" s="95" t="s">
        <v>415</v>
      </c>
      <c r="H197" s="84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8" t="s">
        <v>246</v>
      </c>
      <c r="O197" s="90" t="s">
        <v>67</v>
      </c>
      <c r="P197" s="99" t="s">
        <v>68</v>
      </c>
      <c r="Q197" s="96">
        <v>46170.0</v>
      </c>
      <c r="R197" s="84" t="s">
        <v>66</v>
      </c>
      <c r="S197" s="96">
        <v>46173.0</v>
      </c>
      <c r="T197" s="81"/>
      <c r="U197" s="97" t="s">
        <v>31</v>
      </c>
      <c r="V197" s="147"/>
      <c r="W197" s="147"/>
      <c r="X197" s="147"/>
      <c r="Y197" s="147"/>
      <c r="Z197" s="147"/>
      <c r="AA197" s="147"/>
      <c r="AB197" s="147"/>
    </row>
    <row r="198" ht="45.0" customHeight="1">
      <c r="A198" s="103">
        <v>192.0</v>
      </c>
      <c r="B198" s="141" t="s">
        <v>474</v>
      </c>
      <c r="C198" s="82" t="str">
        <f>VLOOKUP($B$7:$B$5000,SUM!$L$6:$L$500,1,FALSE)</f>
        <v>#N/A</v>
      </c>
      <c r="D198" s="84" t="s">
        <v>414</v>
      </c>
      <c r="E198" s="124" t="s">
        <v>58</v>
      </c>
      <c r="F198" s="84" t="s">
        <v>105</v>
      </c>
      <c r="G198" s="95" t="s">
        <v>415</v>
      </c>
      <c r="H198" s="84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8" t="s">
        <v>246</v>
      </c>
      <c r="O198" s="90" t="s">
        <v>67</v>
      </c>
      <c r="P198" s="99" t="s">
        <v>68</v>
      </c>
      <c r="Q198" s="96">
        <v>46170.0</v>
      </c>
      <c r="R198" s="84" t="s">
        <v>66</v>
      </c>
      <c r="S198" s="96">
        <v>46173.0</v>
      </c>
      <c r="T198" s="81"/>
      <c r="U198" s="97" t="s">
        <v>31</v>
      </c>
      <c r="V198" s="147"/>
      <c r="W198" s="147"/>
      <c r="X198" s="147"/>
      <c r="Y198" s="147"/>
      <c r="Z198" s="147"/>
      <c r="AA198" s="147"/>
      <c r="AB198" s="147"/>
    </row>
    <row r="199" ht="45.0" customHeight="1">
      <c r="A199" s="103">
        <v>193.0</v>
      </c>
      <c r="B199" s="141" t="s">
        <v>476</v>
      </c>
      <c r="C199" s="82" t="str">
        <f>VLOOKUP($B$7:$B$5000,SUM!$L$6:$L$500,1,FALSE)</f>
        <v>#N/A</v>
      </c>
      <c r="D199" s="84" t="s">
        <v>414</v>
      </c>
      <c r="E199" s="124" t="s">
        <v>58</v>
      </c>
      <c r="F199" s="84" t="s">
        <v>105</v>
      </c>
      <c r="G199" s="95" t="s">
        <v>415</v>
      </c>
      <c r="H199" s="84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8" t="s">
        <v>246</v>
      </c>
      <c r="O199" s="90" t="s">
        <v>67</v>
      </c>
      <c r="P199" s="99" t="s">
        <v>68</v>
      </c>
      <c r="Q199" s="96">
        <v>46170.0</v>
      </c>
      <c r="R199" s="84" t="s">
        <v>66</v>
      </c>
      <c r="S199" s="96">
        <v>46173.0</v>
      </c>
      <c r="T199" s="81"/>
      <c r="U199" s="97" t="s">
        <v>31</v>
      </c>
      <c r="V199" s="147"/>
      <c r="W199" s="147"/>
      <c r="X199" s="147"/>
      <c r="Y199" s="147"/>
      <c r="Z199" s="147"/>
      <c r="AA199" s="147"/>
      <c r="AB199" s="147"/>
    </row>
    <row r="200" ht="45.0" customHeight="1">
      <c r="A200" s="103">
        <v>194.0</v>
      </c>
      <c r="B200" s="141" t="s">
        <v>478</v>
      </c>
      <c r="C200" s="82" t="str">
        <f>VLOOKUP($B$7:$B$5000,SUM!$L$6:$L$500,1,FALSE)</f>
        <v>#N/A</v>
      </c>
      <c r="D200" s="84" t="s">
        <v>414</v>
      </c>
      <c r="E200" s="124" t="s">
        <v>58</v>
      </c>
      <c r="F200" s="84" t="s">
        <v>105</v>
      </c>
      <c r="G200" s="95" t="s">
        <v>415</v>
      </c>
      <c r="H200" s="84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8" t="s">
        <v>246</v>
      </c>
      <c r="O200" s="90" t="s">
        <v>67</v>
      </c>
      <c r="P200" s="99" t="s">
        <v>68</v>
      </c>
      <c r="Q200" s="96">
        <v>46170.0</v>
      </c>
      <c r="R200" s="84" t="s">
        <v>66</v>
      </c>
      <c r="S200" s="96">
        <v>46173.0</v>
      </c>
      <c r="T200" s="81"/>
      <c r="U200" s="97" t="s">
        <v>31</v>
      </c>
      <c r="V200" s="147"/>
      <c r="W200" s="147"/>
      <c r="X200" s="147"/>
      <c r="Y200" s="147"/>
      <c r="Z200" s="147"/>
      <c r="AA200" s="147"/>
      <c r="AB200" s="147"/>
    </row>
    <row r="201" ht="45.0" customHeight="1">
      <c r="A201" s="103">
        <v>195.0</v>
      </c>
      <c r="B201" s="141" t="s">
        <v>480</v>
      </c>
      <c r="C201" s="82" t="str">
        <f>VLOOKUP($B$7:$B$5000,SUM!$L$6:$L$500,1,FALSE)</f>
        <v>#N/A</v>
      </c>
      <c r="D201" s="84" t="s">
        <v>414</v>
      </c>
      <c r="E201" s="124" t="s">
        <v>58</v>
      </c>
      <c r="F201" s="84" t="s">
        <v>105</v>
      </c>
      <c r="G201" s="95" t="s">
        <v>415</v>
      </c>
      <c r="H201" s="84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8" t="s">
        <v>246</v>
      </c>
      <c r="O201" s="90" t="s">
        <v>67</v>
      </c>
      <c r="P201" s="99" t="s">
        <v>68</v>
      </c>
      <c r="Q201" s="96">
        <v>46170.0</v>
      </c>
      <c r="R201" s="84" t="s">
        <v>66</v>
      </c>
      <c r="S201" s="96">
        <v>46173.0</v>
      </c>
      <c r="T201" s="81"/>
      <c r="U201" s="97" t="s">
        <v>31</v>
      </c>
      <c r="V201" s="147"/>
      <c r="W201" s="147"/>
      <c r="X201" s="147"/>
      <c r="Y201" s="147"/>
      <c r="Z201" s="147"/>
      <c r="AA201" s="147"/>
      <c r="AB201" s="147"/>
    </row>
    <row r="202" ht="45.0" customHeight="1">
      <c r="A202" s="103">
        <v>196.0</v>
      </c>
      <c r="B202" s="141" t="s">
        <v>482</v>
      </c>
      <c r="C202" s="82" t="str">
        <f>VLOOKUP($B$7:$B$5000,SUM!$L$6:$L$500,1,FALSE)</f>
        <v>#N/A</v>
      </c>
      <c r="D202" s="84" t="s">
        <v>414</v>
      </c>
      <c r="E202" s="124" t="s">
        <v>58</v>
      </c>
      <c r="F202" s="84" t="s">
        <v>105</v>
      </c>
      <c r="G202" s="95" t="s">
        <v>415</v>
      </c>
      <c r="H202" s="84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8" t="s">
        <v>246</v>
      </c>
      <c r="O202" s="90" t="s">
        <v>67</v>
      </c>
      <c r="P202" s="99" t="s">
        <v>68</v>
      </c>
      <c r="Q202" s="96">
        <v>46170.0</v>
      </c>
      <c r="R202" s="84" t="s">
        <v>66</v>
      </c>
      <c r="S202" s="96">
        <v>46173.0</v>
      </c>
      <c r="T202" s="81"/>
      <c r="U202" s="97" t="s">
        <v>31</v>
      </c>
      <c r="V202" s="147"/>
      <c r="W202" s="147"/>
      <c r="X202" s="147"/>
      <c r="Y202" s="147"/>
      <c r="Z202" s="147"/>
      <c r="AA202" s="147"/>
      <c r="AB202" s="147"/>
    </row>
    <row r="203" ht="45.0" customHeight="1">
      <c r="A203" s="103">
        <v>197.0</v>
      </c>
      <c r="B203" s="141" t="s">
        <v>484</v>
      </c>
      <c r="C203" s="82" t="str">
        <f>VLOOKUP($B$7:$B$5000,SUM!$L$6:$L$500,1,FALSE)</f>
        <v>#N/A</v>
      </c>
      <c r="D203" s="84" t="s">
        <v>414</v>
      </c>
      <c r="E203" s="124" t="s">
        <v>58</v>
      </c>
      <c r="F203" s="84" t="s">
        <v>105</v>
      </c>
      <c r="G203" s="95" t="s">
        <v>415</v>
      </c>
      <c r="H203" s="84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8" t="s">
        <v>246</v>
      </c>
      <c r="O203" s="90" t="s">
        <v>67</v>
      </c>
      <c r="P203" s="99" t="s">
        <v>68</v>
      </c>
      <c r="Q203" s="96">
        <v>46170.0</v>
      </c>
      <c r="R203" s="84" t="s">
        <v>66</v>
      </c>
      <c r="S203" s="96">
        <v>46173.0</v>
      </c>
      <c r="T203" s="81"/>
      <c r="U203" s="97" t="s">
        <v>31</v>
      </c>
      <c r="V203" s="147"/>
      <c r="W203" s="147"/>
      <c r="X203" s="147"/>
      <c r="Y203" s="147"/>
      <c r="Z203" s="147"/>
      <c r="AA203" s="147"/>
      <c r="AB203" s="147"/>
    </row>
    <row r="204" ht="45.0" customHeight="1">
      <c r="A204" s="103">
        <v>198.0</v>
      </c>
      <c r="B204" s="141" t="s">
        <v>486</v>
      </c>
      <c r="C204" s="82" t="str">
        <f>VLOOKUP($B$7:$B$5000,SUM!$L$6:$L$500,1,FALSE)</f>
        <v>#N/A</v>
      </c>
      <c r="D204" s="84" t="s">
        <v>414</v>
      </c>
      <c r="E204" s="100" t="s">
        <v>58</v>
      </c>
      <c r="F204" s="84" t="s">
        <v>105</v>
      </c>
      <c r="G204" s="84" t="s">
        <v>415</v>
      </c>
      <c r="H204" s="84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8" t="s">
        <v>246</v>
      </c>
      <c r="O204" s="90" t="s">
        <v>67</v>
      </c>
      <c r="P204" s="99" t="s">
        <v>68</v>
      </c>
      <c r="Q204" s="96">
        <v>46170.0</v>
      </c>
      <c r="R204" s="84" t="s">
        <v>66</v>
      </c>
      <c r="S204" s="96">
        <v>46173.0</v>
      </c>
      <c r="T204" s="81"/>
      <c r="U204" s="97" t="s">
        <v>31</v>
      </c>
      <c r="V204" s="147"/>
      <c r="W204" s="147"/>
      <c r="X204" s="147"/>
      <c r="Y204" s="147"/>
      <c r="Z204" s="147"/>
      <c r="AA204" s="147"/>
      <c r="AB204" s="147"/>
    </row>
    <row r="205" ht="45.0" customHeight="1">
      <c r="A205" s="103">
        <v>199.0</v>
      </c>
      <c r="B205" s="141" t="s">
        <v>488</v>
      </c>
      <c r="C205" s="82" t="str">
        <f>VLOOKUP($B$7:$B$5000,SUM!$L$6:$L$500,1,FALSE)</f>
        <v>#N/A</v>
      </c>
      <c r="D205" s="84" t="s">
        <v>414</v>
      </c>
      <c r="E205" s="100" t="s">
        <v>58</v>
      </c>
      <c r="F205" s="84" t="s">
        <v>105</v>
      </c>
      <c r="G205" s="84" t="s">
        <v>415</v>
      </c>
      <c r="H205" s="84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8" t="s">
        <v>246</v>
      </c>
      <c r="O205" s="90" t="s">
        <v>67</v>
      </c>
      <c r="P205" s="99" t="s">
        <v>68</v>
      </c>
      <c r="Q205" s="96">
        <v>46170.0</v>
      </c>
      <c r="R205" s="84" t="s">
        <v>66</v>
      </c>
      <c r="S205" s="96">
        <v>46173.0</v>
      </c>
      <c r="T205" s="81"/>
      <c r="U205" s="97" t="s">
        <v>31</v>
      </c>
      <c r="V205" s="147"/>
      <c r="W205" s="147"/>
      <c r="X205" s="147"/>
      <c r="Y205" s="147"/>
      <c r="Z205" s="147"/>
      <c r="AA205" s="147"/>
      <c r="AB205" s="147"/>
    </row>
    <row r="206" ht="45.0" customHeight="1">
      <c r="A206" s="103">
        <v>200.0</v>
      </c>
      <c r="B206" s="141" t="s">
        <v>490</v>
      </c>
      <c r="C206" s="82" t="str">
        <f>VLOOKUP($B$7:$B$5000,SUM!$L$6:$L$500,1,FALSE)</f>
        <v>#N/A</v>
      </c>
      <c r="D206" s="84" t="s">
        <v>414</v>
      </c>
      <c r="E206" s="100" t="s">
        <v>58</v>
      </c>
      <c r="F206" s="84" t="s">
        <v>105</v>
      </c>
      <c r="G206" s="84" t="s">
        <v>415</v>
      </c>
      <c r="H206" s="84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8" t="s">
        <v>246</v>
      </c>
      <c r="O206" s="90" t="s">
        <v>67</v>
      </c>
      <c r="P206" s="99" t="s">
        <v>68</v>
      </c>
      <c r="Q206" s="96">
        <v>46170.0</v>
      </c>
      <c r="R206" s="84" t="s">
        <v>66</v>
      </c>
      <c r="S206" s="96">
        <v>46173.0</v>
      </c>
      <c r="T206" s="81"/>
      <c r="U206" s="97" t="s">
        <v>31</v>
      </c>
      <c r="V206" s="147"/>
      <c r="W206" s="147"/>
      <c r="X206" s="147"/>
      <c r="Y206" s="147"/>
      <c r="Z206" s="147"/>
      <c r="AA206" s="147"/>
      <c r="AB206" s="147"/>
    </row>
    <row r="207" ht="45.0" customHeight="1">
      <c r="A207" s="103">
        <v>201.0</v>
      </c>
      <c r="B207" s="141" t="s">
        <v>492</v>
      </c>
      <c r="C207" s="82" t="str">
        <f>VLOOKUP($B$7:$B$5000,SUM!$L$6:$L$500,1,FALSE)</f>
        <v>#N/A</v>
      </c>
      <c r="D207" s="84" t="s">
        <v>414</v>
      </c>
      <c r="E207" s="100" t="s">
        <v>58</v>
      </c>
      <c r="F207" s="84" t="s">
        <v>105</v>
      </c>
      <c r="G207" s="84" t="s">
        <v>415</v>
      </c>
      <c r="H207" s="84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8" t="s">
        <v>246</v>
      </c>
      <c r="O207" s="90" t="s">
        <v>67</v>
      </c>
      <c r="P207" s="99" t="s">
        <v>68</v>
      </c>
      <c r="Q207" s="96">
        <v>46170.0</v>
      </c>
      <c r="R207" s="84" t="s">
        <v>66</v>
      </c>
      <c r="S207" s="96">
        <v>46173.0</v>
      </c>
      <c r="T207" s="81"/>
      <c r="U207" s="97" t="s">
        <v>31</v>
      </c>
      <c r="V207" s="147"/>
      <c r="W207" s="147"/>
      <c r="X207" s="147"/>
      <c r="Y207" s="147"/>
      <c r="Z207" s="147"/>
      <c r="AA207" s="147"/>
      <c r="AB207" s="147"/>
    </row>
    <row r="208" ht="45.0" customHeight="1">
      <c r="A208" s="103">
        <v>202.0</v>
      </c>
      <c r="B208" s="141" t="s">
        <v>494</v>
      </c>
      <c r="C208" s="82" t="str">
        <f>VLOOKUP($B$7:$B$5000,SUM!$L$6:$L$500,1,FALSE)</f>
        <v>#N/A</v>
      </c>
      <c r="D208" s="84" t="s">
        <v>414</v>
      </c>
      <c r="E208" s="100" t="s">
        <v>58</v>
      </c>
      <c r="F208" s="84" t="s">
        <v>105</v>
      </c>
      <c r="G208" s="84" t="s">
        <v>415</v>
      </c>
      <c r="H208" s="84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8" t="s">
        <v>246</v>
      </c>
      <c r="O208" s="90" t="s">
        <v>67</v>
      </c>
      <c r="P208" s="99" t="s">
        <v>68</v>
      </c>
      <c r="Q208" s="96">
        <v>46170.0</v>
      </c>
      <c r="R208" s="84" t="s">
        <v>66</v>
      </c>
      <c r="S208" s="96">
        <v>46173.0</v>
      </c>
      <c r="T208" s="81"/>
      <c r="U208" s="97" t="s">
        <v>31</v>
      </c>
      <c r="V208" s="147"/>
      <c r="W208" s="147"/>
      <c r="X208" s="147"/>
      <c r="Y208" s="147"/>
      <c r="Z208" s="147"/>
      <c r="AA208" s="147"/>
      <c r="AB208" s="147"/>
    </row>
    <row r="209" ht="45.0" customHeight="1">
      <c r="A209" s="103">
        <v>203.0</v>
      </c>
      <c r="B209" s="141" t="s">
        <v>496</v>
      </c>
      <c r="C209" s="82" t="str">
        <f>VLOOKUP($B$7:$B$5000,SUM!$L$6:$L$500,1,FALSE)</f>
        <v>#N/A</v>
      </c>
      <c r="D209" s="84" t="s">
        <v>414</v>
      </c>
      <c r="E209" s="100" t="s">
        <v>58</v>
      </c>
      <c r="F209" s="84" t="s">
        <v>105</v>
      </c>
      <c r="G209" s="84" t="s">
        <v>415</v>
      </c>
      <c r="H209" s="84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8" t="s">
        <v>246</v>
      </c>
      <c r="O209" s="90" t="s">
        <v>67</v>
      </c>
      <c r="P209" s="99" t="s">
        <v>68</v>
      </c>
      <c r="Q209" s="96">
        <v>46170.0</v>
      </c>
      <c r="R209" s="84" t="s">
        <v>66</v>
      </c>
      <c r="S209" s="96">
        <v>46173.0</v>
      </c>
      <c r="T209" s="81"/>
      <c r="U209" s="97" t="s">
        <v>31</v>
      </c>
      <c r="V209" s="147"/>
      <c r="W209" s="147"/>
      <c r="X209" s="147"/>
      <c r="Y209" s="147"/>
      <c r="Z209" s="147"/>
      <c r="AA209" s="147"/>
      <c r="AB209" s="147"/>
    </row>
    <row r="210" ht="45.0" customHeight="1">
      <c r="A210" s="103">
        <v>204.0</v>
      </c>
      <c r="B210" s="141" t="s">
        <v>498</v>
      </c>
      <c r="C210" s="82" t="str">
        <f>VLOOKUP($B$7:$B$5000,SUM!$L$6:$L$500,1,FALSE)</f>
        <v>#N/A</v>
      </c>
      <c r="D210" s="84" t="s">
        <v>414</v>
      </c>
      <c r="E210" s="100" t="s">
        <v>58</v>
      </c>
      <c r="F210" s="84" t="s">
        <v>105</v>
      </c>
      <c r="G210" s="84" t="s">
        <v>415</v>
      </c>
      <c r="H210" s="84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8" t="s">
        <v>246</v>
      </c>
      <c r="O210" s="90" t="s">
        <v>67</v>
      </c>
      <c r="P210" s="99" t="s">
        <v>68</v>
      </c>
      <c r="Q210" s="96">
        <v>46170.0</v>
      </c>
      <c r="R210" s="84" t="s">
        <v>66</v>
      </c>
      <c r="S210" s="96">
        <v>46173.0</v>
      </c>
      <c r="T210" s="81"/>
      <c r="U210" s="97" t="s">
        <v>31</v>
      </c>
      <c r="V210" s="147"/>
      <c r="W210" s="147"/>
      <c r="X210" s="147"/>
      <c r="Y210" s="147"/>
      <c r="Z210" s="147"/>
      <c r="AA210" s="147"/>
      <c r="AB210" s="147"/>
    </row>
    <row r="211" ht="45.0" customHeight="1">
      <c r="A211" s="103">
        <v>205.0</v>
      </c>
      <c r="B211" s="141" t="s">
        <v>500</v>
      </c>
      <c r="C211" s="82" t="str">
        <f>VLOOKUP($B$7:$B$5000,SUM!$L$6:$L$500,1,FALSE)</f>
        <v>#N/A</v>
      </c>
      <c r="D211" s="84" t="s">
        <v>414</v>
      </c>
      <c r="E211" s="100" t="s">
        <v>58</v>
      </c>
      <c r="F211" s="84" t="s">
        <v>105</v>
      </c>
      <c r="G211" s="84" t="s">
        <v>415</v>
      </c>
      <c r="H211" s="84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8" t="s">
        <v>246</v>
      </c>
      <c r="O211" s="90" t="s">
        <v>67</v>
      </c>
      <c r="P211" s="99" t="s">
        <v>68</v>
      </c>
      <c r="Q211" s="96">
        <v>46170.0</v>
      </c>
      <c r="R211" s="84" t="s">
        <v>66</v>
      </c>
      <c r="S211" s="96">
        <v>46173.0</v>
      </c>
      <c r="T211" s="81"/>
      <c r="U211" s="97" t="s">
        <v>31</v>
      </c>
      <c r="V211" s="147"/>
      <c r="W211" s="147"/>
      <c r="X211" s="147"/>
      <c r="Y211" s="147"/>
      <c r="Z211" s="147"/>
      <c r="AA211" s="147"/>
      <c r="AB211" s="147"/>
    </row>
    <row r="212" ht="45.0" customHeight="1">
      <c r="A212" s="103">
        <v>206.0</v>
      </c>
      <c r="B212" s="141" t="s">
        <v>502</v>
      </c>
      <c r="C212" s="82" t="str">
        <f>VLOOKUP($B$7:$B$5000,SUM!$L$6:$L$500,1,FALSE)</f>
        <v>#N/A</v>
      </c>
      <c r="D212" s="84" t="s">
        <v>414</v>
      </c>
      <c r="E212" s="100" t="s">
        <v>58</v>
      </c>
      <c r="F212" s="84" t="s">
        <v>105</v>
      </c>
      <c r="G212" s="84" t="s">
        <v>415</v>
      </c>
      <c r="H212" s="84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8" t="s">
        <v>246</v>
      </c>
      <c r="O212" s="90" t="s">
        <v>67</v>
      </c>
      <c r="P212" s="99" t="s">
        <v>68</v>
      </c>
      <c r="Q212" s="96">
        <v>46170.0</v>
      </c>
      <c r="R212" s="84" t="s">
        <v>66</v>
      </c>
      <c r="S212" s="96">
        <v>46173.0</v>
      </c>
      <c r="T212" s="81"/>
      <c r="U212" s="97" t="s">
        <v>31</v>
      </c>
      <c r="V212" s="147"/>
      <c r="W212" s="147"/>
      <c r="X212" s="147"/>
      <c r="Y212" s="147"/>
      <c r="Z212" s="147"/>
      <c r="AA212" s="147"/>
      <c r="AB212" s="147"/>
    </row>
    <row r="213" ht="45.0" customHeight="1">
      <c r="A213" s="103">
        <v>207.0</v>
      </c>
      <c r="B213" s="141" t="s">
        <v>504</v>
      </c>
      <c r="C213" s="82" t="str">
        <f>VLOOKUP($B$7:$B$5000,SUM!$L$6:$L$500,1,FALSE)</f>
        <v>#N/A</v>
      </c>
      <c r="D213" s="84" t="s">
        <v>414</v>
      </c>
      <c r="E213" s="100" t="s">
        <v>58</v>
      </c>
      <c r="F213" s="84" t="s">
        <v>105</v>
      </c>
      <c r="G213" s="84" t="s">
        <v>415</v>
      </c>
      <c r="H213" s="84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8" t="s">
        <v>246</v>
      </c>
      <c r="O213" s="90" t="s">
        <v>67</v>
      </c>
      <c r="P213" s="99" t="s">
        <v>68</v>
      </c>
      <c r="Q213" s="96">
        <v>46170.0</v>
      </c>
      <c r="R213" s="84" t="s">
        <v>66</v>
      </c>
      <c r="S213" s="96">
        <v>46173.0</v>
      </c>
      <c r="T213" s="81"/>
      <c r="U213" s="97" t="s">
        <v>31</v>
      </c>
      <c r="V213" s="147"/>
      <c r="W213" s="147"/>
      <c r="X213" s="147"/>
      <c r="Y213" s="147"/>
      <c r="Z213" s="147"/>
      <c r="AA213" s="147"/>
      <c r="AB213" s="147"/>
    </row>
    <row r="214" ht="45.0" customHeight="1">
      <c r="A214" s="103">
        <v>208.0</v>
      </c>
      <c r="B214" s="141" t="s">
        <v>506</v>
      </c>
      <c r="C214" s="82" t="str">
        <f>VLOOKUP($B$7:$B$5000,SUM!$L$6:$L$500,1,FALSE)</f>
        <v>#N/A</v>
      </c>
      <c r="D214" s="84" t="s">
        <v>414</v>
      </c>
      <c r="E214" s="100" t="s">
        <v>58</v>
      </c>
      <c r="F214" s="84" t="s">
        <v>105</v>
      </c>
      <c r="G214" s="84" t="s">
        <v>415</v>
      </c>
      <c r="H214" s="84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8" t="s">
        <v>246</v>
      </c>
      <c r="O214" s="90" t="s">
        <v>67</v>
      </c>
      <c r="P214" s="99" t="s">
        <v>68</v>
      </c>
      <c r="Q214" s="96">
        <v>46170.0</v>
      </c>
      <c r="R214" s="84" t="s">
        <v>66</v>
      </c>
      <c r="S214" s="96">
        <v>46173.0</v>
      </c>
      <c r="T214" s="81"/>
      <c r="U214" s="97" t="s">
        <v>31</v>
      </c>
      <c r="V214" s="147"/>
      <c r="W214" s="147"/>
      <c r="X214" s="147"/>
      <c r="Y214" s="147"/>
      <c r="Z214" s="147"/>
      <c r="AA214" s="147"/>
      <c r="AB214" s="147"/>
    </row>
    <row r="215" ht="45.0" customHeight="1">
      <c r="A215" s="103">
        <v>209.0</v>
      </c>
      <c r="B215" s="141" t="s">
        <v>508</v>
      </c>
      <c r="C215" s="82" t="str">
        <f>VLOOKUP($B$7:$B$5000,SUM!$L$6:$L$500,1,FALSE)</f>
        <v>#N/A</v>
      </c>
      <c r="D215" s="84" t="s">
        <v>414</v>
      </c>
      <c r="E215" s="100" t="s">
        <v>58</v>
      </c>
      <c r="F215" s="84" t="s">
        <v>105</v>
      </c>
      <c r="G215" s="84" t="s">
        <v>415</v>
      </c>
      <c r="H215" s="84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8" t="s">
        <v>246</v>
      </c>
      <c r="O215" s="90" t="s">
        <v>67</v>
      </c>
      <c r="P215" s="99" t="s">
        <v>68</v>
      </c>
      <c r="Q215" s="96">
        <v>46170.0</v>
      </c>
      <c r="R215" s="84" t="s">
        <v>66</v>
      </c>
      <c r="S215" s="96">
        <v>46173.0</v>
      </c>
      <c r="T215" s="81"/>
      <c r="U215" s="97" t="s">
        <v>31</v>
      </c>
      <c r="V215" s="147"/>
      <c r="W215" s="147"/>
      <c r="X215" s="147"/>
      <c r="Y215" s="147"/>
      <c r="Z215" s="147"/>
      <c r="AA215" s="147"/>
      <c r="AB215" s="147"/>
    </row>
    <row r="216" ht="45.0" customHeight="1">
      <c r="A216" s="103">
        <v>210.0</v>
      </c>
      <c r="B216" s="141" t="s">
        <v>510</v>
      </c>
      <c r="C216" s="82" t="str">
        <f>VLOOKUP($B$7:$B$5000,SUM!$L$6:$L$500,1,FALSE)</f>
        <v>#N/A</v>
      </c>
      <c r="D216" s="84" t="s">
        <v>414</v>
      </c>
      <c r="E216" s="100" t="s">
        <v>58</v>
      </c>
      <c r="F216" s="84" t="s">
        <v>105</v>
      </c>
      <c r="G216" s="84" t="s">
        <v>415</v>
      </c>
      <c r="H216" s="84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8" t="s">
        <v>246</v>
      </c>
      <c r="O216" s="90" t="s">
        <v>67</v>
      </c>
      <c r="P216" s="99" t="s">
        <v>68</v>
      </c>
      <c r="Q216" s="96">
        <v>46170.0</v>
      </c>
      <c r="R216" s="84" t="s">
        <v>66</v>
      </c>
      <c r="S216" s="96">
        <v>46173.0</v>
      </c>
      <c r="T216" s="81"/>
      <c r="U216" s="97" t="s">
        <v>31</v>
      </c>
      <c r="V216" s="147"/>
      <c r="W216" s="147"/>
      <c r="X216" s="147"/>
      <c r="Y216" s="147"/>
      <c r="Z216" s="147"/>
      <c r="AA216" s="147"/>
      <c r="AB216" s="147"/>
    </row>
    <row r="217" ht="45.0" customHeight="1">
      <c r="A217" s="103">
        <v>211.0</v>
      </c>
      <c r="B217" s="141" t="s">
        <v>512</v>
      </c>
      <c r="C217" s="82" t="str">
        <f>VLOOKUP($B$7:$B$5000,SUM!$L$6:$L$500,1,FALSE)</f>
        <v>#N/A</v>
      </c>
      <c r="D217" s="84" t="s">
        <v>414</v>
      </c>
      <c r="E217" s="100" t="s">
        <v>58</v>
      </c>
      <c r="F217" s="84" t="s">
        <v>105</v>
      </c>
      <c r="G217" s="84" t="s">
        <v>415</v>
      </c>
      <c r="H217" s="84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8" t="s">
        <v>246</v>
      </c>
      <c r="O217" s="90" t="s">
        <v>67</v>
      </c>
      <c r="P217" s="99" t="s">
        <v>68</v>
      </c>
      <c r="Q217" s="96">
        <v>46170.0</v>
      </c>
      <c r="R217" s="84" t="s">
        <v>66</v>
      </c>
      <c r="S217" s="96">
        <v>46173.0</v>
      </c>
      <c r="T217" s="81"/>
      <c r="U217" s="97" t="s">
        <v>31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1" t="s">
        <v>514</v>
      </c>
      <c r="C218" s="82" t="str">
        <f>VLOOKUP($B$7:$B$5000,SUM!$L$6:$L$500,1,FALSE)</f>
        <v>#N/A</v>
      </c>
      <c r="D218" s="84" t="s">
        <v>414</v>
      </c>
      <c r="E218" s="100" t="s">
        <v>58</v>
      </c>
      <c r="F218" s="84" t="s">
        <v>105</v>
      </c>
      <c r="G218" s="84" t="s">
        <v>415</v>
      </c>
      <c r="H218" s="84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8" t="s">
        <v>246</v>
      </c>
      <c r="O218" s="90" t="s">
        <v>67</v>
      </c>
      <c r="P218" s="99" t="s">
        <v>68</v>
      </c>
      <c r="Q218" s="96">
        <v>46170.0</v>
      </c>
      <c r="R218" s="84" t="s">
        <v>66</v>
      </c>
      <c r="S218" s="96">
        <v>46173.0</v>
      </c>
      <c r="T218" s="81"/>
      <c r="U218" s="97" t="s">
        <v>31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1" t="s">
        <v>516</v>
      </c>
      <c r="C219" s="82" t="str">
        <f>VLOOKUP($B$7:$B$5000,SUM!$L$6:$L$500,1,FALSE)</f>
        <v>#N/A</v>
      </c>
      <c r="D219" s="84" t="s">
        <v>414</v>
      </c>
      <c r="E219" s="100" t="s">
        <v>58</v>
      </c>
      <c r="F219" s="84" t="s">
        <v>105</v>
      </c>
      <c r="G219" s="84" t="s">
        <v>415</v>
      </c>
      <c r="H219" s="84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8" t="s">
        <v>246</v>
      </c>
      <c r="O219" s="90" t="s">
        <v>67</v>
      </c>
      <c r="P219" s="99" t="s">
        <v>68</v>
      </c>
      <c r="Q219" s="96">
        <v>46170.0</v>
      </c>
      <c r="R219" s="84" t="s">
        <v>66</v>
      </c>
      <c r="S219" s="96">
        <v>46173.0</v>
      </c>
      <c r="T219" s="81"/>
      <c r="U219" s="97" t="s">
        <v>31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1" t="s">
        <v>518</v>
      </c>
      <c r="C220" s="82" t="str">
        <f>VLOOKUP($B$7:$B$5000,SUM!$L$6:$L$500,1,FALSE)</f>
        <v>#N/A</v>
      </c>
      <c r="D220" s="84" t="s">
        <v>414</v>
      </c>
      <c r="E220" s="100" t="s">
        <v>58</v>
      </c>
      <c r="F220" s="84" t="s">
        <v>105</v>
      </c>
      <c r="G220" s="84" t="s">
        <v>415</v>
      </c>
      <c r="H220" s="84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8" t="s">
        <v>246</v>
      </c>
      <c r="O220" s="90" t="s">
        <v>67</v>
      </c>
      <c r="P220" s="99" t="s">
        <v>68</v>
      </c>
      <c r="Q220" s="96">
        <v>46170.0</v>
      </c>
      <c r="R220" s="84" t="s">
        <v>66</v>
      </c>
      <c r="S220" s="96">
        <v>46173.0</v>
      </c>
      <c r="T220" s="81"/>
      <c r="U220" s="97" t="s">
        <v>31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1" t="s">
        <v>521</v>
      </c>
      <c r="C221" s="82" t="str">
        <f>VLOOKUP($B$7:$B$5000,SUM!$L$6:$L$500,1,FALSE)</f>
        <v>#N/A</v>
      </c>
      <c r="D221" s="84" t="s">
        <v>414</v>
      </c>
      <c r="E221" s="100" t="s">
        <v>58</v>
      </c>
      <c r="F221" s="84" t="s">
        <v>105</v>
      </c>
      <c r="G221" s="84" t="s">
        <v>415</v>
      </c>
      <c r="H221" s="84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8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6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1" t="s">
        <v>523</v>
      </c>
      <c r="C222" s="82" t="str">
        <f>VLOOKUP($B$7:$B$5000,SUM!$L$6:$L$500,1,FALSE)</f>
        <v>#N/A</v>
      </c>
      <c r="D222" s="84" t="s">
        <v>414</v>
      </c>
      <c r="E222" s="100" t="s">
        <v>58</v>
      </c>
      <c r="F222" s="84" t="s">
        <v>105</v>
      </c>
      <c r="G222" s="84" t="s">
        <v>415</v>
      </c>
      <c r="H222" s="84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8" t="s">
        <v>246</v>
      </c>
      <c r="O222" s="90" t="s">
        <v>67</v>
      </c>
      <c r="P222" s="99" t="s">
        <v>68</v>
      </c>
      <c r="Q222" s="96">
        <v>46170.0</v>
      </c>
      <c r="R222" s="84" t="s">
        <v>66</v>
      </c>
      <c r="S222" s="96">
        <v>46173.0</v>
      </c>
      <c r="T222" s="81"/>
      <c r="U222" s="97" t="s">
        <v>31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1" t="s">
        <v>525</v>
      </c>
      <c r="C223" s="82" t="str">
        <f>VLOOKUP($B$7:$B$5000,SUM!$L$6:$L$500,1,FALSE)</f>
        <v>#N/A</v>
      </c>
      <c r="D223" s="84" t="s">
        <v>414</v>
      </c>
      <c r="E223" s="100" t="s">
        <v>58</v>
      </c>
      <c r="F223" s="84" t="s">
        <v>105</v>
      </c>
      <c r="G223" s="84" t="s">
        <v>415</v>
      </c>
      <c r="H223" s="84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8" t="s">
        <v>246</v>
      </c>
      <c r="O223" s="90" t="s">
        <v>67</v>
      </c>
      <c r="P223" s="99" t="s">
        <v>68</v>
      </c>
      <c r="Q223" s="96">
        <v>46170.0</v>
      </c>
      <c r="R223" s="84" t="s">
        <v>66</v>
      </c>
      <c r="S223" s="96">
        <v>46173.0</v>
      </c>
      <c r="T223" s="81"/>
      <c r="U223" s="97" t="s">
        <v>31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1" t="s">
        <v>527</v>
      </c>
      <c r="C224" s="82" t="str">
        <f>VLOOKUP($B$7:$B$5000,SUM!$L$6:$L$500,1,FALSE)</f>
        <v>#N/A</v>
      </c>
      <c r="D224" s="84" t="s">
        <v>414</v>
      </c>
      <c r="E224" s="100" t="s">
        <v>58</v>
      </c>
      <c r="F224" s="84" t="s">
        <v>105</v>
      </c>
      <c r="G224" s="84" t="s">
        <v>415</v>
      </c>
      <c r="H224" s="84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8" t="s">
        <v>246</v>
      </c>
      <c r="O224" s="90" t="s">
        <v>67</v>
      </c>
      <c r="P224" s="99" t="s">
        <v>68</v>
      </c>
      <c r="Q224" s="96">
        <v>46170.0</v>
      </c>
      <c r="R224" s="84" t="s">
        <v>66</v>
      </c>
      <c r="S224" s="96">
        <v>46173.0</v>
      </c>
      <c r="T224" s="81"/>
      <c r="U224" s="97" t="s">
        <v>31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1" t="s">
        <v>529</v>
      </c>
      <c r="C225" s="82" t="str">
        <f>VLOOKUP($B$7:$B$5000,SUM!$L$6:$L$500,1,FALSE)</f>
        <v>#N/A</v>
      </c>
      <c r="D225" s="84" t="s">
        <v>414</v>
      </c>
      <c r="E225" s="100" t="s">
        <v>58</v>
      </c>
      <c r="F225" s="84" t="s">
        <v>105</v>
      </c>
      <c r="G225" s="84" t="s">
        <v>415</v>
      </c>
      <c r="H225" s="84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8" t="s">
        <v>246</v>
      </c>
      <c r="O225" s="90" t="s">
        <v>67</v>
      </c>
      <c r="P225" s="99" t="s">
        <v>68</v>
      </c>
      <c r="Q225" s="96">
        <v>46170.0</v>
      </c>
      <c r="R225" s="84" t="s">
        <v>66</v>
      </c>
      <c r="S225" s="96">
        <v>46173.0</v>
      </c>
      <c r="T225" s="81"/>
      <c r="U225" s="97" t="s">
        <v>31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1" t="s">
        <v>531</v>
      </c>
      <c r="C226" s="82" t="str">
        <f>VLOOKUP($B$7:$B$5000,SUM!$L$6:$L$500,1,FALSE)</f>
        <v>#N/A</v>
      </c>
      <c r="D226" s="84" t="s">
        <v>414</v>
      </c>
      <c r="E226" s="100" t="s">
        <v>58</v>
      </c>
      <c r="F226" s="84" t="s">
        <v>105</v>
      </c>
      <c r="G226" s="84" t="s">
        <v>415</v>
      </c>
      <c r="H226" s="84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8" t="s">
        <v>246</v>
      </c>
      <c r="O226" s="90" t="s">
        <v>67</v>
      </c>
      <c r="P226" s="99" t="s">
        <v>68</v>
      </c>
      <c r="Q226" s="96">
        <v>46170.0</v>
      </c>
      <c r="R226" s="84" t="s">
        <v>66</v>
      </c>
      <c r="S226" s="96">
        <v>46173.0</v>
      </c>
      <c r="T226" s="81"/>
      <c r="U226" s="97" t="s">
        <v>31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1" t="s">
        <v>533</v>
      </c>
      <c r="C227" s="82" t="str">
        <f>VLOOKUP($B$7:$B$5000,SUM!$L$6:$L$500,1,FALSE)</f>
        <v>#N/A</v>
      </c>
      <c r="D227" s="84" t="s">
        <v>414</v>
      </c>
      <c r="E227" s="100" t="s">
        <v>58</v>
      </c>
      <c r="F227" s="84" t="s">
        <v>105</v>
      </c>
      <c r="G227" s="84" t="s">
        <v>415</v>
      </c>
      <c r="H227" s="84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8" t="s">
        <v>246</v>
      </c>
      <c r="O227" s="90" t="s">
        <v>67</v>
      </c>
      <c r="P227" s="99" t="s">
        <v>68</v>
      </c>
      <c r="Q227" s="96">
        <v>46170.0</v>
      </c>
      <c r="R227" s="84" t="s">
        <v>66</v>
      </c>
      <c r="S227" s="96">
        <v>46173.0</v>
      </c>
      <c r="T227" s="81"/>
      <c r="U227" s="97" t="s">
        <v>31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1" t="s">
        <v>535</v>
      </c>
      <c r="C228" s="82" t="str">
        <f>VLOOKUP($B$7:$B$5000,SUM!$L$6:$L$500,1,FALSE)</f>
        <v>#N/A</v>
      </c>
      <c r="D228" s="84" t="s">
        <v>414</v>
      </c>
      <c r="E228" s="100" t="s">
        <v>58</v>
      </c>
      <c r="F228" s="84" t="s">
        <v>105</v>
      </c>
      <c r="G228" s="84" t="s">
        <v>415</v>
      </c>
      <c r="H228" s="84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8" t="s">
        <v>246</v>
      </c>
      <c r="O228" s="90" t="s">
        <v>67</v>
      </c>
      <c r="P228" s="99" t="s">
        <v>68</v>
      </c>
      <c r="Q228" s="96">
        <v>46170.0</v>
      </c>
      <c r="R228" s="84" t="s">
        <v>66</v>
      </c>
      <c r="S228" s="96">
        <v>46173.0</v>
      </c>
      <c r="T228" s="81"/>
      <c r="U228" s="97" t="s">
        <v>31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1" t="s">
        <v>537</v>
      </c>
      <c r="C229" s="82" t="str">
        <f>VLOOKUP($B$7:$B$5000,SUM!$L$6:$L$500,1,FALSE)</f>
        <v>#N/A</v>
      </c>
      <c r="D229" s="84" t="s">
        <v>414</v>
      </c>
      <c r="E229" s="100" t="s">
        <v>58</v>
      </c>
      <c r="F229" s="84" t="s">
        <v>105</v>
      </c>
      <c r="G229" s="84" t="s">
        <v>415</v>
      </c>
      <c r="H229" s="84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8" t="s">
        <v>246</v>
      </c>
      <c r="O229" s="90" t="s">
        <v>67</v>
      </c>
      <c r="P229" s="99" t="s">
        <v>68</v>
      </c>
      <c r="Q229" s="96">
        <v>46170.0</v>
      </c>
      <c r="R229" s="84" t="s">
        <v>66</v>
      </c>
      <c r="S229" s="96">
        <v>46173.0</v>
      </c>
      <c r="T229" s="81"/>
      <c r="U229" s="97" t="s">
        <v>31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1" t="s">
        <v>539</v>
      </c>
      <c r="C230" s="82" t="str">
        <f>VLOOKUP($B$7:$B$5000,SUM!$L$6:$L$500,1,FALSE)</f>
        <v>#N/A</v>
      </c>
      <c r="D230" s="84" t="s">
        <v>414</v>
      </c>
      <c r="E230" s="100" t="s">
        <v>58</v>
      </c>
      <c r="F230" s="84" t="s">
        <v>105</v>
      </c>
      <c r="G230" s="84" t="s">
        <v>415</v>
      </c>
      <c r="H230" s="84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8" t="s">
        <v>246</v>
      </c>
      <c r="O230" s="90" t="s">
        <v>67</v>
      </c>
      <c r="P230" s="99" t="s">
        <v>68</v>
      </c>
      <c r="Q230" s="96">
        <v>46170.0</v>
      </c>
      <c r="R230" s="84" t="s">
        <v>66</v>
      </c>
      <c r="S230" s="96">
        <v>46173.0</v>
      </c>
      <c r="T230" s="81"/>
      <c r="U230" s="97" t="s">
        <v>31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1" t="s">
        <v>541</v>
      </c>
      <c r="C231" s="82" t="str">
        <f>VLOOKUP($B$7:$B$5000,SUM!$L$6:$L$500,1,FALSE)</f>
        <v>#N/A</v>
      </c>
      <c r="D231" s="84" t="s">
        <v>414</v>
      </c>
      <c r="E231" s="100" t="s">
        <v>58</v>
      </c>
      <c r="F231" s="84" t="s">
        <v>105</v>
      </c>
      <c r="G231" s="84" t="s">
        <v>415</v>
      </c>
      <c r="H231" s="84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8" t="s">
        <v>246</v>
      </c>
      <c r="O231" s="90" t="s">
        <v>67</v>
      </c>
      <c r="P231" s="99" t="s">
        <v>68</v>
      </c>
      <c r="Q231" s="96">
        <v>46170.0</v>
      </c>
      <c r="R231" s="84" t="s">
        <v>66</v>
      </c>
      <c r="S231" s="96">
        <v>46173.0</v>
      </c>
      <c r="T231" s="81"/>
      <c r="U231" s="97" t="s">
        <v>31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1" t="s">
        <v>543</v>
      </c>
      <c r="C232" s="82" t="str">
        <f>VLOOKUP($B$7:$B$5000,SUM!$L$6:$L$500,1,FALSE)</f>
        <v>#N/A</v>
      </c>
      <c r="D232" s="84" t="s">
        <v>414</v>
      </c>
      <c r="E232" s="100" t="s">
        <v>58</v>
      </c>
      <c r="F232" s="84" t="s">
        <v>105</v>
      </c>
      <c r="G232" s="84" t="s">
        <v>415</v>
      </c>
      <c r="H232" s="84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8" t="s">
        <v>246</v>
      </c>
      <c r="O232" s="90" t="s">
        <v>67</v>
      </c>
      <c r="P232" s="99" t="s">
        <v>68</v>
      </c>
      <c r="Q232" s="96">
        <v>46170.0</v>
      </c>
      <c r="R232" s="84" t="s">
        <v>66</v>
      </c>
      <c r="S232" s="96">
        <v>46173.0</v>
      </c>
      <c r="T232" s="81"/>
      <c r="U232" s="97" t="s">
        <v>31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1" t="s">
        <v>545</v>
      </c>
      <c r="C233" s="82" t="str">
        <f>VLOOKUP($B$7:$B$5000,SUM!$L$6:$L$500,1,FALSE)</f>
        <v>#N/A</v>
      </c>
      <c r="D233" s="84" t="s">
        <v>414</v>
      </c>
      <c r="E233" s="100" t="s">
        <v>58</v>
      </c>
      <c r="F233" s="84" t="s">
        <v>105</v>
      </c>
      <c r="G233" s="84" t="s">
        <v>415</v>
      </c>
      <c r="H233" s="84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8" t="s">
        <v>246</v>
      </c>
      <c r="O233" s="90" t="s">
        <v>67</v>
      </c>
      <c r="P233" s="99" t="s">
        <v>68</v>
      </c>
      <c r="Q233" s="96">
        <v>46170.0</v>
      </c>
      <c r="R233" s="84" t="s">
        <v>66</v>
      </c>
      <c r="S233" s="96">
        <v>46173.0</v>
      </c>
      <c r="T233" s="81"/>
      <c r="U233" s="97" t="s">
        <v>31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1" t="s">
        <v>547</v>
      </c>
      <c r="C234" s="82" t="str">
        <f>VLOOKUP($B$7:$B$5000,SUM!$L$6:$L$500,1,FALSE)</f>
        <v>#N/A</v>
      </c>
      <c r="D234" s="84" t="s">
        <v>414</v>
      </c>
      <c r="E234" s="100" t="s">
        <v>58</v>
      </c>
      <c r="F234" s="84" t="s">
        <v>105</v>
      </c>
      <c r="G234" s="84" t="s">
        <v>415</v>
      </c>
      <c r="H234" s="84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8" t="s">
        <v>246</v>
      </c>
      <c r="O234" s="90" t="s">
        <v>67</v>
      </c>
      <c r="P234" s="84" t="s">
        <v>68</v>
      </c>
      <c r="Q234" s="96">
        <v>46170.0</v>
      </c>
      <c r="R234" s="84" t="s">
        <v>66</v>
      </c>
      <c r="S234" s="96">
        <v>46173.0</v>
      </c>
      <c r="T234" s="81"/>
      <c r="U234" s="97" t="s">
        <v>31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1" t="s">
        <v>549</v>
      </c>
      <c r="C235" s="82" t="str">
        <f>VLOOKUP($B$7:$B$5000,SUM!$L$6:$L$500,1,FALSE)</f>
        <v>#N/A</v>
      </c>
      <c r="D235" s="84" t="s">
        <v>421</v>
      </c>
      <c r="E235" s="100" t="s">
        <v>58</v>
      </c>
      <c r="F235" s="84" t="s">
        <v>105</v>
      </c>
      <c r="G235" s="84" t="s">
        <v>422</v>
      </c>
      <c r="H235" s="84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8" t="s">
        <v>246</v>
      </c>
      <c r="O235" s="90" t="s">
        <v>67</v>
      </c>
      <c r="P235" s="84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1" t="s">
        <v>551</v>
      </c>
      <c r="C236" s="82" t="str">
        <f>VLOOKUP($B$7:$B$5000,SUM!$L$6:$L$500,1,FALSE)</f>
        <v>#N/A</v>
      </c>
      <c r="D236" s="84" t="s">
        <v>421</v>
      </c>
      <c r="E236" s="100" t="s">
        <v>58</v>
      </c>
      <c r="F236" s="84" t="s">
        <v>105</v>
      </c>
      <c r="G236" s="84" t="s">
        <v>422</v>
      </c>
      <c r="H236" s="84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8" t="s">
        <v>246</v>
      </c>
      <c r="O236" s="90" t="s">
        <v>67</v>
      </c>
      <c r="P236" s="84" t="s">
        <v>68</v>
      </c>
      <c r="Q236" s="103"/>
      <c r="R236" s="103"/>
      <c r="S236" s="104"/>
      <c r="T236" s="103"/>
      <c r="U236" s="148" t="s">
        <v>28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1" t="s">
        <v>554</v>
      </c>
      <c r="C237" s="82" t="str">
        <f>VLOOKUP($B$7:$B$5000,SUM!$L$6:$L$500,1,FALSE)</f>
        <v>#N/A</v>
      </c>
      <c r="D237" s="84" t="s">
        <v>421</v>
      </c>
      <c r="E237" s="100" t="s">
        <v>58</v>
      </c>
      <c r="F237" s="84" t="s">
        <v>105</v>
      </c>
      <c r="G237" s="84" t="s">
        <v>422</v>
      </c>
      <c r="H237" s="84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8" t="s">
        <v>246</v>
      </c>
      <c r="O237" s="90" t="s">
        <v>67</v>
      </c>
      <c r="P237" s="84" t="s">
        <v>68</v>
      </c>
      <c r="Q237" s="103"/>
      <c r="R237" s="103"/>
      <c r="S237" s="104"/>
      <c r="T237" s="103"/>
      <c r="U237" s="148" t="s">
        <v>28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1" t="s">
        <v>556</v>
      </c>
      <c r="C238" s="82" t="str">
        <f>VLOOKUP($B$7:$B$5000,SUM!$L$6:$L$500,1,FALSE)</f>
        <v>#N/A</v>
      </c>
      <c r="D238" s="84" t="s">
        <v>426</v>
      </c>
      <c r="E238" s="100" t="s">
        <v>58</v>
      </c>
      <c r="F238" s="84" t="s">
        <v>105</v>
      </c>
      <c r="G238" s="84" t="s">
        <v>415</v>
      </c>
      <c r="H238" s="84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8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48" t="s">
        <v>28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1" t="s">
        <v>557</v>
      </c>
      <c r="C239" s="82" t="str">
        <f>VLOOKUP($B$7:$B$5000,SUM!$L$6:$L$500,1,FALSE)</f>
        <v>#N/A</v>
      </c>
      <c r="D239" s="84" t="s">
        <v>426</v>
      </c>
      <c r="E239" s="100" t="s">
        <v>58</v>
      </c>
      <c r="F239" s="84" t="s">
        <v>105</v>
      </c>
      <c r="G239" s="84" t="s">
        <v>415</v>
      </c>
      <c r="H239" s="81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8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48" t="s">
        <v>28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1" t="s">
        <v>559</v>
      </c>
      <c r="C240" s="82" t="str">
        <f>VLOOKUP($B$7:$B$5000,SUM!$L$6:$L$500,1,FALSE)</f>
        <v>#N/A</v>
      </c>
      <c r="D240" s="84" t="s">
        <v>426</v>
      </c>
      <c r="E240" s="100" t="s">
        <v>58</v>
      </c>
      <c r="F240" s="84" t="s">
        <v>105</v>
      </c>
      <c r="G240" s="84" t="s">
        <v>415</v>
      </c>
      <c r="H240" s="84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8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48" t="s">
        <v>28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1" t="s">
        <v>561</v>
      </c>
      <c r="C241" s="82" t="str">
        <f>VLOOKUP($B$7:$B$5000,SUM!$L$6:$L$500,1,FALSE)</f>
        <v>#N/A</v>
      </c>
      <c r="D241" s="84" t="s">
        <v>426</v>
      </c>
      <c r="E241" s="100" t="s">
        <v>58</v>
      </c>
      <c r="F241" s="84" t="s">
        <v>105</v>
      </c>
      <c r="G241" s="84" t="s">
        <v>415</v>
      </c>
      <c r="H241" s="84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8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48" t="s">
        <v>28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1" t="s">
        <v>563</v>
      </c>
      <c r="C242" s="82" t="str">
        <f>VLOOKUP($B$7:$B$5000,SUM!$L$6:$L$500,1,FALSE)</f>
        <v>#N/A</v>
      </c>
      <c r="D242" s="84" t="s">
        <v>426</v>
      </c>
      <c r="E242" s="100" t="s">
        <v>58</v>
      </c>
      <c r="F242" s="84" t="s">
        <v>105</v>
      </c>
      <c r="G242" s="84" t="s">
        <v>415</v>
      </c>
      <c r="H242" s="84" t="s">
        <v>564</v>
      </c>
      <c r="I242" s="149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48" t="s">
        <v>28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1" t="s">
        <v>565</v>
      </c>
      <c r="C243" s="82" t="str">
        <f>VLOOKUP($B$7:$B$5000,SUM!$L$6:$L$500,1,FALSE)</f>
        <v>#N/A</v>
      </c>
      <c r="D243" s="84" t="s">
        <v>426</v>
      </c>
      <c r="E243" s="100" t="s">
        <v>58</v>
      </c>
      <c r="F243" s="84" t="s">
        <v>105</v>
      </c>
      <c r="G243" s="84" t="s">
        <v>415</v>
      </c>
      <c r="H243" s="84" t="s">
        <v>566</v>
      </c>
      <c r="I243" s="149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48" t="s">
        <v>28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1" t="s">
        <v>567</v>
      </c>
      <c r="C244" s="82" t="str">
        <f>VLOOKUP($B$7:$B$5000,SUM!$L$6:$L$500,1,FALSE)</f>
        <v>#N/A</v>
      </c>
      <c r="D244" s="84" t="s">
        <v>429</v>
      </c>
      <c r="E244" s="100" t="s">
        <v>58</v>
      </c>
      <c r="F244" s="84" t="s">
        <v>105</v>
      </c>
      <c r="G244" s="94" t="s">
        <v>430</v>
      </c>
      <c r="H244" s="84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8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1" t="s">
        <v>568</v>
      </c>
      <c r="C245" s="82" t="str">
        <f>VLOOKUP($B$7:$B$5000,SUM!$L$6:$L$500,1,FALSE)</f>
        <v>#N/A</v>
      </c>
      <c r="D245" s="84" t="s">
        <v>429</v>
      </c>
      <c r="E245" s="100" t="s">
        <v>58</v>
      </c>
      <c r="F245" s="84" t="s">
        <v>105</v>
      </c>
      <c r="G245" s="94" t="s">
        <v>430</v>
      </c>
      <c r="H245" s="84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8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1" t="s">
        <v>570</v>
      </c>
      <c r="C246" s="82" t="str">
        <f>VLOOKUP($B$7:$B$5000,SUM!$L$6:$L$500,1,FALSE)</f>
        <v>#N/A</v>
      </c>
      <c r="D246" s="84" t="s">
        <v>429</v>
      </c>
      <c r="E246" s="100" t="s">
        <v>58</v>
      </c>
      <c r="F246" s="84" t="s">
        <v>105</v>
      </c>
      <c r="G246" s="94" t="s">
        <v>430</v>
      </c>
      <c r="H246" s="84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8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1" t="s">
        <v>572</v>
      </c>
      <c r="C247" s="82" t="str">
        <f>VLOOKUP($B$7:$B$5000,SUM!$L$6:$L$500,1,FALSE)</f>
        <v>#N/A</v>
      </c>
      <c r="D247" s="84" t="s">
        <v>429</v>
      </c>
      <c r="E247" s="100" t="s">
        <v>58</v>
      </c>
      <c r="F247" s="84" t="s">
        <v>105</v>
      </c>
      <c r="G247" s="94" t="s">
        <v>430</v>
      </c>
      <c r="H247" s="84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8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1" t="s">
        <v>574</v>
      </c>
      <c r="C248" s="82" t="str">
        <f>VLOOKUP($B$7:$B$5000,SUM!$L$6:$L$500,1,FALSE)</f>
        <v>#N/A</v>
      </c>
      <c r="D248" s="84" t="s">
        <v>429</v>
      </c>
      <c r="E248" s="100" t="s">
        <v>58</v>
      </c>
      <c r="F248" s="84" t="s">
        <v>105</v>
      </c>
      <c r="G248" s="94" t="s">
        <v>430</v>
      </c>
      <c r="H248" s="81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8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1" t="s">
        <v>576</v>
      </c>
      <c r="C249" s="82" t="str">
        <f>VLOOKUP($B$7:$B$5000,SUM!$L$6:$L$500,1,FALSE)</f>
        <v>#N/A</v>
      </c>
      <c r="D249" s="84" t="s">
        <v>429</v>
      </c>
      <c r="E249" s="100" t="s">
        <v>58</v>
      </c>
      <c r="F249" s="84" t="s">
        <v>105</v>
      </c>
      <c r="G249" s="94" t="s">
        <v>430</v>
      </c>
      <c r="H249" s="84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8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1" t="s">
        <v>578</v>
      </c>
      <c r="C250" s="82" t="str">
        <f>VLOOKUP($B$7:$B$5000,SUM!$L$6:$L$500,1,FALSE)</f>
        <v>#N/A</v>
      </c>
      <c r="D250" s="84" t="s">
        <v>429</v>
      </c>
      <c r="E250" s="100" t="s">
        <v>58</v>
      </c>
      <c r="F250" s="84" t="s">
        <v>105</v>
      </c>
      <c r="G250" s="94" t="s">
        <v>430</v>
      </c>
      <c r="H250" s="84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8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1" t="s">
        <v>580</v>
      </c>
      <c r="C251" s="82" t="str">
        <f>VLOOKUP($B$7:$B$5000,SUM!$L$6:$L$500,1,FALSE)</f>
        <v>#N/A</v>
      </c>
      <c r="D251" s="84" t="s">
        <v>429</v>
      </c>
      <c r="E251" s="100" t="s">
        <v>58</v>
      </c>
      <c r="F251" s="84" t="s">
        <v>105</v>
      </c>
      <c r="G251" s="94" t="s">
        <v>430</v>
      </c>
      <c r="H251" s="84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8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1" t="s">
        <v>582</v>
      </c>
      <c r="C252" s="82" t="str">
        <f>VLOOKUP($B$7:$B$5000,SUM!$L$6:$L$500,1,FALSE)</f>
        <v>#N/A</v>
      </c>
      <c r="D252" s="84" t="s">
        <v>429</v>
      </c>
      <c r="E252" s="100" t="s">
        <v>58</v>
      </c>
      <c r="F252" s="84" t="s">
        <v>105</v>
      </c>
      <c r="G252" s="94" t="s">
        <v>430</v>
      </c>
      <c r="H252" s="81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8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1" t="s">
        <v>584</v>
      </c>
      <c r="C253" s="82" t="str">
        <f>VLOOKUP($B$7:$B$5000,SUM!$L$6:$L$500,1,FALSE)</f>
        <v>#N/A</v>
      </c>
      <c r="D253" s="84" t="s">
        <v>429</v>
      </c>
      <c r="E253" s="100" t="s">
        <v>58</v>
      </c>
      <c r="F253" s="84" t="s">
        <v>105</v>
      </c>
      <c r="G253" s="94" t="s">
        <v>430</v>
      </c>
      <c r="H253" s="84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8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1" t="s">
        <v>586</v>
      </c>
      <c r="C254" s="82" t="str">
        <f>VLOOKUP($B$7:$B$5000,SUM!$L$6:$L$500,1,FALSE)</f>
        <v>#N/A</v>
      </c>
      <c r="D254" s="84" t="s">
        <v>429</v>
      </c>
      <c r="E254" s="100" t="s">
        <v>58</v>
      </c>
      <c r="F254" s="84" t="s">
        <v>105</v>
      </c>
      <c r="G254" s="94" t="s">
        <v>430</v>
      </c>
      <c r="H254" s="81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8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1" t="s">
        <v>589</v>
      </c>
      <c r="C255" s="82" t="str">
        <f>VLOOKUP($B$7:$B$5000,SUM!$L$6:$L$500,1,FALSE)</f>
        <v>#N/A</v>
      </c>
      <c r="D255" s="84" t="s">
        <v>429</v>
      </c>
      <c r="E255" s="100" t="s">
        <v>58</v>
      </c>
      <c r="F255" s="84" t="s">
        <v>105</v>
      </c>
      <c r="G255" s="94" t="s">
        <v>430</v>
      </c>
      <c r="H255" s="84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8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1" t="s">
        <v>591</v>
      </c>
      <c r="C256" s="82" t="str">
        <f>VLOOKUP($B$7:$B$5000,SUM!$L$6:$L$500,1,FALSE)</f>
        <v>#N/A</v>
      </c>
      <c r="D256" s="81" t="s">
        <v>592</v>
      </c>
      <c r="E256" s="100" t="s">
        <v>58</v>
      </c>
      <c r="F256" s="84" t="s">
        <v>593</v>
      </c>
      <c r="G256" s="84" t="s">
        <v>594</v>
      </c>
      <c r="H256" s="94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8" t="s">
        <v>433</v>
      </c>
      <c r="O256" s="90" t="s">
        <v>67</v>
      </c>
      <c r="P256" s="90" t="s">
        <v>68</v>
      </c>
      <c r="Q256" s="150">
        <v>46167.0</v>
      </c>
      <c r="R256" s="103" t="s">
        <v>597</v>
      </c>
      <c r="S256" s="150">
        <v>46168.0</v>
      </c>
      <c r="T256" s="103"/>
      <c r="U256" s="90" t="s">
        <v>31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1" t="s">
        <v>598</v>
      </c>
      <c r="C257" s="82" t="str">
        <f>VLOOKUP($B$7:$B$5000,SUM!$L$6:$L$500,1,FALSE)</f>
        <v>#N/A</v>
      </c>
      <c r="D257" s="81" t="s">
        <v>592</v>
      </c>
      <c r="E257" s="100" t="s">
        <v>58</v>
      </c>
      <c r="F257" s="84" t="s">
        <v>593</v>
      </c>
      <c r="G257" s="84" t="s">
        <v>594</v>
      </c>
      <c r="H257" s="94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8" t="s">
        <v>433</v>
      </c>
      <c r="O257" s="90" t="s">
        <v>67</v>
      </c>
      <c r="P257" s="90" t="s">
        <v>68</v>
      </c>
      <c r="Q257" s="150">
        <v>46166.0</v>
      </c>
      <c r="R257" s="103" t="s">
        <v>597</v>
      </c>
      <c r="S257" s="150">
        <v>46167.0</v>
      </c>
      <c r="T257" s="103"/>
      <c r="U257" s="90" t="s">
        <v>31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1" t="s">
        <v>600</v>
      </c>
      <c r="C258" s="82" t="str">
        <f>VLOOKUP($B$7:$B$5000,SUM!$L$6:$L$500,1,FALSE)</f>
        <v>#N/A</v>
      </c>
      <c r="D258" s="81" t="s">
        <v>592</v>
      </c>
      <c r="E258" s="100" t="s">
        <v>58</v>
      </c>
      <c r="F258" s="84" t="s">
        <v>593</v>
      </c>
      <c r="G258" s="84" t="s">
        <v>594</v>
      </c>
      <c r="H258" s="94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8" t="s">
        <v>433</v>
      </c>
      <c r="O258" s="90" t="s">
        <v>67</v>
      </c>
      <c r="P258" s="90" t="s">
        <v>68</v>
      </c>
      <c r="Q258" s="150">
        <v>46167.0</v>
      </c>
      <c r="R258" s="103" t="s">
        <v>597</v>
      </c>
      <c r="S258" s="150">
        <v>46168.0</v>
      </c>
      <c r="T258" s="103"/>
      <c r="U258" s="90" t="s">
        <v>31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1" t="s">
        <v>602</v>
      </c>
      <c r="C259" s="82" t="str">
        <f>VLOOKUP($B$7:$B$5000,SUM!$L$6:$L$500,1,FALSE)</f>
        <v>#N/A</v>
      </c>
      <c r="D259" s="81" t="s">
        <v>592</v>
      </c>
      <c r="E259" s="100" t="s">
        <v>58</v>
      </c>
      <c r="F259" s="84" t="s">
        <v>593</v>
      </c>
      <c r="G259" s="84" t="s">
        <v>594</v>
      </c>
      <c r="H259" s="94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8" t="s">
        <v>433</v>
      </c>
      <c r="O259" s="90" t="s">
        <v>67</v>
      </c>
      <c r="P259" s="90" t="s">
        <v>68</v>
      </c>
      <c r="Q259" s="151">
        <v>46168.0</v>
      </c>
      <c r="R259" s="107" t="s">
        <v>66</v>
      </c>
      <c r="S259" s="152">
        <v>46171.0</v>
      </c>
      <c r="T259" s="103"/>
      <c r="U259" s="97" t="s">
        <v>31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1" t="s">
        <v>604</v>
      </c>
      <c r="C260" s="82" t="str">
        <f>VLOOKUP($B$7:$B$5000,SUM!$L$6:$L$500,1,FALSE)</f>
        <v>#N/A</v>
      </c>
      <c r="D260" s="81" t="s">
        <v>592</v>
      </c>
      <c r="E260" s="100" t="s">
        <v>58</v>
      </c>
      <c r="F260" s="84" t="s">
        <v>593</v>
      </c>
      <c r="G260" s="84" t="s">
        <v>594</v>
      </c>
      <c r="H260" s="94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8" t="s">
        <v>433</v>
      </c>
      <c r="O260" s="90" t="s">
        <v>67</v>
      </c>
      <c r="P260" s="90" t="s">
        <v>68</v>
      </c>
      <c r="Q260" s="151">
        <v>46168.0</v>
      </c>
      <c r="R260" s="107" t="s">
        <v>66</v>
      </c>
      <c r="S260" s="152">
        <v>46171.0</v>
      </c>
      <c r="T260" s="103"/>
      <c r="U260" s="97" t="s">
        <v>31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1" t="s">
        <v>606</v>
      </c>
      <c r="C261" s="82" t="str">
        <f>VLOOKUP($B$7:$B$5000,SUM!$L$6:$L$500,1,FALSE)</f>
        <v>#N/A</v>
      </c>
      <c r="D261" s="81" t="s">
        <v>592</v>
      </c>
      <c r="E261" s="100" t="s">
        <v>58</v>
      </c>
      <c r="F261" s="84" t="s">
        <v>593</v>
      </c>
      <c r="G261" s="84" t="s">
        <v>594</v>
      </c>
      <c r="H261" s="94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8" t="s">
        <v>433</v>
      </c>
      <c r="O261" s="90" t="s">
        <v>67</v>
      </c>
      <c r="P261" s="90" t="s">
        <v>68</v>
      </c>
      <c r="Q261" s="153">
        <v>46169.0</v>
      </c>
      <c r="R261" s="154" t="s">
        <v>66</v>
      </c>
      <c r="S261" s="155">
        <v>46188.0</v>
      </c>
      <c r="T261" s="156"/>
      <c r="U261" s="154" t="s">
        <v>31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1" t="s">
        <v>608</v>
      </c>
      <c r="C262" s="82" t="str">
        <f>VLOOKUP($B$7:$B$5000,SUM!$L$6:$L$500,1,FALSE)</f>
        <v>#N/A</v>
      </c>
      <c r="D262" s="81" t="s">
        <v>592</v>
      </c>
      <c r="E262" s="100" t="s">
        <v>58</v>
      </c>
      <c r="F262" s="84" t="s">
        <v>593</v>
      </c>
      <c r="G262" s="84" t="s">
        <v>594</v>
      </c>
      <c r="H262" s="94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8" t="s">
        <v>433</v>
      </c>
      <c r="O262" s="90" t="s">
        <v>67</v>
      </c>
      <c r="P262" s="90" t="s">
        <v>68</v>
      </c>
      <c r="Q262" s="150">
        <v>46166.0</v>
      </c>
      <c r="R262" s="103" t="s">
        <v>597</v>
      </c>
      <c r="S262" s="150">
        <v>46167.0</v>
      </c>
      <c r="T262" s="103"/>
      <c r="U262" s="90" t="s">
        <v>31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1" t="s">
        <v>610</v>
      </c>
      <c r="C263" s="82" t="str">
        <f>VLOOKUP($B$7:$B$5000,SUM!$L$6:$L$500,1,FALSE)</f>
        <v>#N/A</v>
      </c>
      <c r="D263" s="81" t="s">
        <v>592</v>
      </c>
      <c r="E263" s="100" t="s">
        <v>58</v>
      </c>
      <c r="F263" s="84" t="s">
        <v>593</v>
      </c>
      <c r="G263" s="84" t="s">
        <v>594</v>
      </c>
      <c r="H263" s="94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8" t="s">
        <v>433</v>
      </c>
      <c r="O263" s="90" t="s">
        <v>67</v>
      </c>
      <c r="P263" s="90" t="s">
        <v>68</v>
      </c>
      <c r="Q263" s="153">
        <v>46169.0</v>
      </c>
      <c r="R263" s="154" t="s">
        <v>66</v>
      </c>
      <c r="S263" s="155">
        <v>46188.0</v>
      </c>
      <c r="T263" s="156"/>
      <c r="U263" s="154" t="s">
        <v>31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1" t="s">
        <v>612</v>
      </c>
      <c r="C264" s="82" t="str">
        <f>VLOOKUP($B$7:$B$5000,SUM!$L$6:$L$500,1,FALSE)</f>
        <v>#N/A</v>
      </c>
      <c r="D264" s="81" t="s">
        <v>592</v>
      </c>
      <c r="E264" s="100" t="s">
        <v>58</v>
      </c>
      <c r="F264" s="84" t="s">
        <v>593</v>
      </c>
      <c r="G264" s="84" t="s">
        <v>594</v>
      </c>
      <c r="H264" s="94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8" t="s">
        <v>433</v>
      </c>
      <c r="O264" s="90" t="s">
        <v>67</v>
      </c>
      <c r="P264" s="90" t="s">
        <v>68</v>
      </c>
      <c r="Q264" s="151">
        <v>46168.0</v>
      </c>
      <c r="R264" s="107" t="s">
        <v>66</v>
      </c>
      <c r="S264" s="152">
        <v>46171.0</v>
      </c>
      <c r="T264" s="103"/>
      <c r="U264" s="97" t="s">
        <v>31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1" t="s">
        <v>614</v>
      </c>
      <c r="C265" s="82" t="str">
        <f>VLOOKUP($B$7:$B$5000,SUM!$L$6:$L$500,1,FALSE)</f>
        <v>#N/A</v>
      </c>
      <c r="D265" s="81" t="s">
        <v>592</v>
      </c>
      <c r="E265" s="100" t="s">
        <v>58</v>
      </c>
      <c r="F265" s="84" t="s">
        <v>593</v>
      </c>
      <c r="G265" s="84" t="s">
        <v>594</v>
      </c>
      <c r="H265" s="94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8" t="s">
        <v>433</v>
      </c>
      <c r="O265" s="90" t="s">
        <v>67</v>
      </c>
      <c r="P265" s="90" t="s">
        <v>68</v>
      </c>
      <c r="Q265" s="153">
        <v>46169.0</v>
      </c>
      <c r="R265" s="154" t="s">
        <v>66</v>
      </c>
      <c r="S265" s="155">
        <v>46188.0</v>
      </c>
      <c r="T265" s="156"/>
      <c r="U265" s="154" t="s">
        <v>31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1" t="s">
        <v>616</v>
      </c>
      <c r="C266" s="82" t="str">
        <f>VLOOKUP($B$7:$B$5000,SUM!$L$6:$L$500,1,FALSE)</f>
        <v>#N/A</v>
      </c>
      <c r="D266" s="81" t="s">
        <v>592</v>
      </c>
      <c r="E266" s="100" t="s">
        <v>58</v>
      </c>
      <c r="F266" s="84" t="s">
        <v>593</v>
      </c>
      <c r="G266" s="84" t="s">
        <v>594</v>
      </c>
      <c r="H266" s="94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8" t="s">
        <v>433</v>
      </c>
      <c r="O266" s="90" t="s">
        <v>67</v>
      </c>
      <c r="P266" s="90" t="s">
        <v>68</v>
      </c>
      <c r="Q266" s="151">
        <v>46168.0</v>
      </c>
      <c r="R266" s="107" t="s">
        <v>66</v>
      </c>
      <c r="S266" s="152">
        <v>46171.0</v>
      </c>
      <c r="T266" s="103"/>
      <c r="U266" s="97" t="s">
        <v>31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1" t="s">
        <v>618</v>
      </c>
      <c r="C267" s="82" t="str">
        <f>VLOOKUP($B$7:$B$5000,SUM!$L$6:$L$500,1,FALSE)</f>
        <v>#N/A</v>
      </c>
      <c r="D267" s="81" t="s">
        <v>592</v>
      </c>
      <c r="E267" s="100" t="s">
        <v>58</v>
      </c>
      <c r="F267" s="84" t="s">
        <v>593</v>
      </c>
      <c r="G267" s="84" t="s">
        <v>594</v>
      </c>
      <c r="H267" s="94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8" t="s">
        <v>433</v>
      </c>
      <c r="O267" s="90" t="s">
        <v>67</v>
      </c>
      <c r="P267" s="90" t="s">
        <v>68</v>
      </c>
      <c r="Q267" s="153">
        <v>46169.0</v>
      </c>
      <c r="R267" s="154" t="s">
        <v>66</v>
      </c>
      <c r="S267" s="155">
        <v>46188.0</v>
      </c>
      <c r="T267" s="156"/>
      <c r="U267" s="154" t="s">
        <v>31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1" t="s">
        <v>620</v>
      </c>
      <c r="C268" s="82" t="str">
        <f>VLOOKUP($B$7:$B$5000,SUM!$L$6:$L$500,1,FALSE)</f>
        <v>#N/A</v>
      </c>
      <c r="D268" s="81" t="s">
        <v>592</v>
      </c>
      <c r="E268" s="100" t="s">
        <v>58</v>
      </c>
      <c r="F268" s="84" t="s">
        <v>593</v>
      </c>
      <c r="G268" s="84" t="s">
        <v>594</v>
      </c>
      <c r="H268" s="94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8" t="s">
        <v>433</v>
      </c>
      <c r="O268" s="90" t="s">
        <v>67</v>
      </c>
      <c r="P268" s="90" t="s">
        <v>68</v>
      </c>
      <c r="Q268" s="151">
        <v>46168.0</v>
      </c>
      <c r="R268" s="107" t="s">
        <v>66</v>
      </c>
      <c r="S268" s="152">
        <v>46171.0</v>
      </c>
      <c r="T268" s="103"/>
      <c r="U268" s="97" t="s">
        <v>31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1" t="s">
        <v>622</v>
      </c>
      <c r="C269" s="82" t="str">
        <f>VLOOKUP($B$7:$B$5000,SUM!$L$6:$L$500,1,FALSE)</f>
        <v>#N/A</v>
      </c>
      <c r="D269" s="81" t="s">
        <v>592</v>
      </c>
      <c r="E269" s="100" t="s">
        <v>58</v>
      </c>
      <c r="F269" s="84" t="s">
        <v>593</v>
      </c>
      <c r="G269" s="84" t="s">
        <v>594</v>
      </c>
      <c r="H269" s="94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8" t="s">
        <v>433</v>
      </c>
      <c r="O269" s="90" t="s">
        <v>67</v>
      </c>
      <c r="P269" s="90" t="s">
        <v>68</v>
      </c>
      <c r="Q269" s="150">
        <v>46166.0</v>
      </c>
      <c r="R269" s="103" t="s">
        <v>597</v>
      </c>
      <c r="S269" s="150">
        <v>46167.0</v>
      </c>
      <c r="T269" s="103"/>
      <c r="U269" s="90" t="s">
        <v>31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1" t="s">
        <v>624</v>
      </c>
      <c r="C270" s="82" t="str">
        <f>VLOOKUP($B$7:$B$5000,SUM!$L$6:$L$500,1,FALSE)</f>
        <v>#N/A</v>
      </c>
      <c r="D270" s="81" t="s">
        <v>592</v>
      </c>
      <c r="E270" s="100" t="s">
        <v>58</v>
      </c>
      <c r="F270" s="84" t="s">
        <v>593</v>
      </c>
      <c r="G270" s="84" t="s">
        <v>594</v>
      </c>
      <c r="H270" s="94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8" t="s">
        <v>433</v>
      </c>
      <c r="O270" s="90" t="s">
        <v>67</v>
      </c>
      <c r="P270" s="90" t="s">
        <v>68</v>
      </c>
      <c r="Q270" s="150">
        <v>46166.0</v>
      </c>
      <c r="R270" s="103" t="s">
        <v>597</v>
      </c>
      <c r="S270" s="150">
        <v>46167.0</v>
      </c>
      <c r="T270" s="103"/>
      <c r="U270" s="90" t="s">
        <v>31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1" t="s">
        <v>626</v>
      </c>
      <c r="C271" s="82" t="str">
        <f>VLOOKUP($B$7:$B$5000,SUM!$L$6:$L$500,1,FALSE)</f>
        <v>#N/A</v>
      </c>
      <c r="D271" s="81" t="s">
        <v>592</v>
      </c>
      <c r="E271" s="100" t="s">
        <v>58</v>
      </c>
      <c r="F271" s="84" t="s">
        <v>593</v>
      </c>
      <c r="G271" s="84" t="s">
        <v>594</v>
      </c>
      <c r="H271" s="94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8" t="s">
        <v>433</v>
      </c>
      <c r="O271" s="90" t="s">
        <v>67</v>
      </c>
      <c r="P271" s="90" t="s">
        <v>68</v>
      </c>
      <c r="Q271" s="150">
        <v>46166.0</v>
      </c>
      <c r="R271" s="103" t="s">
        <v>597</v>
      </c>
      <c r="S271" s="150">
        <v>46167.0</v>
      </c>
      <c r="T271" s="103"/>
      <c r="U271" s="90" t="s">
        <v>31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1" t="s">
        <v>628</v>
      </c>
      <c r="C272" s="82" t="str">
        <f>VLOOKUP($B$7:$B$5000,SUM!$L$6:$L$500,1,FALSE)</f>
        <v>#N/A</v>
      </c>
      <c r="D272" s="81" t="s">
        <v>592</v>
      </c>
      <c r="E272" s="100" t="s">
        <v>58</v>
      </c>
      <c r="F272" s="84" t="s">
        <v>593</v>
      </c>
      <c r="G272" s="84" t="s">
        <v>594</v>
      </c>
      <c r="H272" s="94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8" t="s">
        <v>433</v>
      </c>
      <c r="O272" s="90" t="s">
        <v>67</v>
      </c>
      <c r="P272" s="90" t="s">
        <v>68</v>
      </c>
      <c r="Q272" s="150">
        <v>46167.0</v>
      </c>
      <c r="R272" s="103" t="s">
        <v>597</v>
      </c>
      <c r="S272" s="150">
        <v>46168.0</v>
      </c>
      <c r="T272" s="103"/>
      <c r="U272" s="90" t="s">
        <v>31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1" t="s">
        <v>630</v>
      </c>
      <c r="C273" s="82" t="str">
        <f>VLOOKUP($B$7:$B$5000,SUM!$L$6:$L$500,1,FALSE)</f>
        <v>#N/A</v>
      </c>
      <c r="D273" s="81" t="s">
        <v>592</v>
      </c>
      <c r="E273" s="100" t="s">
        <v>58</v>
      </c>
      <c r="F273" s="84" t="s">
        <v>593</v>
      </c>
      <c r="G273" s="84" t="s">
        <v>594</v>
      </c>
      <c r="H273" s="94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8" t="s">
        <v>433</v>
      </c>
      <c r="O273" s="90" t="s">
        <v>67</v>
      </c>
      <c r="P273" s="90" t="s">
        <v>68</v>
      </c>
      <c r="Q273" s="150">
        <v>46166.0</v>
      </c>
      <c r="R273" s="103" t="s">
        <v>597</v>
      </c>
      <c r="S273" s="150">
        <v>46167.0</v>
      </c>
      <c r="T273" s="103"/>
      <c r="U273" s="90" t="s">
        <v>31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1" t="s">
        <v>632</v>
      </c>
      <c r="C274" s="82" t="str">
        <f>VLOOKUP($B$7:$B$5000,SUM!$L$6:$L$500,1,FALSE)</f>
        <v>#N/A</v>
      </c>
      <c r="D274" s="81" t="s">
        <v>592</v>
      </c>
      <c r="E274" s="100" t="s">
        <v>58</v>
      </c>
      <c r="F274" s="84" t="s">
        <v>593</v>
      </c>
      <c r="G274" s="84" t="s">
        <v>594</v>
      </c>
      <c r="H274" s="94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8" t="s">
        <v>433</v>
      </c>
      <c r="O274" s="90" t="s">
        <v>67</v>
      </c>
      <c r="P274" s="90" t="s">
        <v>68</v>
      </c>
      <c r="Q274" s="150">
        <v>46166.0</v>
      </c>
      <c r="R274" s="103" t="s">
        <v>597</v>
      </c>
      <c r="S274" s="150">
        <v>46167.0</v>
      </c>
      <c r="T274" s="103"/>
      <c r="U274" s="90" t="s">
        <v>31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1" t="s">
        <v>634</v>
      </c>
      <c r="C275" s="82" t="str">
        <f>VLOOKUP($B$7:$B$5000,SUM!$L$6:$L$500,1,FALSE)</f>
        <v>#N/A</v>
      </c>
      <c r="D275" s="81" t="s">
        <v>592</v>
      </c>
      <c r="E275" s="100" t="s">
        <v>58</v>
      </c>
      <c r="F275" s="84" t="s">
        <v>593</v>
      </c>
      <c r="G275" s="84" t="s">
        <v>594</v>
      </c>
      <c r="H275" s="94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8" t="s">
        <v>433</v>
      </c>
      <c r="O275" s="90" t="s">
        <v>67</v>
      </c>
      <c r="P275" s="90" t="s">
        <v>68</v>
      </c>
      <c r="Q275" s="151">
        <v>46168.0</v>
      </c>
      <c r="R275" s="107" t="s">
        <v>66</v>
      </c>
      <c r="S275" s="152">
        <v>46171.0</v>
      </c>
      <c r="T275" s="103"/>
      <c r="U275" s="97" t="s">
        <v>31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1" t="s">
        <v>636</v>
      </c>
      <c r="C276" s="82" t="str">
        <f>VLOOKUP($B$7:$B$5000,SUM!$L$6:$L$500,1,FALSE)</f>
        <v>#N/A</v>
      </c>
      <c r="D276" s="81" t="s">
        <v>592</v>
      </c>
      <c r="E276" s="100" t="s">
        <v>58</v>
      </c>
      <c r="F276" s="84" t="s">
        <v>593</v>
      </c>
      <c r="G276" s="84" t="s">
        <v>594</v>
      </c>
      <c r="H276" s="94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8" t="s">
        <v>433</v>
      </c>
      <c r="O276" s="90" t="s">
        <v>67</v>
      </c>
      <c r="P276" s="90" t="s">
        <v>68</v>
      </c>
      <c r="Q276" s="150">
        <v>46167.0</v>
      </c>
      <c r="R276" s="103" t="s">
        <v>597</v>
      </c>
      <c r="S276" s="150">
        <v>46168.0</v>
      </c>
      <c r="T276" s="103"/>
      <c r="U276" s="90" t="s">
        <v>31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1" t="s">
        <v>638</v>
      </c>
      <c r="C277" s="82" t="str">
        <f>VLOOKUP($B$7:$B$5000,SUM!$L$6:$L$500,1,FALSE)</f>
        <v>#N/A</v>
      </c>
      <c r="D277" s="81" t="s">
        <v>592</v>
      </c>
      <c r="E277" s="100" t="s">
        <v>58</v>
      </c>
      <c r="F277" s="84" t="s">
        <v>593</v>
      </c>
      <c r="G277" s="84" t="s">
        <v>594</v>
      </c>
      <c r="H277" s="94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8" t="s">
        <v>433</v>
      </c>
      <c r="O277" s="90" t="s">
        <v>67</v>
      </c>
      <c r="P277" s="90" t="s">
        <v>68</v>
      </c>
      <c r="Q277" s="151">
        <v>46168.0</v>
      </c>
      <c r="R277" s="107" t="s">
        <v>66</v>
      </c>
      <c r="S277" s="152">
        <v>46171.0</v>
      </c>
      <c r="T277" s="103"/>
      <c r="U277" s="97" t="s">
        <v>31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1" t="s">
        <v>640</v>
      </c>
      <c r="C278" s="82" t="str">
        <f>VLOOKUP($B$7:$B$5000,SUM!$L$6:$L$500,1,FALSE)</f>
        <v>#N/A</v>
      </c>
      <c r="D278" s="81" t="s">
        <v>592</v>
      </c>
      <c r="E278" s="100" t="s">
        <v>58</v>
      </c>
      <c r="F278" s="84" t="s">
        <v>593</v>
      </c>
      <c r="G278" s="84" t="s">
        <v>594</v>
      </c>
      <c r="H278" s="94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8" t="s">
        <v>433</v>
      </c>
      <c r="O278" s="90" t="s">
        <v>67</v>
      </c>
      <c r="P278" s="90" t="s">
        <v>68</v>
      </c>
      <c r="Q278" s="150">
        <v>46166.0</v>
      </c>
      <c r="R278" s="103" t="s">
        <v>597</v>
      </c>
      <c r="S278" s="150">
        <v>46167.0</v>
      </c>
      <c r="T278" s="103"/>
      <c r="U278" s="90" t="s">
        <v>31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1" t="s">
        <v>642</v>
      </c>
      <c r="C279" s="82" t="str">
        <f>VLOOKUP($B$7:$B$5000,SUM!$L$6:$L$500,1,FALSE)</f>
        <v>#N/A</v>
      </c>
      <c r="D279" s="81" t="s">
        <v>592</v>
      </c>
      <c r="E279" s="100" t="s">
        <v>58</v>
      </c>
      <c r="F279" s="84" t="s">
        <v>593</v>
      </c>
      <c r="G279" s="84" t="s">
        <v>594</v>
      </c>
      <c r="H279" s="94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8" t="s">
        <v>433</v>
      </c>
      <c r="O279" s="90" t="s">
        <v>67</v>
      </c>
      <c r="P279" s="90" t="s">
        <v>68</v>
      </c>
      <c r="Q279" s="151">
        <v>46168.0</v>
      </c>
      <c r="R279" s="107" t="s">
        <v>66</v>
      </c>
      <c r="S279" s="152">
        <v>46171.0</v>
      </c>
      <c r="T279" s="103"/>
      <c r="U279" s="97" t="s">
        <v>31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1" t="s">
        <v>644</v>
      </c>
      <c r="C280" s="82" t="str">
        <f>VLOOKUP($B$7:$B$5000,SUM!$L$6:$L$500,1,FALSE)</f>
        <v>#N/A</v>
      </c>
      <c r="D280" s="81" t="s">
        <v>592</v>
      </c>
      <c r="E280" s="100" t="s">
        <v>58</v>
      </c>
      <c r="F280" s="84" t="s">
        <v>593</v>
      </c>
      <c r="G280" s="84" t="s">
        <v>594</v>
      </c>
      <c r="H280" s="94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8" t="s">
        <v>433</v>
      </c>
      <c r="O280" s="90" t="s">
        <v>67</v>
      </c>
      <c r="P280" s="90" t="s">
        <v>68</v>
      </c>
      <c r="Q280" s="151">
        <v>46168.0</v>
      </c>
      <c r="R280" s="107" t="s">
        <v>66</v>
      </c>
      <c r="S280" s="152">
        <v>46171.0</v>
      </c>
      <c r="T280" s="103"/>
      <c r="U280" s="97" t="s">
        <v>31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1" t="s">
        <v>646</v>
      </c>
      <c r="C281" s="82" t="str">
        <f>VLOOKUP($B$7:$B$5000,SUM!$L$6:$L$500,1,FALSE)</f>
        <v>#N/A</v>
      </c>
      <c r="D281" s="81" t="s">
        <v>592</v>
      </c>
      <c r="E281" s="100" t="s">
        <v>58</v>
      </c>
      <c r="F281" s="84" t="s">
        <v>593</v>
      </c>
      <c r="G281" s="84" t="s">
        <v>594</v>
      </c>
      <c r="H281" s="94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8" t="s">
        <v>433</v>
      </c>
      <c r="O281" s="90" t="s">
        <v>67</v>
      </c>
      <c r="P281" s="90" t="s">
        <v>68</v>
      </c>
      <c r="Q281" s="151">
        <v>46168.0</v>
      </c>
      <c r="R281" s="107" t="s">
        <v>66</v>
      </c>
      <c r="S281" s="152">
        <v>46171.0</v>
      </c>
      <c r="T281" s="103"/>
      <c r="U281" s="97" t="s">
        <v>31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1" t="s">
        <v>648</v>
      </c>
      <c r="C282" s="82" t="str">
        <f>VLOOKUP($B$7:$B$5000,SUM!$L$6:$L$500,1,FALSE)</f>
        <v>#N/A</v>
      </c>
      <c r="D282" s="81" t="s">
        <v>592</v>
      </c>
      <c r="E282" s="100" t="s">
        <v>58</v>
      </c>
      <c r="F282" s="84" t="s">
        <v>593</v>
      </c>
      <c r="G282" s="84" t="s">
        <v>594</v>
      </c>
      <c r="H282" s="94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8" t="s">
        <v>433</v>
      </c>
      <c r="O282" s="90" t="s">
        <v>67</v>
      </c>
      <c r="P282" s="90" t="s">
        <v>68</v>
      </c>
      <c r="Q282" s="150">
        <v>46166.0</v>
      </c>
      <c r="R282" s="103" t="s">
        <v>597</v>
      </c>
      <c r="S282" s="150">
        <v>46167.0</v>
      </c>
      <c r="T282" s="103"/>
      <c r="U282" s="90" t="s">
        <v>31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1" t="s">
        <v>650</v>
      </c>
      <c r="C283" s="82" t="str">
        <f>VLOOKUP($B$7:$B$5000,SUM!$L$6:$L$500,1,FALSE)</f>
        <v>#N/A</v>
      </c>
      <c r="D283" s="81" t="s">
        <v>592</v>
      </c>
      <c r="E283" s="100" t="s">
        <v>58</v>
      </c>
      <c r="F283" s="84" t="s">
        <v>593</v>
      </c>
      <c r="G283" s="84" t="s">
        <v>594</v>
      </c>
      <c r="H283" s="94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8" t="s">
        <v>433</v>
      </c>
      <c r="O283" s="90" t="s">
        <v>67</v>
      </c>
      <c r="P283" s="90" t="s">
        <v>68</v>
      </c>
      <c r="Q283" s="151">
        <v>46168.0</v>
      </c>
      <c r="R283" s="107" t="s">
        <v>66</v>
      </c>
      <c r="S283" s="152">
        <v>46171.0</v>
      </c>
      <c r="T283" s="103"/>
      <c r="U283" s="97" t="s">
        <v>31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1" t="s">
        <v>652</v>
      </c>
      <c r="C284" s="82" t="str">
        <f>VLOOKUP($B$7:$B$5000,SUM!$L$6:$L$500,1,FALSE)</f>
        <v>#N/A</v>
      </c>
      <c r="D284" s="81" t="s">
        <v>592</v>
      </c>
      <c r="E284" s="100" t="s">
        <v>58</v>
      </c>
      <c r="F284" s="84" t="s">
        <v>593</v>
      </c>
      <c r="G284" s="84" t="s">
        <v>594</v>
      </c>
      <c r="H284" s="94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8" t="s">
        <v>433</v>
      </c>
      <c r="O284" s="90" t="s">
        <v>67</v>
      </c>
      <c r="P284" s="90" t="s">
        <v>68</v>
      </c>
      <c r="Q284" s="151">
        <v>46168.0</v>
      </c>
      <c r="R284" s="107" t="s">
        <v>66</v>
      </c>
      <c r="S284" s="152">
        <v>46171.0</v>
      </c>
      <c r="T284" s="103"/>
      <c r="U284" s="97" t="s">
        <v>31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1" t="s">
        <v>654</v>
      </c>
      <c r="C285" s="82" t="str">
        <f>VLOOKUP($B$7:$B$5000,SUM!$L$6:$L$500,1,FALSE)</f>
        <v>#N/A</v>
      </c>
      <c r="D285" s="81" t="s">
        <v>592</v>
      </c>
      <c r="E285" s="100" t="s">
        <v>58</v>
      </c>
      <c r="F285" s="84" t="s">
        <v>593</v>
      </c>
      <c r="G285" s="84" t="s">
        <v>594</v>
      </c>
      <c r="H285" s="94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8" t="s">
        <v>433</v>
      </c>
      <c r="O285" s="90" t="s">
        <v>67</v>
      </c>
      <c r="P285" s="90" t="s">
        <v>68</v>
      </c>
      <c r="Q285" s="150">
        <v>46166.0</v>
      </c>
      <c r="R285" s="103" t="s">
        <v>597</v>
      </c>
      <c r="S285" s="150">
        <v>46167.0</v>
      </c>
      <c r="T285" s="103"/>
      <c r="U285" s="90" t="s">
        <v>31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1" t="s">
        <v>656</v>
      </c>
      <c r="C286" s="82" t="str">
        <f>VLOOKUP($B$7:$B$5000,SUM!$L$6:$L$500,1,FALSE)</f>
        <v>#N/A</v>
      </c>
      <c r="D286" s="81" t="s">
        <v>592</v>
      </c>
      <c r="E286" s="100" t="s">
        <v>58</v>
      </c>
      <c r="F286" s="84" t="s">
        <v>593</v>
      </c>
      <c r="G286" s="84" t="s">
        <v>594</v>
      </c>
      <c r="H286" s="94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8" t="s">
        <v>433</v>
      </c>
      <c r="O286" s="90" t="s">
        <v>67</v>
      </c>
      <c r="P286" s="90" t="s">
        <v>68</v>
      </c>
      <c r="Q286" s="151">
        <v>46168.0</v>
      </c>
      <c r="R286" s="107" t="s">
        <v>66</v>
      </c>
      <c r="S286" s="152">
        <v>46171.0</v>
      </c>
      <c r="T286" s="103"/>
      <c r="U286" s="97" t="s">
        <v>31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1" t="s">
        <v>658</v>
      </c>
      <c r="C287" s="82" t="str">
        <f>VLOOKUP($B$7:$B$5000,SUM!$L$6:$L$500,1,FALSE)</f>
        <v>#N/A</v>
      </c>
      <c r="D287" s="81" t="s">
        <v>592</v>
      </c>
      <c r="E287" s="100" t="s">
        <v>58</v>
      </c>
      <c r="F287" s="84" t="s">
        <v>593</v>
      </c>
      <c r="G287" s="84" t="s">
        <v>594</v>
      </c>
      <c r="H287" s="94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8" t="s">
        <v>433</v>
      </c>
      <c r="O287" s="90" t="s">
        <v>67</v>
      </c>
      <c r="P287" s="90" t="s">
        <v>68</v>
      </c>
      <c r="Q287" s="150">
        <v>46167.0</v>
      </c>
      <c r="R287" s="103" t="s">
        <v>597</v>
      </c>
      <c r="S287" s="150">
        <v>46168.0</v>
      </c>
      <c r="T287" s="103"/>
      <c r="U287" s="90" t="s">
        <v>31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1" t="s">
        <v>660</v>
      </c>
      <c r="C288" s="82" t="str">
        <f>VLOOKUP($B$7:$B$5000,SUM!$L$6:$L$500,1,FALSE)</f>
        <v>#N/A</v>
      </c>
      <c r="D288" s="81" t="s">
        <v>592</v>
      </c>
      <c r="E288" s="100" t="s">
        <v>58</v>
      </c>
      <c r="F288" s="84" t="s">
        <v>593</v>
      </c>
      <c r="G288" s="84" t="s">
        <v>594</v>
      </c>
      <c r="H288" s="94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8" t="s">
        <v>433</v>
      </c>
      <c r="O288" s="90" t="s">
        <v>67</v>
      </c>
      <c r="P288" s="90" t="s">
        <v>68</v>
      </c>
      <c r="Q288" s="151">
        <v>46168.0</v>
      </c>
      <c r="R288" s="107" t="s">
        <v>66</v>
      </c>
      <c r="S288" s="152">
        <v>46171.0</v>
      </c>
      <c r="T288" s="103"/>
      <c r="U288" s="97" t="s">
        <v>31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1" t="s">
        <v>662</v>
      </c>
      <c r="C289" s="82" t="str">
        <f>VLOOKUP($B$7:$B$5000,SUM!$L$6:$L$500,1,FALSE)</f>
        <v>#N/A</v>
      </c>
      <c r="D289" s="81" t="s">
        <v>592</v>
      </c>
      <c r="E289" s="100" t="s">
        <v>58</v>
      </c>
      <c r="F289" s="84" t="s">
        <v>593</v>
      </c>
      <c r="G289" s="84" t="s">
        <v>594</v>
      </c>
      <c r="H289" s="94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8" t="s">
        <v>433</v>
      </c>
      <c r="O289" s="90" t="s">
        <v>67</v>
      </c>
      <c r="P289" s="90" t="s">
        <v>68</v>
      </c>
      <c r="Q289" s="150">
        <v>46166.0</v>
      </c>
      <c r="R289" s="103" t="s">
        <v>597</v>
      </c>
      <c r="S289" s="150">
        <v>46167.0</v>
      </c>
      <c r="T289" s="103"/>
      <c r="U289" s="90" t="s">
        <v>31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1" t="s">
        <v>664</v>
      </c>
      <c r="C290" s="82" t="str">
        <f>VLOOKUP($B$7:$B$5000,SUM!$L$6:$L$500,1,FALSE)</f>
        <v>#N/A</v>
      </c>
      <c r="D290" s="81" t="s">
        <v>592</v>
      </c>
      <c r="E290" s="100" t="s">
        <v>58</v>
      </c>
      <c r="F290" s="84" t="s">
        <v>593</v>
      </c>
      <c r="G290" s="84" t="s">
        <v>594</v>
      </c>
      <c r="H290" s="94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8" t="s">
        <v>433</v>
      </c>
      <c r="O290" s="90" t="s">
        <v>67</v>
      </c>
      <c r="P290" s="90" t="s">
        <v>68</v>
      </c>
      <c r="Q290" s="150">
        <v>46166.0</v>
      </c>
      <c r="R290" s="103" t="s">
        <v>597</v>
      </c>
      <c r="S290" s="150">
        <v>46167.0</v>
      </c>
      <c r="T290" s="103"/>
      <c r="U290" s="90" t="s">
        <v>31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1" t="s">
        <v>666</v>
      </c>
      <c r="C291" s="82" t="str">
        <f>VLOOKUP($B$7:$B$5000,SUM!$L$6:$L$500,1,FALSE)</f>
        <v>#N/A</v>
      </c>
      <c r="D291" s="81" t="s">
        <v>592</v>
      </c>
      <c r="E291" s="100" t="s">
        <v>58</v>
      </c>
      <c r="F291" s="84" t="s">
        <v>593</v>
      </c>
      <c r="G291" s="84" t="s">
        <v>594</v>
      </c>
      <c r="H291" s="94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8" t="s">
        <v>433</v>
      </c>
      <c r="O291" s="90" t="s">
        <v>67</v>
      </c>
      <c r="P291" s="90" t="s">
        <v>68</v>
      </c>
      <c r="Q291" s="153">
        <v>46169.0</v>
      </c>
      <c r="R291" s="154" t="s">
        <v>66</v>
      </c>
      <c r="S291" s="155">
        <v>46188.0</v>
      </c>
      <c r="T291" s="156"/>
      <c r="U291" s="154" t="s">
        <v>31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1" t="s">
        <v>668</v>
      </c>
      <c r="C292" s="82" t="str">
        <f>VLOOKUP($B$7:$B$5000,SUM!$L$6:$L$500,1,FALSE)</f>
        <v>#N/A</v>
      </c>
      <c r="D292" s="81" t="s">
        <v>592</v>
      </c>
      <c r="E292" s="100" t="s">
        <v>58</v>
      </c>
      <c r="F292" s="84" t="s">
        <v>593</v>
      </c>
      <c r="G292" s="84" t="s">
        <v>594</v>
      </c>
      <c r="H292" s="94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8" t="s">
        <v>433</v>
      </c>
      <c r="O292" s="90" t="s">
        <v>67</v>
      </c>
      <c r="P292" s="90" t="s">
        <v>68</v>
      </c>
      <c r="Q292" s="150">
        <v>46166.0</v>
      </c>
      <c r="R292" s="103" t="s">
        <v>597</v>
      </c>
      <c r="S292" s="150">
        <v>46167.0</v>
      </c>
      <c r="T292" s="103"/>
      <c r="U292" s="90" t="s">
        <v>31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1" t="s">
        <v>670</v>
      </c>
      <c r="C293" s="82" t="str">
        <f>VLOOKUP($B$7:$B$5000,SUM!$L$6:$L$500,1,FALSE)</f>
        <v>#N/A</v>
      </c>
      <c r="D293" s="81" t="s">
        <v>592</v>
      </c>
      <c r="E293" s="100" t="s">
        <v>58</v>
      </c>
      <c r="F293" s="84" t="s">
        <v>593</v>
      </c>
      <c r="G293" s="84" t="s">
        <v>594</v>
      </c>
      <c r="H293" s="94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8" t="s">
        <v>433</v>
      </c>
      <c r="O293" s="90" t="s">
        <v>67</v>
      </c>
      <c r="P293" s="90" t="s">
        <v>68</v>
      </c>
      <c r="Q293" s="150">
        <v>46166.0</v>
      </c>
      <c r="R293" s="103" t="s">
        <v>597</v>
      </c>
      <c r="S293" s="150">
        <v>46167.0</v>
      </c>
      <c r="T293" s="103"/>
      <c r="U293" s="90" t="s">
        <v>31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1" t="s">
        <v>672</v>
      </c>
      <c r="C294" s="82" t="str">
        <f>VLOOKUP($B$7:$B$5000,SUM!$L$6:$L$500,1,FALSE)</f>
        <v>#N/A</v>
      </c>
      <c r="D294" s="81" t="s">
        <v>592</v>
      </c>
      <c r="E294" s="100" t="s">
        <v>58</v>
      </c>
      <c r="F294" s="84" t="s">
        <v>593</v>
      </c>
      <c r="G294" s="84" t="s">
        <v>594</v>
      </c>
      <c r="H294" s="94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8" t="s">
        <v>433</v>
      </c>
      <c r="O294" s="90" t="s">
        <v>67</v>
      </c>
      <c r="P294" s="90" t="s">
        <v>68</v>
      </c>
      <c r="Q294" s="150">
        <v>46167.0</v>
      </c>
      <c r="R294" s="103" t="s">
        <v>597</v>
      </c>
      <c r="S294" s="150">
        <v>46168.0</v>
      </c>
      <c r="T294" s="103"/>
      <c r="U294" s="90" t="s">
        <v>31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1" t="s">
        <v>674</v>
      </c>
      <c r="C295" s="82" t="str">
        <f>VLOOKUP($B$7:$B$5000,SUM!$L$6:$L$500,1,FALSE)</f>
        <v>#N/A</v>
      </c>
      <c r="D295" s="81" t="s">
        <v>592</v>
      </c>
      <c r="E295" s="100" t="s">
        <v>58</v>
      </c>
      <c r="F295" s="84" t="s">
        <v>593</v>
      </c>
      <c r="G295" s="84" t="s">
        <v>594</v>
      </c>
      <c r="H295" s="94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8" t="s">
        <v>433</v>
      </c>
      <c r="O295" s="90" t="s">
        <v>67</v>
      </c>
      <c r="P295" s="90" t="s">
        <v>68</v>
      </c>
      <c r="Q295" s="151">
        <v>46168.0</v>
      </c>
      <c r="R295" s="107" t="s">
        <v>66</v>
      </c>
      <c r="S295" s="152">
        <v>46171.0</v>
      </c>
      <c r="T295" s="103"/>
      <c r="U295" s="97" t="s">
        <v>31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1" t="s">
        <v>676</v>
      </c>
      <c r="C296" s="82" t="str">
        <f>VLOOKUP($B$7:$B$5000,SUM!$L$6:$L$500,1,FALSE)</f>
        <v>#N/A</v>
      </c>
      <c r="D296" s="81" t="s">
        <v>592</v>
      </c>
      <c r="E296" s="100" t="s">
        <v>58</v>
      </c>
      <c r="F296" s="84" t="s">
        <v>593</v>
      </c>
      <c r="G296" s="84" t="s">
        <v>594</v>
      </c>
      <c r="H296" s="94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8" t="s">
        <v>433</v>
      </c>
      <c r="O296" s="90" t="s">
        <v>67</v>
      </c>
      <c r="P296" s="90" t="s">
        <v>68</v>
      </c>
      <c r="Q296" s="151">
        <v>46168.0</v>
      </c>
      <c r="R296" s="107" t="s">
        <v>66</v>
      </c>
      <c r="S296" s="152">
        <v>46171.0</v>
      </c>
      <c r="T296" s="103"/>
      <c r="U296" s="97" t="s">
        <v>31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1" t="s">
        <v>678</v>
      </c>
      <c r="C297" s="82" t="str">
        <f>VLOOKUP($B$7:$B$5000,SUM!$L$6:$L$500,1,FALSE)</f>
        <v>#N/A</v>
      </c>
      <c r="D297" s="81" t="s">
        <v>592</v>
      </c>
      <c r="E297" s="100" t="s">
        <v>58</v>
      </c>
      <c r="F297" s="84" t="s">
        <v>593</v>
      </c>
      <c r="G297" s="84" t="s">
        <v>594</v>
      </c>
      <c r="H297" s="94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8" t="s">
        <v>433</v>
      </c>
      <c r="O297" s="90" t="s">
        <v>67</v>
      </c>
      <c r="P297" s="90" t="s">
        <v>68</v>
      </c>
      <c r="Q297" s="150">
        <v>46167.0</v>
      </c>
      <c r="R297" s="103" t="s">
        <v>597</v>
      </c>
      <c r="S297" s="150">
        <v>46168.0</v>
      </c>
      <c r="T297" s="103"/>
      <c r="U297" s="90" t="s">
        <v>31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1" t="s">
        <v>680</v>
      </c>
      <c r="C298" s="82" t="str">
        <f>VLOOKUP($B$7:$B$5000,SUM!$L$6:$L$500,1,FALSE)</f>
        <v>#N/A</v>
      </c>
      <c r="D298" s="81" t="s">
        <v>592</v>
      </c>
      <c r="E298" s="100" t="s">
        <v>58</v>
      </c>
      <c r="F298" s="84" t="s">
        <v>593</v>
      </c>
      <c r="G298" s="84" t="s">
        <v>594</v>
      </c>
      <c r="H298" s="94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8" t="s">
        <v>433</v>
      </c>
      <c r="O298" s="90" t="s">
        <v>67</v>
      </c>
      <c r="P298" s="90" t="s">
        <v>68</v>
      </c>
      <c r="Q298" s="151">
        <v>46168.0</v>
      </c>
      <c r="R298" s="107" t="s">
        <v>66</v>
      </c>
      <c r="S298" s="152">
        <v>46171.0</v>
      </c>
      <c r="T298" s="103"/>
      <c r="U298" s="97" t="s">
        <v>31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1" t="s">
        <v>682</v>
      </c>
      <c r="C299" s="82" t="str">
        <f>VLOOKUP($B$7:$B$5000,SUM!$L$6:$L$500,1,FALSE)</f>
        <v>#N/A</v>
      </c>
      <c r="D299" s="81" t="s">
        <v>592</v>
      </c>
      <c r="E299" s="100" t="s">
        <v>58</v>
      </c>
      <c r="F299" s="84" t="s">
        <v>593</v>
      </c>
      <c r="G299" s="84" t="s">
        <v>594</v>
      </c>
      <c r="H299" s="94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8" t="s">
        <v>433</v>
      </c>
      <c r="O299" s="90" t="s">
        <v>67</v>
      </c>
      <c r="P299" s="90" t="s">
        <v>68</v>
      </c>
      <c r="Q299" s="151">
        <v>46168.0</v>
      </c>
      <c r="R299" s="107" t="s">
        <v>66</v>
      </c>
      <c r="S299" s="152">
        <v>46171.0</v>
      </c>
      <c r="T299" s="103"/>
      <c r="U299" s="97" t="s">
        <v>31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1" t="s">
        <v>684</v>
      </c>
      <c r="C300" s="82" t="str">
        <f>VLOOKUP($B$7:$B$5000,SUM!$L$6:$L$500,1,FALSE)</f>
        <v>#N/A</v>
      </c>
      <c r="D300" s="81" t="s">
        <v>592</v>
      </c>
      <c r="E300" s="100" t="s">
        <v>58</v>
      </c>
      <c r="F300" s="84" t="s">
        <v>593</v>
      </c>
      <c r="G300" s="84" t="s">
        <v>594</v>
      </c>
      <c r="H300" s="94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8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1" t="s">
        <v>686</v>
      </c>
      <c r="C301" s="82" t="str">
        <f>VLOOKUP($B$7:$B$5000,SUM!$L$6:$L$500,1,FALSE)</f>
        <v>#N/A</v>
      </c>
      <c r="D301" s="81" t="s">
        <v>592</v>
      </c>
      <c r="E301" s="100" t="s">
        <v>58</v>
      </c>
      <c r="F301" s="84" t="s">
        <v>593</v>
      </c>
      <c r="G301" s="84" t="s">
        <v>594</v>
      </c>
      <c r="H301" s="94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8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1" t="s">
        <v>687</v>
      </c>
      <c r="C302" s="82" t="str">
        <f>VLOOKUP($B$7:$B$5000,SUM!$L$6:$L$500,1,FALSE)</f>
        <v>#N/A</v>
      </c>
      <c r="D302" s="81" t="s">
        <v>592</v>
      </c>
      <c r="E302" s="100" t="s">
        <v>58</v>
      </c>
      <c r="F302" s="84" t="s">
        <v>593</v>
      </c>
      <c r="G302" s="84" t="s">
        <v>594</v>
      </c>
      <c r="H302" s="94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8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1" t="s">
        <v>688</v>
      </c>
      <c r="C303" s="82" t="str">
        <f>VLOOKUP($B$7:$B$5000,SUM!$L$6:$L$500,1,FALSE)</f>
        <v>#N/A</v>
      </c>
      <c r="D303" s="81" t="s">
        <v>592</v>
      </c>
      <c r="E303" s="100" t="s">
        <v>58</v>
      </c>
      <c r="F303" s="84" t="s">
        <v>593</v>
      </c>
      <c r="G303" s="84" t="s">
        <v>594</v>
      </c>
      <c r="H303" s="94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8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1" t="s">
        <v>689</v>
      </c>
      <c r="C304" s="82" t="str">
        <f>VLOOKUP($B$7:$B$5000,SUM!$L$6:$L$500,1,FALSE)</f>
        <v>#N/A</v>
      </c>
      <c r="D304" s="81" t="s">
        <v>592</v>
      </c>
      <c r="E304" s="100" t="s">
        <v>58</v>
      </c>
      <c r="F304" s="84" t="s">
        <v>593</v>
      </c>
      <c r="G304" s="84" t="s">
        <v>594</v>
      </c>
      <c r="H304" s="94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8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1" t="s">
        <v>690</v>
      </c>
      <c r="C305" s="82" t="str">
        <f>VLOOKUP($B$7:$B$5000,SUM!$L$6:$L$500,1,FALSE)</f>
        <v>#N/A</v>
      </c>
      <c r="D305" s="81" t="s">
        <v>592</v>
      </c>
      <c r="E305" s="100" t="s">
        <v>58</v>
      </c>
      <c r="F305" s="84" t="s">
        <v>593</v>
      </c>
      <c r="G305" s="84" t="s">
        <v>594</v>
      </c>
      <c r="H305" s="94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8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1" t="s">
        <v>691</v>
      </c>
      <c r="C306" s="82" t="str">
        <f>VLOOKUP($B$7:$B$5000,SUM!$L$6:$L$500,1,FALSE)</f>
        <v>#N/A</v>
      </c>
      <c r="D306" s="81" t="s">
        <v>592</v>
      </c>
      <c r="E306" s="100" t="s">
        <v>58</v>
      </c>
      <c r="F306" s="84" t="s">
        <v>593</v>
      </c>
      <c r="G306" s="84" t="s">
        <v>594</v>
      </c>
      <c r="H306" s="94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8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1" t="s">
        <v>692</v>
      </c>
      <c r="C307" s="82" t="str">
        <f>VLOOKUP($B$7:$B$5000,SUM!$L$6:$L$500,1,FALSE)</f>
        <v>#N/A</v>
      </c>
      <c r="D307" s="81" t="s">
        <v>592</v>
      </c>
      <c r="E307" s="100" t="s">
        <v>58</v>
      </c>
      <c r="F307" s="84" t="s">
        <v>593</v>
      </c>
      <c r="G307" s="84" t="s">
        <v>594</v>
      </c>
      <c r="H307" s="94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8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1" t="s">
        <v>693</v>
      </c>
      <c r="C308" s="82" t="str">
        <f>VLOOKUP($B$7:$B$5000,SUM!$L$6:$L$500,1,FALSE)</f>
        <v>#N/A</v>
      </c>
      <c r="D308" s="81" t="s">
        <v>592</v>
      </c>
      <c r="E308" s="100" t="s">
        <v>58</v>
      </c>
      <c r="F308" s="84" t="s">
        <v>593</v>
      </c>
      <c r="G308" s="84" t="s">
        <v>594</v>
      </c>
      <c r="H308" s="94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8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1" t="s">
        <v>694</v>
      </c>
      <c r="C309" s="82" t="str">
        <f>VLOOKUP($B$7:$B$5000,SUM!$L$6:$L$500,1,FALSE)</f>
        <v>#N/A</v>
      </c>
      <c r="D309" s="81" t="s">
        <v>592</v>
      </c>
      <c r="E309" s="100" t="s">
        <v>58</v>
      </c>
      <c r="F309" s="84" t="s">
        <v>593</v>
      </c>
      <c r="G309" s="84" t="s">
        <v>594</v>
      </c>
      <c r="H309" s="94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8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1" t="s">
        <v>695</v>
      </c>
      <c r="C310" s="82" t="str">
        <f>VLOOKUP($B$7:$B$5000,SUM!$L$6:$L$500,1,FALSE)</f>
        <v>#N/A</v>
      </c>
      <c r="D310" s="81" t="s">
        <v>592</v>
      </c>
      <c r="E310" s="100" t="s">
        <v>58</v>
      </c>
      <c r="F310" s="84" t="s">
        <v>593</v>
      </c>
      <c r="G310" s="84" t="s">
        <v>594</v>
      </c>
      <c r="H310" s="94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8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1" t="s">
        <v>696</v>
      </c>
      <c r="C311" s="82" t="str">
        <f>VLOOKUP($B$7:$B$5000,SUM!$L$6:$L$500,1,FALSE)</f>
        <v>#N/A</v>
      </c>
      <c r="D311" s="81" t="s">
        <v>592</v>
      </c>
      <c r="E311" s="100" t="s">
        <v>58</v>
      </c>
      <c r="F311" s="84" t="s">
        <v>593</v>
      </c>
      <c r="G311" s="84" t="s">
        <v>594</v>
      </c>
      <c r="H311" s="94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8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1" t="s">
        <v>697</v>
      </c>
      <c r="C312" s="82" t="str">
        <f>VLOOKUP($B$7:$B$5000,SUM!$L$6:$L$500,1,FALSE)</f>
        <v>#N/A</v>
      </c>
      <c r="D312" s="81" t="s">
        <v>592</v>
      </c>
      <c r="E312" s="100" t="s">
        <v>58</v>
      </c>
      <c r="F312" s="84" t="s">
        <v>593</v>
      </c>
      <c r="G312" s="84" t="s">
        <v>594</v>
      </c>
      <c r="H312" s="94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8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1" t="s">
        <v>698</v>
      </c>
      <c r="C313" s="82" t="str">
        <f>VLOOKUP($B$7:$B$5000,SUM!$L$6:$L$500,1,FALSE)</f>
        <v>#N/A</v>
      </c>
      <c r="D313" s="81" t="s">
        <v>592</v>
      </c>
      <c r="E313" s="100" t="s">
        <v>58</v>
      </c>
      <c r="F313" s="84" t="s">
        <v>593</v>
      </c>
      <c r="G313" s="84" t="s">
        <v>594</v>
      </c>
      <c r="H313" s="94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8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1" t="s">
        <v>699</v>
      </c>
      <c r="C314" s="82" t="str">
        <f>VLOOKUP($B$7:$B$5000,SUM!$L$6:$L$500,1,FALSE)</f>
        <v>#N/A</v>
      </c>
      <c r="D314" s="81" t="s">
        <v>592</v>
      </c>
      <c r="E314" s="100" t="s">
        <v>58</v>
      </c>
      <c r="F314" s="84" t="s">
        <v>593</v>
      </c>
      <c r="G314" s="84" t="s">
        <v>594</v>
      </c>
      <c r="H314" s="94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8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1" t="s">
        <v>700</v>
      </c>
      <c r="C315" s="82" t="str">
        <f>VLOOKUP($B$7:$B$5000,SUM!$L$6:$L$500,1,FALSE)</f>
        <v>#N/A</v>
      </c>
      <c r="D315" s="81" t="s">
        <v>592</v>
      </c>
      <c r="E315" s="100" t="s">
        <v>58</v>
      </c>
      <c r="F315" s="84" t="s">
        <v>593</v>
      </c>
      <c r="G315" s="84" t="s">
        <v>594</v>
      </c>
      <c r="H315" s="94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8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1" t="s">
        <v>701</v>
      </c>
      <c r="C316" s="82" t="str">
        <f>VLOOKUP($B$7:$B$5000,SUM!$L$6:$L$500,1,FALSE)</f>
        <v>#N/A</v>
      </c>
      <c r="D316" s="81" t="s">
        <v>592</v>
      </c>
      <c r="E316" s="100" t="s">
        <v>58</v>
      </c>
      <c r="F316" s="84" t="s">
        <v>593</v>
      </c>
      <c r="G316" s="84" t="s">
        <v>594</v>
      </c>
      <c r="H316" s="94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8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1" t="s">
        <v>702</v>
      </c>
      <c r="C317" s="82" t="str">
        <f>VLOOKUP($B$7:$B$5000,SUM!$L$6:$L$500,1,FALSE)</f>
        <v>#N/A</v>
      </c>
      <c r="D317" s="81" t="s">
        <v>592</v>
      </c>
      <c r="E317" s="100" t="s">
        <v>58</v>
      </c>
      <c r="F317" s="84" t="s">
        <v>593</v>
      </c>
      <c r="G317" s="84" t="s">
        <v>594</v>
      </c>
      <c r="H317" s="94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8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1" t="s">
        <v>703</v>
      </c>
      <c r="C318" s="82" t="str">
        <f>VLOOKUP($B$7:$B$5000,SUM!$L$6:$L$500,1,FALSE)</f>
        <v>#N/A</v>
      </c>
      <c r="D318" s="81" t="s">
        <v>592</v>
      </c>
      <c r="E318" s="100" t="s">
        <v>58</v>
      </c>
      <c r="F318" s="84" t="s">
        <v>593</v>
      </c>
      <c r="G318" s="84" t="s">
        <v>594</v>
      </c>
      <c r="H318" s="94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8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1" t="s">
        <v>704</v>
      </c>
      <c r="C319" s="82" t="str">
        <f>VLOOKUP($B$7:$B$5000,SUM!$L$6:$L$500,1,FALSE)</f>
        <v>#N/A</v>
      </c>
      <c r="D319" s="81" t="s">
        <v>592</v>
      </c>
      <c r="E319" s="100" t="s">
        <v>58</v>
      </c>
      <c r="F319" s="84" t="s">
        <v>593</v>
      </c>
      <c r="G319" s="84" t="s">
        <v>594</v>
      </c>
      <c r="H319" s="94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8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1" t="s">
        <v>705</v>
      </c>
      <c r="C320" s="82" t="str">
        <f>VLOOKUP($B$7:$B$5000,SUM!$L$6:$L$500,1,FALSE)</f>
        <v>#N/A</v>
      </c>
      <c r="D320" s="81" t="s">
        <v>592</v>
      </c>
      <c r="E320" s="100" t="s">
        <v>58</v>
      </c>
      <c r="F320" s="84" t="s">
        <v>593</v>
      </c>
      <c r="G320" s="84" t="s">
        <v>594</v>
      </c>
      <c r="H320" s="94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8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1" t="s">
        <v>706</v>
      </c>
      <c r="C321" s="82" t="str">
        <f>VLOOKUP($B$7:$B$5000,SUM!$L$6:$L$500,1,FALSE)</f>
        <v>#N/A</v>
      </c>
      <c r="D321" s="81" t="s">
        <v>592</v>
      </c>
      <c r="E321" s="100" t="s">
        <v>58</v>
      </c>
      <c r="F321" s="84" t="s">
        <v>593</v>
      </c>
      <c r="G321" s="84" t="s">
        <v>594</v>
      </c>
      <c r="H321" s="94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8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1" t="s">
        <v>707</v>
      </c>
      <c r="C322" s="82" t="str">
        <f>VLOOKUP($B$7:$B$5000,SUM!$L$6:$L$500,1,FALSE)</f>
        <v>#N/A</v>
      </c>
      <c r="D322" s="81" t="s">
        <v>592</v>
      </c>
      <c r="E322" s="100" t="s">
        <v>58</v>
      </c>
      <c r="F322" s="84" t="s">
        <v>593</v>
      </c>
      <c r="G322" s="84" t="s">
        <v>594</v>
      </c>
      <c r="H322" s="94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8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1" t="s">
        <v>708</v>
      </c>
      <c r="C323" s="82" t="str">
        <f>VLOOKUP($B$7:$B$5000,SUM!$L$6:$L$500,1,FALSE)</f>
        <v>#N/A</v>
      </c>
      <c r="D323" s="81" t="s">
        <v>592</v>
      </c>
      <c r="E323" s="100" t="s">
        <v>58</v>
      </c>
      <c r="F323" s="84" t="s">
        <v>593</v>
      </c>
      <c r="G323" s="84" t="s">
        <v>594</v>
      </c>
      <c r="H323" s="94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8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1" t="s">
        <v>709</v>
      </c>
      <c r="C324" s="82" t="str">
        <f>VLOOKUP($B$7:$B$5000,SUM!$L$6:$L$500,1,FALSE)</f>
        <v>#N/A</v>
      </c>
      <c r="D324" s="81" t="s">
        <v>592</v>
      </c>
      <c r="E324" s="100" t="s">
        <v>58</v>
      </c>
      <c r="F324" s="84" t="s">
        <v>593</v>
      </c>
      <c r="G324" s="84" t="s">
        <v>594</v>
      </c>
      <c r="H324" s="94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8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1" t="s">
        <v>710</v>
      </c>
      <c r="C325" s="82" t="str">
        <f>VLOOKUP($B$7:$B$5000,SUM!$L$6:$L$500,1,FALSE)</f>
        <v>#N/A</v>
      </c>
      <c r="D325" s="81" t="s">
        <v>592</v>
      </c>
      <c r="E325" s="100" t="s">
        <v>58</v>
      </c>
      <c r="F325" s="84" t="s">
        <v>593</v>
      </c>
      <c r="G325" s="84" t="s">
        <v>594</v>
      </c>
      <c r="H325" s="94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8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1" t="s">
        <v>711</v>
      </c>
      <c r="C326" s="82" t="str">
        <f>VLOOKUP($B$7:$B$5000,SUM!$L$6:$L$500,1,FALSE)</f>
        <v>#N/A</v>
      </c>
      <c r="D326" s="81" t="s">
        <v>592</v>
      </c>
      <c r="E326" s="100" t="s">
        <v>58</v>
      </c>
      <c r="F326" s="84" t="s">
        <v>593</v>
      </c>
      <c r="G326" s="84" t="s">
        <v>594</v>
      </c>
      <c r="H326" s="94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8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1" t="s">
        <v>712</v>
      </c>
      <c r="C327" s="82" t="str">
        <f>VLOOKUP($B$7:$B$5000,SUM!$L$6:$L$500,1,FALSE)</f>
        <v>#N/A</v>
      </c>
      <c r="D327" s="81" t="s">
        <v>592</v>
      </c>
      <c r="E327" s="100" t="s">
        <v>58</v>
      </c>
      <c r="F327" s="84" t="s">
        <v>593</v>
      </c>
      <c r="G327" s="84" t="s">
        <v>594</v>
      </c>
      <c r="H327" s="94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8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1" t="s">
        <v>713</v>
      </c>
      <c r="C328" s="82" t="str">
        <f>VLOOKUP($B$7:$B$5000,SUM!$L$6:$L$500,1,FALSE)</f>
        <v>#N/A</v>
      </c>
      <c r="D328" s="81" t="s">
        <v>592</v>
      </c>
      <c r="E328" s="100" t="s">
        <v>58</v>
      </c>
      <c r="F328" s="84" t="s">
        <v>593</v>
      </c>
      <c r="G328" s="84" t="s">
        <v>594</v>
      </c>
      <c r="H328" s="94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8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1" t="s">
        <v>714</v>
      </c>
      <c r="C329" s="82" t="str">
        <f>VLOOKUP($B$7:$B$5000,SUM!$L$6:$L$500,1,FALSE)</f>
        <v>#N/A</v>
      </c>
      <c r="D329" s="81" t="s">
        <v>592</v>
      </c>
      <c r="E329" s="100" t="s">
        <v>58</v>
      </c>
      <c r="F329" s="84" t="s">
        <v>593</v>
      </c>
      <c r="G329" s="84" t="s">
        <v>594</v>
      </c>
      <c r="H329" s="94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8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1" t="s">
        <v>715</v>
      </c>
      <c r="C330" s="82" t="str">
        <f>VLOOKUP($B$7:$B$5000,SUM!$L$6:$L$500,1,FALSE)</f>
        <v>#N/A</v>
      </c>
      <c r="D330" s="81" t="s">
        <v>592</v>
      </c>
      <c r="E330" s="100" t="s">
        <v>58</v>
      </c>
      <c r="F330" s="84" t="s">
        <v>593</v>
      </c>
      <c r="G330" s="84" t="s">
        <v>594</v>
      </c>
      <c r="H330" s="94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8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1" t="s">
        <v>716</v>
      </c>
      <c r="C331" s="82" t="str">
        <f>VLOOKUP($B$7:$B$5000,SUM!$L$6:$L$500,1,FALSE)</f>
        <v>#N/A</v>
      </c>
      <c r="D331" s="81" t="s">
        <v>592</v>
      </c>
      <c r="E331" s="100" t="s">
        <v>58</v>
      </c>
      <c r="F331" s="84" t="s">
        <v>593</v>
      </c>
      <c r="G331" s="84" t="s">
        <v>594</v>
      </c>
      <c r="H331" s="94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8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1" t="s">
        <v>717</v>
      </c>
      <c r="C332" s="82" t="str">
        <f>VLOOKUP($B$7:$B$5000,SUM!$L$6:$L$500,1,FALSE)</f>
        <v>#N/A</v>
      </c>
      <c r="D332" s="81" t="s">
        <v>592</v>
      </c>
      <c r="E332" s="100" t="s">
        <v>58</v>
      </c>
      <c r="F332" s="84" t="s">
        <v>593</v>
      </c>
      <c r="G332" s="84" t="s">
        <v>594</v>
      </c>
      <c r="H332" s="94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8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1" t="s">
        <v>718</v>
      </c>
      <c r="C333" s="82" t="str">
        <f>VLOOKUP($B$7:$B$5000,SUM!$L$6:$L$500,1,FALSE)</f>
        <v>#N/A</v>
      </c>
      <c r="D333" s="81" t="s">
        <v>592</v>
      </c>
      <c r="E333" s="100" t="s">
        <v>58</v>
      </c>
      <c r="F333" s="84" t="s">
        <v>593</v>
      </c>
      <c r="G333" s="84" t="s">
        <v>594</v>
      </c>
      <c r="H333" s="94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8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1" t="s">
        <v>719</v>
      </c>
      <c r="C334" s="82" t="str">
        <f>VLOOKUP($B$7:$B$5000,SUM!$L$6:$L$500,1,FALSE)</f>
        <v>#N/A</v>
      </c>
      <c r="D334" s="81" t="s">
        <v>592</v>
      </c>
      <c r="E334" s="100" t="s">
        <v>58</v>
      </c>
      <c r="F334" s="84" t="s">
        <v>593</v>
      </c>
      <c r="G334" s="84" t="s">
        <v>594</v>
      </c>
      <c r="H334" s="94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8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1" t="s">
        <v>720</v>
      </c>
      <c r="C335" s="82" t="str">
        <f>VLOOKUP($B$7:$B$5000,SUM!$L$6:$L$500,1,FALSE)</f>
        <v>#N/A</v>
      </c>
      <c r="D335" s="81" t="s">
        <v>592</v>
      </c>
      <c r="E335" s="100" t="s">
        <v>58</v>
      </c>
      <c r="F335" s="84" t="s">
        <v>593</v>
      </c>
      <c r="G335" s="84" t="s">
        <v>594</v>
      </c>
      <c r="H335" s="94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8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1" t="s">
        <v>721</v>
      </c>
      <c r="C336" s="82" t="str">
        <f>VLOOKUP($B$7:$B$5000,SUM!$L$6:$L$500,1,FALSE)</f>
        <v>#N/A</v>
      </c>
      <c r="D336" s="81" t="s">
        <v>592</v>
      </c>
      <c r="E336" s="100" t="s">
        <v>58</v>
      </c>
      <c r="F336" s="84" t="s">
        <v>593</v>
      </c>
      <c r="G336" s="84" t="s">
        <v>594</v>
      </c>
      <c r="H336" s="94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8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1" t="s">
        <v>722</v>
      </c>
      <c r="C337" s="82" t="str">
        <f>VLOOKUP($B$7:$B$5000,SUM!$L$6:$L$500,1,FALSE)</f>
        <v>#N/A</v>
      </c>
      <c r="D337" s="81" t="s">
        <v>592</v>
      </c>
      <c r="E337" s="100" t="s">
        <v>58</v>
      </c>
      <c r="F337" s="84" t="s">
        <v>593</v>
      </c>
      <c r="G337" s="84" t="s">
        <v>594</v>
      </c>
      <c r="H337" s="94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8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1" t="s">
        <v>723</v>
      </c>
      <c r="C338" s="82" t="str">
        <f>VLOOKUP($B$7:$B$5000,SUM!$L$6:$L$500,1,FALSE)</f>
        <v>#N/A</v>
      </c>
      <c r="D338" s="81" t="s">
        <v>592</v>
      </c>
      <c r="E338" s="100" t="s">
        <v>58</v>
      </c>
      <c r="F338" s="84" t="s">
        <v>593</v>
      </c>
      <c r="G338" s="84" t="s">
        <v>594</v>
      </c>
      <c r="H338" s="94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8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1" t="s">
        <v>724</v>
      </c>
      <c r="C339" s="82" t="str">
        <f>VLOOKUP($B$7:$B$5000,SUM!$L$6:$L$500,1,FALSE)</f>
        <v>#N/A</v>
      </c>
      <c r="D339" s="81" t="s">
        <v>592</v>
      </c>
      <c r="E339" s="100" t="s">
        <v>58</v>
      </c>
      <c r="F339" s="84" t="s">
        <v>593</v>
      </c>
      <c r="G339" s="84" t="s">
        <v>594</v>
      </c>
      <c r="H339" s="94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8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1" t="s">
        <v>725</v>
      </c>
      <c r="C340" s="82" t="str">
        <f>VLOOKUP($B$7:$B$5000,SUM!$L$6:$L$500,1,FALSE)</f>
        <v>#N/A</v>
      </c>
      <c r="D340" s="81" t="s">
        <v>592</v>
      </c>
      <c r="E340" s="100" t="s">
        <v>58</v>
      </c>
      <c r="F340" s="84" t="s">
        <v>593</v>
      </c>
      <c r="G340" s="84" t="s">
        <v>594</v>
      </c>
      <c r="H340" s="94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8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1" t="s">
        <v>726</v>
      </c>
      <c r="C341" s="82" t="str">
        <f>VLOOKUP($B$7:$B$5000,SUM!$L$6:$L$500,1,FALSE)</f>
        <v>#N/A</v>
      </c>
      <c r="D341" s="81" t="s">
        <v>592</v>
      </c>
      <c r="E341" s="100" t="s">
        <v>58</v>
      </c>
      <c r="F341" s="84" t="s">
        <v>593</v>
      </c>
      <c r="G341" s="84" t="s">
        <v>594</v>
      </c>
      <c r="H341" s="94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8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1" t="s">
        <v>727</v>
      </c>
      <c r="C342" s="82" t="str">
        <f>VLOOKUP($B$7:$B$5000,SUM!$L$6:$L$500,1,FALSE)</f>
        <v>#N/A</v>
      </c>
      <c r="D342" s="81" t="s">
        <v>592</v>
      </c>
      <c r="E342" s="100" t="s">
        <v>58</v>
      </c>
      <c r="F342" s="84" t="s">
        <v>593</v>
      </c>
      <c r="G342" s="84" t="s">
        <v>594</v>
      </c>
      <c r="H342" s="94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8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1" t="s">
        <v>728</v>
      </c>
      <c r="C343" s="82" t="str">
        <f>VLOOKUP($B$7:$B$5000,SUM!$L$6:$L$500,1,FALSE)</f>
        <v>#N/A</v>
      </c>
      <c r="D343" s="81" t="s">
        <v>592</v>
      </c>
      <c r="E343" s="100" t="s">
        <v>58</v>
      </c>
      <c r="F343" s="84" t="s">
        <v>593</v>
      </c>
      <c r="G343" s="84" t="s">
        <v>594</v>
      </c>
      <c r="H343" s="94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8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1" t="s">
        <v>729</v>
      </c>
      <c r="C344" s="82" t="str">
        <f>VLOOKUP($B$7:$B$5000,SUM!$L$6:$L$500,1,FALSE)</f>
        <v>#N/A</v>
      </c>
      <c r="D344" s="81" t="s">
        <v>592</v>
      </c>
      <c r="E344" s="100" t="s">
        <v>58</v>
      </c>
      <c r="F344" s="84" t="s">
        <v>593</v>
      </c>
      <c r="G344" s="84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8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1" t="s">
        <v>730</v>
      </c>
      <c r="C345" s="82" t="str">
        <f>VLOOKUP($B$7:$B$5000,SUM!$L$6:$L$500,1,FALSE)</f>
        <v>#N/A</v>
      </c>
      <c r="D345" s="81" t="s">
        <v>592</v>
      </c>
      <c r="E345" s="100" t="s">
        <v>58</v>
      </c>
      <c r="F345" s="84" t="s">
        <v>593</v>
      </c>
      <c r="G345" s="84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8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1" t="s">
        <v>731</v>
      </c>
      <c r="C346" s="82" t="str">
        <f>VLOOKUP($B$7:$B$5000,SUM!$L$6:$L$500,1,FALSE)</f>
        <v>#N/A</v>
      </c>
      <c r="D346" s="81" t="s">
        <v>592</v>
      </c>
      <c r="E346" s="100" t="s">
        <v>58</v>
      </c>
      <c r="F346" s="84" t="s">
        <v>593</v>
      </c>
      <c r="G346" s="84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8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1" t="s">
        <v>732</v>
      </c>
      <c r="C347" s="82" t="str">
        <f>VLOOKUP($B$7:$B$5000,SUM!$L$6:$L$500,1,FALSE)</f>
        <v>#N/A</v>
      </c>
      <c r="D347" s="81" t="s">
        <v>592</v>
      </c>
      <c r="E347" s="100" t="s">
        <v>58</v>
      </c>
      <c r="F347" s="84" t="s">
        <v>593</v>
      </c>
      <c r="G347" s="84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8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1" t="s">
        <v>733</v>
      </c>
      <c r="C348" s="82" t="str">
        <f>VLOOKUP($B$7:$B$5000,SUM!$L$6:$L$500,1,FALSE)</f>
        <v>#N/A</v>
      </c>
      <c r="D348" s="81" t="s">
        <v>592</v>
      </c>
      <c r="E348" s="100" t="s">
        <v>58</v>
      </c>
      <c r="F348" s="84" t="s">
        <v>593</v>
      </c>
      <c r="G348" s="84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8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1" t="s">
        <v>734</v>
      </c>
      <c r="C349" s="82" t="str">
        <f>VLOOKUP($B$7:$B$5000,SUM!$L$6:$L$500,1,FALSE)</f>
        <v>#N/A</v>
      </c>
      <c r="D349" s="81" t="s">
        <v>592</v>
      </c>
      <c r="E349" s="100" t="s">
        <v>58</v>
      </c>
      <c r="F349" s="84" t="s">
        <v>593</v>
      </c>
      <c r="G349" s="84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8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1" t="s">
        <v>735</v>
      </c>
      <c r="C350" s="82" t="str">
        <f>VLOOKUP($B$7:$B$5000,SUM!$L$6:$L$500,1,FALSE)</f>
        <v>#N/A</v>
      </c>
      <c r="D350" s="81" t="s">
        <v>592</v>
      </c>
      <c r="E350" s="100" t="s">
        <v>58</v>
      </c>
      <c r="F350" s="84" t="s">
        <v>593</v>
      </c>
      <c r="G350" s="84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8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1" t="s">
        <v>736</v>
      </c>
      <c r="C351" s="82" t="str">
        <f>VLOOKUP($B$7:$B$5000,SUM!$L$6:$L$500,1,FALSE)</f>
        <v>#N/A</v>
      </c>
      <c r="D351" s="81" t="s">
        <v>592</v>
      </c>
      <c r="E351" s="100" t="s">
        <v>58</v>
      </c>
      <c r="F351" s="84" t="s">
        <v>593</v>
      </c>
      <c r="G351" s="84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8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1" t="s">
        <v>737</v>
      </c>
      <c r="C352" s="82" t="str">
        <f>VLOOKUP($B$7:$B$5000,SUM!$L$6:$L$500,1,FALSE)</f>
        <v>#N/A</v>
      </c>
      <c r="D352" s="81" t="s">
        <v>592</v>
      </c>
      <c r="E352" s="100" t="s">
        <v>58</v>
      </c>
      <c r="F352" s="84" t="s">
        <v>593</v>
      </c>
      <c r="G352" s="84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8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1" t="s">
        <v>738</v>
      </c>
      <c r="C353" s="82" t="str">
        <f>VLOOKUP($B$7:$B$5000,SUM!$L$6:$L$500,1,FALSE)</f>
        <v>#N/A</v>
      </c>
      <c r="D353" s="81" t="s">
        <v>592</v>
      </c>
      <c r="E353" s="100" t="s">
        <v>58</v>
      </c>
      <c r="F353" s="84" t="s">
        <v>593</v>
      </c>
      <c r="G353" s="84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8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1" t="s">
        <v>739</v>
      </c>
      <c r="C354" s="82" t="str">
        <f>VLOOKUP($B$7:$B$5000,SUM!$L$6:$L$500,1,FALSE)</f>
        <v>#N/A</v>
      </c>
      <c r="D354" s="81" t="s">
        <v>592</v>
      </c>
      <c r="E354" s="100" t="s">
        <v>58</v>
      </c>
      <c r="F354" s="84" t="s">
        <v>593</v>
      </c>
      <c r="G354" s="84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8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1" t="s">
        <v>740</v>
      </c>
      <c r="C355" s="82" t="str">
        <f>VLOOKUP($B$7:$B$5000,SUM!$L$6:$L$500,1,FALSE)</f>
        <v>#N/A</v>
      </c>
      <c r="D355" s="81" t="s">
        <v>592</v>
      </c>
      <c r="E355" s="100" t="s">
        <v>58</v>
      </c>
      <c r="F355" s="84" t="s">
        <v>593</v>
      </c>
      <c r="G355" s="84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8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1" t="s">
        <v>741</v>
      </c>
      <c r="C356" s="82" t="str">
        <f>VLOOKUP($B$7:$B$5000,SUM!$L$6:$L$500,1,FALSE)</f>
        <v>#N/A</v>
      </c>
      <c r="D356" s="81" t="s">
        <v>592</v>
      </c>
      <c r="E356" s="100" t="s">
        <v>58</v>
      </c>
      <c r="F356" s="84" t="s">
        <v>593</v>
      </c>
      <c r="G356" s="84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8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1" t="s">
        <v>742</v>
      </c>
      <c r="C357" s="82" t="str">
        <f>VLOOKUP($B$7:$B$5000,SUM!$L$6:$L$500,1,FALSE)</f>
        <v>#N/A</v>
      </c>
      <c r="D357" s="81" t="s">
        <v>592</v>
      </c>
      <c r="E357" s="100" t="s">
        <v>58</v>
      </c>
      <c r="F357" s="84" t="s">
        <v>593</v>
      </c>
      <c r="G357" s="84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8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1" t="s">
        <v>743</v>
      </c>
      <c r="C358" s="82" t="str">
        <f>VLOOKUP($B$7:$B$5000,SUM!$L$6:$L$500,1,FALSE)</f>
        <v>#N/A</v>
      </c>
      <c r="D358" s="81" t="s">
        <v>592</v>
      </c>
      <c r="E358" s="100" t="s">
        <v>58</v>
      </c>
      <c r="F358" s="84" t="s">
        <v>593</v>
      </c>
      <c r="G358" s="84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8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1" t="s">
        <v>744</v>
      </c>
      <c r="C359" s="82" t="str">
        <f>VLOOKUP($B$7:$B$5000,SUM!$L$6:$L$500,1,FALSE)</f>
        <v>#N/A</v>
      </c>
      <c r="D359" s="81" t="s">
        <v>592</v>
      </c>
      <c r="E359" s="100" t="s">
        <v>58</v>
      </c>
      <c r="F359" s="84" t="s">
        <v>593</v>
      </c>
      <c r="G359" s="84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8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1" t="s">
        <v>745</v>
      </c>
      <c r="C360" s="82" t="str">
        <f>VLOOKUP($B$7:$B$5000,SUM!$L$6:$L$500,1,FALSE)</f>
        <v>#N/A</v>
      </c>
      <c r="D360" s="81" t="s">
        <v>592</v>
      </c>
      <c r="E360" s="100" t="s">
        <v>58</v>
      </c>
      <c r="F360" s="84" t="s">
        <v>593</v>
      </c>
      <c r="G360" s="84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8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1" t="s">
        <v>746</v>
      </c>
      <c r="C361" s="82" t="str">
        <f>VLOOKUP($B$7:$B$5000,SUM!$L$6:$L$500,1,FALSE)</f>
        <v>#N/A</v>
      </c>
      <c r="D361" s="81" t="s">
        <v>592</v>
      </c>
      <c r="E361" s="100" t="s">
        <v>58</v>
      </c>
      <c r="F361" s="84" t="s">
        <v>593</v>
      </c>
      <c r="G361" s="84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8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1" t="s">
        <v>747</v>
      </c>
      <c r="C362" s="82" t="str">
        <f>VLOOKUP($B$7:$B$5000,SUM!$L$6:$L$500,1,FALSE)</f>
        <v>#N/A</v>
      </c>
      <c r="D362" s="81" t="s">
        <v>592</v>
      </c>
      <c r="E362" s="100" t="s">
        <v>58</v>
      </c>
      <c r="F362" s="84" t="s">
        <v>593</v>
      </c>
      <c r="G362" s="84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8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1" t="s">
        <v>748</v>
      </c>
      <c r="C363" s="82" t="str">
        <f>VLOOKUP($B$7:$B$5000,SUM!$L$6:$L$500,1,FALSE)</f>
        <v>#N/A</v>
      </c>
      <c r="D363" s="81" t="s">
        <v>592</v>
      </c>
      <c r="E363" s="100" t="s">
        <v>58</v>
      </c>
      <c r="F363" s="84" t="s">
        <v>593</v>
      </c>
      <c r="G363" s="84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8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1" t="s">
        <v>749</v>
      </c>
      <c r="C364" s="82" t="str">
        <f>VLOOKUP($B$7:$B$5000,SUM!$L$6:$L$500,1,FALSE)</f>
        <v>#N/A</v>
      </c>
      <c r="D364" s="81" t="s">
        <v>592</v>
      </c>
      <c r="E364" s="100" t="s">
        <v>58</v>
      </c>
      <c r="F364" s="84" t="s">
        <v>593</v>
      </c>
      <c r="G364" s="84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8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1" t="s">
        <v>750</v>
      </c>
      <c r="C365" s="82" t="str">
        <f>VLOOKUP($B$7:$B$5000,SUM!$L$6:$L$500,1,FALSE)</f>
        <v>#N/A</v>
      </c>
      <c r="D365" s="81" t="s">
        <v>592</v>
      </c>
      <c r="E365" s="100" t="s">
        <v>58</v>
      </c>
      <c r="F365" s="84" t="s">
        <v>593</v>
      </c>
      <c r="G365" s="84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8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1" t="s">
        <v>751</v>
      </c>
      <c r="C366" s="82" t="str">
        <f>VLOOKUP($B$7:$B$5000,SUM!$L$6:$L$500,1,FALSE)</f>
        <v>#N/A</v>
      </c>
      <c r="D366" s="81" t="s">
        <v>592</v>
      </c>
      <c r="E366" s="100" t="s">
        <v>58</v>
      </c>
      <c r="F366" s="84" t="s">
        <v>593</v>
      </c>
      <c r="G366" s="84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8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1" t="s">
        <v>752</v>
      </c>
      <c r="C367" s="82" t="str">
        <f>VLOOKUP($B$7:$B$5000,SUM!$L$6:$L$500,1,FALSE)</f>
        <v>#N/A</v>
      </c>
      <c r="D367" s="81" t="s">
        <v>592</v>
      </c>
      <c r="E367" s="100" t="s">
        <v>58</v>
      </c>
      <c r="F367" s="84" t="s">
        <v>593</v>
      </c>
      <c r="G367" s="84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8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1" t="s">
        <v>753</v>
      </c>
      <c r="C368" s="82" t="str">
        <f>VLOOKUP($B$7:$B$5000,SUM!$L$6:$L$500,1,FALSE)</f>
        <v>#N/A</v>
      </c>
      <c r="D368" s="81" t="s">
        <v>592</v>
      </c>
      <c r="E368" s="100" t="s">
        <v>58</v>
      </c>
      <c r="F368" s="84" t="s">
        <v>593</v>
      </c>
      <c r="G368" s="84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8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1" t="s">
        <v>754</v>
      </c>
      <c r="C369" s="82" t="str">
        <f>VLOOKUP($B$7:$B$5000,SUM!$L$6:$L$500,1,FALSE)</f>
        <v>#N/A</v>
      </c>
      <c r="D369" s="81" t="s">
        <v>592</v>
      </c>
      <c r="E369" s="100" t="s">
        <v>58</v>
      </c>
      <c r="F369" s="84" t="s">
        <v>593</v>
      </c>
      <c r="G369" s="84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8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1" t="s">
        <v>755</v>
      </c>
      <c r="C370" s="82" t="str">
        <f>VLOOKUP($B$7:$B$5000,SUM!$L$6:$L$500,1,FALSE)</f>
        <v>#N/A</v>
      </c>
      <c r="D370" s="81" t="s">
        <v>592</v>
      </c>
      <c r="E370" s="100" t="s">
        <v>58</v>
      </c>
      <c r="F370" s="84" t="s">
        <v>593</v>
      </c>
      <c r="G370" s="84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8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1" t="s">
        <v>756</v>
      </c>
      <c r="C371" s="82" t="str">
        <f>VLOOKUP($B$7:$B$5000,SUM!$L$6:$L$500,1,FALSE)</f>
        <v>#N/A</v>
      </c>
      <c r="D371" s="81" t="s">
        <v>592</v>
      </c>
      <c r="E371" s="100" t="s">
        <v>58</v>
      </c>
      <c r="F371" s="84" t="s">
        <v>593</v>
      </c>
      <c r="G371" s="84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8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1" t="s">
        <v>757</v>
      </c>
      <c r="C372" s="82" t="str">
        <f>VLOOKUP($B$7:$B$5000,SUM!$L$6:$L$500,1,FALSE)</f>
        <v>#N/A</v>
      </c>
      <c r="D372" s="81" t="s">
        <v>592</v>
      </c>
      <c r="E372" s="100" t="s">
        <v>58</v>
      </c>
      <c r="F372" s="84" t="s">
        <v>593</v>
      </c>
      <c r="G372" s="84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8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1" t="s">
        <v>758</v>
      </c>
      <c r="C373" s="82" t="str">
        <f>VLOOKUP($B$7:$B$5000,SUM!$L$6:$L$500,1,FALSE)</f>
        <v>#N/A</v>
      </c>
      <c r="D373" s="81" t="s">
        <v>592</v>
      </c>
      <c r="E373" s="100" t="s">
        <v>58</v>
      </c>
      <c r="F373" s="84" t="s">
        <v>593</v>
      </c>
      <c r="G373" s="84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8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1" t="s">
        <v>759</v>
      </c>
      <c r="C374" s="82" t="str">
        <f>VLOOKUP($B$7:$B$5000,SUM!$L$6:$L$500,1,FALSE)</f>
        <v>#N/A</v>
      </c>
      <c r="D374" s="81" t="s">
        <v>592</v>
      </c>
      <c r="E374" s="100" t="s">
        <v>58</v>
      </c>
      <c r="F374" s="84" t="s">
        <v>593</v>
      </c>
      <c r="G374" s="84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8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1" t="s">
        <v>760</v>
      </c>
      <c r="C375" s="82" t="str">
        <f>VLOOKUP($B$7:$B$5000,SUM!$L$6:$L$500,1,FALSE)</f>
        <v>#N/A</v>
      </c>
      <c r="D375" s="81" t="s">
        <v>592</v>
      </c>
      <c r="E375" s="100" t="s">
        <v>58</v>
      </c>
      <c r="F375" s="84" t="s">
        <v>593</v>
      </c>
      <c r="G375" s="84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8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1" t="s">
        <v>761</v>
      </c>
      <c r="C376" s="82" t="str">
        <f>VLOOKUP($B$7:$B$5000,SUM!$L$6:$L$500,1,FALSE)</f>
        <v>#N/A</v>
      </c>
      <c r="D376" s="81" t="s">
        <v>592</v>
      </c>
      <c r="E376" s="100" t="s">
        <v>58</v>
      </c>
      <c r="F376" s="84" t="s">
        <v>593</v>
      </c>
      <c r="G376" s="84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8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1" t="s">
        <v>762</v>
      </c>
      <c r="C377" s="82" t="str">
        <f>VLOOKUP($B$7:$B$5000,SUM!$L$6:$L$500,1,FALSE)</f>
        <v>#N/A</v>
      </c>
      <c r="D377" s="81" t="s">
        <v>592</v>
      </c>
      <c r="E377" s="100" t="s">
        <v>58</v>
      </c>
      <c r="F377" s="84" t="s">
        <v>593</v>
      </c>
      <c r="G377" s="84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8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1" t="s">
        <v>763</v>
      </c>
      <c r="C378" s="82" t="str">
        <f>VLOOKUP($B$7:$B$5000,SUM!$L$6:$L$500,1,FALSE)</f>
        <v>#N/A</v>
      </c>
      <c r="D378" s="81" t="s">
        <v>592</v>
      </c>
      <c r="E378" s="100" t="s">
        <v>58</v>
      </c>
      <c r="F378" s="84" t="s">
        <v>593</v>
      </c>
      <c r="G378" s="84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8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1" t="s">
        <v>764</v>
      </c>
      <c r="C379" s="82" t="str">
        <f>VLOOKUP($B$7:$B$5000,SUM!$L$6:$L$500,1,FALSE)</f>
        <v>#N/A</v>
      </c>
      <c r="D379" s="81" t="s">
        <v>592</v>
      </c>
      <c r="E379" s="100" t="s">
        <v>58</v>
      </c>
      <c r="F379" s="84" t="s">
        <v>593</v>
      </c>
      <c r="G379" s="84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8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1" t="s">
        <v>765</v>
      </c>
      <c r="C380" s="82" t="str">
        <f>VLOOKUP($B$7:$B$5000,SUM!$L$6:$L$500,1,FALSE)</f>
        <v>#N/A</v>
      </c>
      <c r="D380" s="81" t="s">
        <v>592</v>
      </c>
      <c r="E380" s="100" t="s">
        <v>58</v>
      </c>
      <c r="F380" s="84" t="s">
        <v>593</v>
      </c>
      <c r="G380" s="84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8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1" t="s">
        <v>766</v>
      </c>
      <c r="C381" s="82" t="str">
        <f>VLOOKUP($B$7:$B$5000,SUM!$L$6:$L$500,1,FALSE)</f>
        <v>#N/A</v>
      </c>
      <c r="D381" s="81" t="s">
        <v>592</v>
      </c>
      <c r="E381" s="100" t="s">
        <v>58</v>
      </c>
      <c r="F381" s="84" t="s">
        <v>593</v>
      </c>
      <c r="G381" s="84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8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1" t="s">
        <v>767</v>
      </c>
      <c r="C382" s="82" t="str">
        <f>VLOOKUP($B$7:$B$5000,SUM!$L$6:$L$500,1,FALSE)</f>
        <v>#N/A</v>
      </c>
      <c r="D382" s="81" t="s">
        <v>592</v>
      </c>
      <c r="E382" s="100" t="s">
        <v>58</v>
      </c>
      <c r="F382" s="84" t="s">
        <v>593</v>
      </c>
      <c r="G382" s="84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8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1" t="s">
        <v>768</v>
      </c>
      <c r="C383" s="82" t="str">
        <f>VLOOKUP($B$7:$B$5000,SUM!$L$6:$L$500,1,FALSE)</f>
        <v>#N/A</v>
      </c>
      <c r="D383" s="81" t="s">
        <v>592</v>
      </c>
      <c r="E383" s="100" t="s">
        <v>58</v>
      </c>
      <c r="F383" s="84" t="s">
        <v>593</v>
      </c>
      <c r="G383" s="84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8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1" t="s">
        <v>769</v>
      </c>
      <c r="C384" s="82" t="str">
        <f>VLOOKUP($B$7:$B$5000,SUM!$L$6:$L$500,1,FALSE)</f>
        <v>#N/A</v>
      </c>
      <c r="D384" s="81" t="s">
        <v>592</v>
      </c>
      <c r="E384" s="100" t="s">
        <v>58</v>
      </c>
      <c r="F384" s="84" t="s">
        <v>593</v>
      </c>
      <c r="G384" s="84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8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1" t="s">
        <v>770</v>
      </c>
      <c r="C385" s="82" t="str">
        <f>VLOOKUP($B$7:$B$5000,SUM!$L$6:$L$500,1,FALSE)</f>
        <v>#N/A</v>
      </c>
      <c r="D385" s="81" t="s">
        <v>592</v>
      </c>
      <c r="E385" s="100" t="s">
        <v>58</v>
      </c>
      <c r="F385" s="84" t="s">
        <v>593</v>
      </c>
      <c r="G385" s="84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8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1" t="s">
        <v>771</v>
      </c>
      <c r="C386" s="82" t="str">
        <f>VLOOKUP($B$7:$B$5000,SUM!$L$6:$L$500,1,FALSE)</f>
        <v>#N/A</v>
      </c>
      <c r="D386" s="81" t="s">
        <v>592</v>
      </c>
      <c r="E386" s="100" t="s">
        <v>58</v>
      </c>
      <c r="F386" s="84" t="s">
        <v>593</v>
      </c>
      <c r="G386" s="84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8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1" t="s">
        <v>772</v>
      </c>
      <c r="C387" s="82" t="str">
        <f>VLOOKUP($B$7:$B$5000,SUM!$L$6:$L$500,1,FALSE)</f>
        <v>#N/A</v>
      </c>
      <c r="D387" s="81" t="s">
        <v>592</v>
      </c>
      <c r="E387" s="100" t="s">
        <v>58</v>
      </c>
      <c r="F387" s="84" t="s">
        <v>593</v>
      </c>
      <c r="G387" s="84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8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1" t="s">
        <v>774</v>
      </c>
      <c r="C388" s="82" t="str">
        <f>VLOOKUP($B$7:$B$5000,SUM!$L$6:$L$500,1,FALSE)</f>
        <v>#N/A</v>
      </c>
      <c r="D388" s="81" t="s">
        <v>775</v>
      </c>
      <c r="E388" s="100" t="s">
        <v>58</v>
      </c>
      <c r="F388" s="84" t="s">
        <v>593</v>
      </c>
      <c r="G388" s="84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8" t="s">
        <v>433</v>
      </c>
      <c r="O388" s="90" t="s">
        <v>67</v>
      </c>
      <c r="P388" s="90" t="s">
        <v>68</v>
      </c>
      <c r="Q388" s="150">
        <v>46166.0</v>
      </c>
      <c r="R388" s="103" t="s">
        <v>597</v>
      </c>
      <c r="S388" s="150">
        <v>46167.0</v>
      </c>
      <c r="T388" s="103"/>
      <c r="U388" s="90" t="s">
        <v>31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1" t="s">
        <v>777</v>
      </c>
      <c r="C389" s="82" t="str">
        <f>VLOOKUP($B$7:$B$5000,SUM!$L$6:$L$500,1,FALSE)</f>
        <v>#N/A</v>
      </c>
      <c r="D389" s="81" t="s">
        <v>775</v>
      </c>
      <c r="E389" s="100" t="s">
        <v>58</v>
      </c>
      <c r="F389" s="84" t="s">
        <v>593</v>
      </c>
      <c r="G389" s="84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8" t="s">
        <v>433</v>
      </c>
      <c r="O389" s="90" t="s">
        <v>67</v>
      </c>
      <c r="P389" s="90" t="s">
        <v>68</v>
      </c>
      <c r="Q389" s="151">
        <v>46168.0</v>
      </c>
      <c r="R389" s="107" t="s">
        <v>66</v>
      </c>
      <c r="S389" s="152">
        <v>46171.0</v>
      </c>
      <c r="T389" s="103"/>
      <c r="U389" s="97" t="s">
        <v>31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1" t="s">
        <v>779</v>
      </c>
      <c r="C390" s="82" t="str">
        <f>VLOOKUP($B$7:$B$5000,SUM!$L$6:$L$500,1,FALSE)</f>
        <v>#N/A</v>
      </c>
      <c r="D390" s="81" t="s">
        <v>775</v>
      </c>
      <c r="E390" s="100" t="s">
        <v>58</v>
      </c>
      <c r="F390" s="84" t="s">
        <v>593</v>
      </c>
      <c r="G390" s="84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8" t="s">
        <v>433</v>
      </c>
      <c r="O390" s="90" t="s">
        <v>67</v>
      </c>
      <c r="P390" s="90" t="s">
        <v>68</v>
      </c>
      <c r="Q390" s="150">
        <v>46166.0</v>
      </c>
      <c r="R390" s="103" t="s">
        <v>597</v>
      </c>
      <c r="S390" s="150">
        <v>46167.0</v>
      </c>
      <c r="T390" s="103"/>
      <c r="U390" s="90" t="s">
        <v>31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1" t="s">
        <v>781</v>
      </c>
      <c r="C391" s="82" t="str">
        <f>VLOOKUP($B$7:$B$5000,SUM!$L$6:$L$500,1,FALSE)</f>
        <v>#N/A</v>
      </c>
      <c r="D391" s="81" t="s">
        <v>775</v>
      </c>
      <c r="E391" s="100" t="s">
        <v>58</v>
      </c>
      <c r="F391" s="84" t="s">
        <v>593</v>
      </c>
      <c r="G391" s="84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8" t="s">
        <v>433</v>
      </c>
      <c r="O391" s="90" t="s">
        <v>67</v>
      </c>
      <c r="P391" s="90" t="s">
        <v>68</v>
      </c>
      <c r="Q391" s="150">
        <v>46166.0</v>
      </c>
      <c r="R391" s="103" t="s">
        <v>597</v>
      </c>
      <c r="S391" s="150">
        <v>46167.0</v>
      </c>
      <c r="T391" s="103"/>
      <c r="U391" s="90" t="s">
        <v>31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1" t="s">
        <v>783</v>
      </c>
      <c r="C392" s="82" t="str">
        <f>VLOOKUP($B$7:$B$5000,SUM!$L$6:$L$500,1,FALSE)</f>
        <v>#N/A</v>
      </c>
      <c r="D392" s="81" t="s">
        <v>775</v>
      </c>
      <c r="E392" s="100" t="s">
        <v>58</v>
      </c>
      <c r="F392" s="84" t="s">
        <v>593</v>
      </c>
      <c r="G392" s="84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8" t="s">
        <v>433</v>
      </c>
      <c r="O392" s="90" t="s">
        <v>67</v>
      </c>
      <c r="P392" s="90" t="s">
        <v>68</v>
      </c>
      <c r="Q392" s="157">
        <v>46170.0</v>
      </c>
      <c r="R392" s="90" t="s">
        <v>66</v>
      </c>
      <c r="S392" s="152">
        <v>46171.0</v>
      </c>
      <c r="T392" s="103"/>
      <c r="U392" s="97" t="s">
        <v>31</v>
      </c>
      <c r="V392" s="9"/>
      <c r="W392" s="9"/>
      <c r="X392" s="9"/>
      <c r="Y392" s="158" t="s">
        <v>31</v>
      </c>
      <c r="Z392" s="9"/>
      <c r="AA392" s="9"/>
      <c r="AB392" s="9"/>
    </row>
    <row r="393" ht="45.0" customHeight="1">
      <c r="A393" s="103">
        <v>387.0</v>
      </c>
      <c r="B393" s="141" t="s">
        <v>785</v>
      </c>
      <c r="C393" s="82" t="str">
        <f>VLOOKUP($B$7:$B$5000,SUM!$L$6:$L$500,1,FALSE)</f>
        <v>#N/A</v>
      </c>
      <c r="D393" s="81" t="s">
        <v>775</v>
      </c>
      <c r="E393" s="100" t="s">
        <v>58</v>
      </c>
      <c r="F393" s="84" t="s">
        <v>593</v>
      </c>
      <c r="G393" s="84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8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1" t="s">
        <v>787</v>
      </c>
      <c r="C394" s="82" t="str">
        <f>VLOOKUP($B$7:$B$5000,SUM!$L$6:$L$500,1,FALSE)</f>
        <v>#N/A</v>
      </c>
      <c r="D394" s="81" t="s">
        <v>775</v>
      </c>
      <c r="E394" s="100" t="s">
        <v>58</v>
      </c>
      <c r="F394" s="84" t="s">
        <v>593</v>
      </c>
      <c r="G394" s="84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8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1" t="s">
        <v>789</v>
      </c>
      <c r="C395" s="82" t="str">
        <f>VLOOKUP($B$7:$B$5000,SUM!$L$6:$L$500,1,FALSE)</f>
        <v>#N/A</v>
      </c>
      <c r="D395" s="81" t="s">
        <v>775</v>
      </c>
      <c r="E395" s="100" t="s">
        <v>58</v>
      </c>
      <c r="F395" s="84" t="s">
        <v>593</v>
      </c>
      <c r="G395" s="84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8" t="s">
        <v>433</v>
      </c>
      <c r="O395" s="90" t="s">
        <v>67</v>
      </c>
      <c r="P395" s="90" t="s">
        <v>68</v>
      </c>
      <c r="Q395" s="154" t="s">
        <v>791</v>
      </c>
      <c r="R395" s="154" t="s">
        <v>66</v>
      </c>
      <c r="S395" s="155">
        <v>46189.0</v>
      </c>
      <c r="T395" s="156"/>
      <c r="U395" s="154" t="s">
        <v>31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1" t="s">
        <v>792</v>
      </c>
      <c r="C396" s="82" t="str">
        <f>VLOOKUP($B$7:$B$5000,SUM!$L$6:$L$500,1,FALSE)</f>
        <v>#N/A</v>
      </c>
      <c r="D396" s="81" t="s">
        <v>775</v>
      </c>
      <c r="E396" s="100" t="s">
        <v>58</v>
      </c>
      <c r="F396" s="84" t="s">
        <v>593</v>
      </c>
      <c r="G396" s="84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8" t="s">
        <v>433</v>
      </c>
      <c r="O396" s="90" t="s">
        <v>67</v>
      </c>
      <c r="P396" s="90" t="s">
        <v>68</v>
      </c>
      <c r="Q396" s="150">
        <v>46166.0</v>
      </c>
      <c r="R396" s="103" t="s">
        <v>597</v>
      </c>
      <c r="S396" s="150">
        <v>46167.0</v>
      </c>
      <c r="T396" s="103"/>
      <c r="U396" s="90" t="s">
        <v>31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1" t="s">
        <v>794</v>
      </c>
      <c r="C397" s="82" t="str">
        <f>VLOOKUP($B$7:$B$5000,SUM!$L$6:$L$500,1,FALSE)</f>
        <v>#N/A</v>
      </c>
      <c r="D397" s="81" t="s">
        <v>775</v>
      </c>
      <c r="E397" s="100" t="s">
        <v>58</v>
      </c>
      <c r="F397" s="84" t="s">
        <v>593</v>
      </c>
      <c r="G397" s="84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8" t="s">
        <v>433</v>
      </c>
      <c r="O397" s="90" t="s">
        <v>67</v>
      </c>
      <c r="P397" s="90" t="s">
        <v>68</v>
      </c>
      <c r="Q397" s="154" t="s">
        <v>791</v>
      </c>
      <c r="R397" s="154" t="s">
        <v>66</v>
      </c>
      <c r="S397" s="155">
        <v>46189.0</v>
      </c>
      <c r="T397" s="156"/>
      <c r="U397" s="154" t="s">
        <v>31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1" t="s">
        <v>796</v>
      </c>
      <c r="C398" s="82" t="str">
        <f>VLOOKUP($B$7:$B$5000,SUM!$L$6:$L$500,1,FALSE)</f>
        <v>#N/A</v>
      </c>
      <c r="D398" s="81" t="s">
        <v>775</v>
      </c>
      <c r="E398" s="100" t="s">
        <v>58</v>
      </c>
      <c r="F398" s="84" t="s">
        <v>593</v>
      </c>
      <c r="G398" s="84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8" t="s">
        <v>433</v>
      </c>
      <c r="O398" s="90" t="s">
        <v>67</v>
      </c>
      <c r="P398" s="90" t="s">
        <v>68</v>
      </c>
      <c r="Q398" s="151">
        <v>46168.0</v>
      </c>
      <c r="R398" s="107" t="s">
        <v>66</v>
      </c>
      <c r="S398" s="152">
        <v>46171.0</v>
      </c>
      <c r="T398" s="103"/>
      <c r="U398" s="97" t="s">
        <v>31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1" t="s">
        <v>798</v>
      </c>
      <c r="C399" s="82" t="str">
        <f>VLOOKUP($B$7:$B$5000,SUM!$L$6:$L$500,1,FALSE)</f>
        <v>#N/A</v>
      </c>
      <c r="D399" s="81" t="s">
        <v>775</v>
      </c>
      <c r="E399" s="100" t="s">
        <v>58</v>
      </c>
      <c r="F399" s="84" t="s">
        <v>593</v>
      </c>
      <c r="G399" s="84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8" t="s">
        <v>433</v>
      </c>
      <c r="O399" s="90" t="s">
        <v>67</v>
      </c>
      <c r="P399" s="90" t="s">
        <v>68</v>
      </c>
      <c r="Q399" s="151">
        <v>46168.0</v>
      </c>
      <c r="R399" s="107" t="s">
        <v>66</v>
      </c>
      <c r="S399" s="152">
        <v>46171.0</v>
      </c>
      <c r="T399" s="103"/>
      <c r="U399" s="97" t="s">
        <v>31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1" t="s">
        <v>800</v>
      </c>
      <c r="C400" s="82" t="str">
        <f>VLOOKUP($B$7:$B$5000,SUM!$L$6:$L$500,1,FALSE)</f>
        <v>#N/A</v>
      </c>
      <c r="D400" s="81" t="s">
        <v>775</v>
      </c>
      <c r="E400" s="100" t="s">
        <v>58</v>
      </c>
      <c r="F400" s="84" t="s">
        <v>593</v>
      </c>
      <c r="G400" s="84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8" t="s">
        <v>433</v>
      </c>
      <c r="O400" s="90" t="s">
        <v>67</v>
      </c>
      <c r="P400" s="90" t="s">
        <v>68</v>
      </c>
      <c r="Q400" s="151">
        <v>46168.0</v>
      </c>
      <c r="R400" s="107" t="s">
        <v>66</v>
      </c>
      <c r="S400" s="152">
        <v>46171.0</v>
      </c>
      <c r="T400" s="103"/>
      <c r="U400" s="97" t="s">
        <v>31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1" t="s">
        <v>802</v>
      </c>
      <c r="C401" s="82" t="str">
        <f>VLOOKUP($B$7:$B$5000,SUM!$L$6:$L$500,1,FALSE)</f>
        <v>#N/A</v>
      </c>
      <c r="D401" s="81" t="s">
        <v>775</v>
      </c>
      <c r="E401" s="100" t="s">
        <v>58</v>
      </c>
      <c r="F401" s="84" t="s">
        <v>593</v>
      </c>
      <c r="G401" s="84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8" t="s">
        <v>433</v>
      </c>
      <c r="O401" s="90" t="s">
        <v>67</v>
      </c>
      <c r="P401" s="90" t="s">
        <v>68</v>
      </c>
      <c r="Q401" s="150">
        <v>46167.0</v>
      </c>
      <c r="R401" s="103" t="s">
        <v>597</v>
      </c>
      <c r="S401" s="150">
        <v>46168.0</v>
      </c>
      <c r="T401" s="103"/>
      <c r="U401" s="90" t="s">
        <v>31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1" t="s">
        <v>804</v>
      </c>
      <c r="C402" s="82" t="str">
        <f>VLOOKUP($B$7:$B$5000,SUM!$L$6:$L$500,1,FALSE)</f>
        <v>#N/A</v>
      </c>
      <c r="D402" s="81" t="s">
        <v>775</v>
      </c>
      <c r="E402" s="100" t="s">
        <v>58</v>
      </c>
      <c r="F402" s="84" t="s">
        <v>593</v>
      </c>
      <c r="G402" s="84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8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1" t="s">
        <v>806</v>
      </c>
      <c r="C403" s="82" t="str">
        <f>VLOOKUP($B$7:$B$5000,SUM!$L$6:$L$500,1,FALSE)</f>
        <v>#N/A</v>
      </c>
      <c r="D403" s="81" t="s">
        <v>775</v>
      </c>
      <c r="E403" s="100" t="s">
        <v>58</v>
      </c>
      <c r="F403" s="84" t="s">
        <v>593</v>
      </c>
      <c r="G403" s="84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8" t="s">
        <v>433</v>
      </c>
      <c r="O403" s="90" t="s">
        <v>67</v>
      </c>
      <c r="P403" s="90" t="s">
        <v>68</v>
      </c>
      <c r="Q403" s="157">
        <v>46170.0</v>
      </c>
      <c r="R403" s="90" t="s">
        <v>66</v>
      </c>
      <c r="S403" s="152">
        <v>46171.0</v>
      </c>
      <c r="T403" s="103"/>
      <c r="U403" s="97" t="s">
        <v>31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1" t="s">
        <v>808</v>
      </c>
      <c r="C404" s="82" t="str">
        <f>VLOOKUP($B$7:$B$5000,SUM!$L$6:$L$500,1,FALSE)</f>
        <v>#N/A</v>
      </c>
      <c r="D404" s="81" t="s">
        <v>775</v>
      </c>
      <c r="E404" s="100" t="s">
        <v>58</v>
      </c>
      <c r="F404" s="84" t="s">
        <v>593</v>
      </c>
      <c r="G404" s="84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8" t="s">
        <v>433</v>
      </c>
      <c r="O404" s="90" t="s">
        <v>67</v>
      </c>
      <c r="P404" s="90" t="s">
        <v>68</v>
      </c>
      <c r="Q404" s="151">
        <v>46168.0</v>
      </c>
      <c r="R404" s="107" t="s">
        <v>66</v>
      </c>
      <c r="S404" s="152">
        <v>46171.0</v>
      </c>
      <c r="T404" s="103"/>
      <c r="U404" s="97" t="s">
        <v>31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1" t="s">
        <v>810</v>
      </c>
      <c r="C405" s="82" t="str">
        <f>VLOOKUP($B$7:$B$5000,SUM!$L$6:$L$500,1,FALSE)</f>
        <v>#N/A</v>
      </c>
      <c r="D405" s="81" t="s">
        <v>775</v>
      </c>
      <c r="E405" s="100" t="s">
        <v>58</v>
      </c>
      <c r="F405" s="84" t="s">
        <v>593</v>
      </c>
      <c r="G405" s="84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8" t="s">
        <v>433</v>
      </c>
      <c r="O405" s="90" t="s">
        <v>67</v>
      </c>
      <c r="P405" s="90" t="s">
        <v>68</v>
      </c>
      <c r="Q405" s="154" t="s">
        <v>791</v>
      </c>
      <c r="R405" s="154" t="s">
        <v>66</v>
      </c>
      <c r="S405" s="155">
        <v>46189.0</v>
      </c>
      <c r="T405" s="156"/>
      <c r="U405" s="154" t="s">
        <v>31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1" t="s">
        <v>812</v>
      </c>
      <c r="C406" s="82" t="str">
        <f>VLOOKUP($B$7:$B$5000,SUM!$L$6:$L$500,1,FALSE)</f>
        <v>#N/A</v>
      </c>
      <c r="D406" s="81" t="s">
        <v>775</v>
      </c>
      <c r="E406" s="100" t="s">
        <v>58</v>
      </c>
      <c r="F406" s="84" t="s">
        <v>593</v>
      </c>
      <c r="G406" s="84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8" t="s">
        <v>433</v>
      </c>
      <c r="O406" s="90" t="s">
        <v>67</v>
      </c>
      <c r="P406" s="90" t="s">
        <v>68</v>
      </c>
      <c r="Q406" s="151">
        <v>46168.0</v>
      </c>
      <c r="R406" s="107" t="s">
        <v>66</v>
      </c>
      <c r="S406" s="152">
        <v>46171.0</v>
      </c>
      <c r="T406" s="103"/>
      <c r="U406" s="97" t="s">
        <v>31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1" t="s">
        <v>814</v>
      </c>
      <c r="C407" s="82" t="str">
        <f>VLOOKUP($B$7:$B$5000,SUM!$L$6:$L$500,1,FALSE)</f>
        <v>#N/A</v>
      </c>
      <c r="D407" s="81" t="s">
        <v>775</v>
      </c>
      <c r="E407" s="100" t="s">
        <v>58</v>
      </c>
      <c r="F407" s="84" t="s">
        <v>593</v>
      </c>
      <c r="G407" s="84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8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1" t="s">
        <v>816</v>
      </c>
      <c r="C408" s="82" t="str">
        <f>VLOOKUP($B$7:$B$5000,SUM!$L$6:$L$500,1,FALSE)</f>
        <v>#N/A</v>
      </c>
      <c r="D408" s="81" t="s">
        <v>775</v>
      </c>
      <c r="E408" s="100" t="s">
        <v>58</v>
      </c>
      <c r="F408" s="84" t="s">
        <v>593</v>
      </c>
      <c r="G408" s="84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8" t="s">
        <v>433</v>
      </c>
      <c r="O408" s="90" t="s">
        <v>67</v>
      </c>
      <c r="P408" s="90" t="s">
        <v>68</v>
      </c>
      <c r="Q408" s="150">
        <v>46167.0</v>
      </c>
      <c r="R408" s="103" t="s">
        <v>597</v>
      </c>
      <c r="S408" s="150">
        <v>46168.0</v>
      </c>
      <c r="T408" s="103"/>
      <c r="U408" s="90" t="s">
        <v>31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1" t="s">
        <v>818</v>
      </c>
      <c r="C409" s="82" t="str">
        <f>VLOOKUP($B$7:$B$5000,SUM!$L$6:$L$500,1,FALSE)</f>
        <v>#N/A</v>
      </c>
      <c r="D409" s="81" t="s">
        <v>775</v>
      </c>
      <c r="E409" s="100" t="s">
        <v>58</v>
      </c>
      <c r="F409" s="84" t="s">
        <v>593</v>
      </c>
      <c r="G409" s="84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8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1" t="s">
        <v>820</v>
      </c>
      <c r="C410" s="82" t="str">
        <f>VLOOKUP($B$7:$B$5000,SUM!$L$6:$L$500,1,FALSE)</f>
        <v>#N/A</v>
      </c>
      <c r="D410" s="81" t="s">
        <v>775</v>
      </c>
      <c r="E410" s="100" t="s">
        <v>58</v>
      </c>
      <c r="F410" s="84" t="s">
        <v>593</v>
      </c>
      <c r="G410" s="84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8" t="s">
        <v>433</v>
      </c>
      <c r="O410" s="90" t="s">
        <v>67</v>
      </c>
      <c r="P410" s="90" t="s">
        <v>68</v>
      </c>
      <c r="Q410" s="150">
        <v>46167.0</v>
      </c>
      <c r="R410" s="103" t="s">
        <v>597</v>
      </c>
      <c r="S410" s="150">
        <v>46168.0</v>
      </c>
      <c r="T410" s="103"/>
      <c r="U410" s="90" t="s">
        <v>31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1" t="s">
        <v>822</v>
      </c>
      <c r="C411" s="82" t="str">
        <f>VLOOKUP($B$7:$B$5000,SUM!$L$6:$L$500,1,FALSE)</f>
        <v>#N/A</v>
      </c>
      <c r="D411" s="81" t="s">
        <v>775</v>
      </c>
      <c r="E411" s="100" t="s">
        <v>58</v>
      </c>
      <c r="F411" s="84" t="s">
        <v>593</v>
      </c>
      <c r="G411" s="84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8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1" t="s">
        <v>824</v>
      </c>
      <c r="C412" s="82" t="str">
        <f>VLOOKUP($B$7:$B$5000,SUM!$L$6:$L$500,1,FALSE)</f>
        <v>#N/A</v>
      </c>
      <c r="D412" s="81" t="s">
        <v>775</v>
      </c>
      <c r="E412" s="100" t="s">
        <v>58</v>
      </c>
      <c r="F412" s="84" t="s">
        <v>593</v>
      </c>
      <c r="G412" s="84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8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1" t="s">
        <v>826</v>
      </c>
      <c r="C413" s="82" t="str">
        <f>VLOOKUP($B$7:$B$5000,SUM!$L$6:$L$500,1,FALSE)</f>
        <v>#N/A</v>
      </c>
      <c r="D413" s="81" t="s">
        <v>775</v>
      </c>
      <c r="E413" s="100" t="s">
        <v>58</v>
      </c>
      <c r="F413" s="84" t="s">
        <v>593</v>
      </c>
      <c r="G413" s="84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8" t="s">
        <v>433</v>
      </c>
      <c r="O413" s="90" t="s">
        <v>67</v>
      </c>
      <c r="P413" s="90" t="s">
        <v>68</v>
      </c>
      <c r="Q413" s="150">
        <v>46167.0</v>
      </c>
      <c r="R413" s="103" t="s">
        <v>597</v>
      </c>
      <c r="S413" s="150">
        <v>46168.0</v>
      </c>
      <c r="T413" s="103"/>
      <c r="U413" s="90" t="s">
        <v>31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1" t="s">
        <v>828</v>
      </c>
      <c r="C414" s="82" t="str">
        <f>VLOOKUP($B$7:$B$5000,SUM!$L$6:$L$500,1,FALSE)</f>
        <v>#N/A</v>
      </c>
      <c r="D414" s="81" t="s">
        <v>775</v>
      </c>
      <c r="E414" s="100" t="s">
        <v>58</v>
      </c>
      <c r="F414" s="84" t="s">
        <v>593</v>
      </c>
      <c r="G414" s="84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8" t="s">
        <v>433</v>
      </c>
      <c r="O414" s="90" t="s">
        <v>67</v>
      </c>
      <c r="P414" s="90" t="s">
        <v>68</v>
      </c>
      <c r="Q414" s="153">
        <v>46169.0</v>
      </c>
      <c r="R414" s="154" t="s">
        <v>66</v>
      </c>
      <c r="S414" s="155">
        <v>46188.0</v>
      </c>
      <c r="T414" s="156"/>
      <c r="U414" s="154" t="s">
        <v>31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1" t="s">
        <v>830</v>
      </c>
      <c r="C415" s="82" t="str">
        <f>VLOOKUP($B$7:$B$5000,SUM!$L$6:$L$500,1,FALSE)</f>
        <v>#N/A</v>
      </c>
      <c r="D415" s="81" t="s">
        <v>775</v>
      </c>
      <c r="E415" s="100" t="s">
        <v>58</v>
      </c>
      <c r="F415" s="84" t="s">
        <v>593</v>
      </c>
      <c r="G415" s="84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8" t="s">
        <v>433</v>
      </c>
      <c r="O415" s="90" t="s">
        <v>67</v>
      </c>
      <c r="P415" s="90" t="s">
        <v>68</v>
      </c>
      <c r="Q415" s="157">
        <v>46170.0</v>
      </c>
      <c r="R415" s="90" t="s">
        <v>66</v>
      </c>
      <c r="S415" s="152">
        <v>46171.0</v>
      </c>
      <c r="T415" s="103"/>
      <c r="U415" s="97" t="s">
        <v>31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1" t="s">
        <v>832</v>
      </c>
      <c r="C416" s="82" t="str">
        <f>VLOOKUP($B$7:$B$5000,SUM!$L$6:$L$500,1,FALSE)</f>
        <v>#N/A</v>
      </c>
      <c r="D416" s="81" t="s">
        <v>775</v>
      </c>
      <c r="E416" s="100" t="s">
        <v>58</v>
      </c>
      <c r="F416" s="84" t="s">
        <v>593</v>
      </c>
      <c r="G416" s="84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8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1" t="s">
        <v>834</v>
      </c>
      <c r="C417" s="82" t="str">
        <f>VLOOKUP($B$7:$B$5000,SUM!$L$6:$L$500,1,FALSE)</f>
        <v>#N/A</v>
      </c>
      <c r="D417" s="81" t="s">
        <v>775</v>
      </c>
      <c r="E417" s="100" t="s">
        <v>58</v>
      </c>
      <c r="F417" s="84" t="s">
        <v>593</v>
      </c>
      <c r="G417" s="84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8" t="s">
        <v>433</v>
      </c>
      <c r="O417" s="90" t="s">
        <v>67</v>
      </c>
      <c r="P417" s="90" t="s">
        <v>68</v>
      </c>
      <c r="Q417" s="153">
        <v>46169.0</v>
      </c>
      <c r="R417" s="154" t="s">
        <v>66</v>
      </c>
      <c r="S417" s="155">
        <v>46188.0</v>
      </c>
      <c r="T417" s="156"/>
      <c r="U417" s="154" t="s">
        <v>31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1" t="s">
        <v>836</v>
      </c>
      <c r="C418" s="82" t="str">
        <f>VLOOKUP($B$7:$B$5000,SUM!$L$6:$L$500,1,FALSE)</f>
        <v>#N/A</v>
      </c>
      <c r="D418" s="81" t="s">
        <v>775</v>
      </c>
      <c r="E418" s="100" t="s">
        <v>58</v>
      </c>
      <c r="F418" s="84" t="s">
        <v>593</v>
      </c>
      <c r="G418" s="84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8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1" t="s">
        <v>838</v>
      </c>
      <c r="C419" s="82" t="str">
        <f>VLOOKUP($B$7:$B$5000,SUM!$L$6:$L$500,1,FALSE)</f>
        <v>#N/A</v>
      </c>
      <c r="D419" s="81" t="s">
        <v>775</v>
      </c>
      <c r="E419" s="100" t="s">
        <v>58</v>
      </c>
      <c r="F419" s="84" t="s">
        <v>593</v>
      </c>
      <c r="G419" s="84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8" t="s">
        <v>433</v>
      </c>
      <c r="O419" s="90" t="s">
        <v>67</v>
      </c>
      <c r="P419" s="90" t="s">
        <v>68</v>
      </c>
      <c r="Q419" s="157">
        <v>46170.0</v>
      </c>
      <c r="R419" s="90" t="s">
        <v>66</v>
      </c>
      <c r="S419" s="152">
        <v>46171.0</v>
      </c>
      <c r="T419" s="103"/>
      <c r="U419" s="97" t="s">
        <v>31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1" t="s">
        <v>840</v>
      </c>
      <c r="C420" s="82" t="str">
        <f>VLOOKUP($B$7:$B$5000,SUM!$L$6:$L$500,1,FALSE)</f>
        <v>#N/A</v>
      </c>
      <c r="D420" s="81" t="s">
        <v>775</v>
      </c>
      <c r="E420" s="100" t="s">
        <v>58</v>
      </c>
      <c r="F420" s="84" t="s">
        <v>593</v>
      </c>
      <c r="G420" s="84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8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1" t="s">
        <v>842</v>
      </c>
      <c r="C421" s="82" t="str">
        <f>VLOOKUP($B$7:$B$5000,SUM!$L$6:$L$500,1,FALSE)</f>
        <v>#N/A</v>
      </c>
      <c r="D421" s="81" t="s">
        <v>775</v>
      </c>
      <c r="E421" s="100" t="s">
        <v>58</v>
      </c>
      <c r="F421" s="84" t="s">
        <v>593</v>
      </c>
      <c r="G421" s="84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8" t="s">
        <v>433</v>
      </c>
      <c r="O421" s="90" t="s">
        <v>67</v>
      </c>
      <c r="P421" s="90" t="s">
        <v>68</v>
      </c>
      <c r="Q421" s="150">
        <v>46167.0</v>
      </c>
      <c r="R421" s="103" t="s">
        <v>597</v>
      </c>
      <c r="S421" s="150">
        <v>46168.0</v>
      </c>
      <c r="T421" s="103"/>
      <c r="U421" s="90" t="s">
        <v>31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1" t="s">
        <v>844</v>
      </c>
      <c r="C422" s="82" t="str">
        <f>VLOOKUP($B$7:$B$5000,SUM!$L$6:$L$500,1,FALSE)</f>
        <v>#N/A</v>
      </c>
      <c r="D422" s="81" t="s">
        <v>775</v>
      </c>
      <c r="E422" s="100" t="s">
        <v>58</v>
      </c>
      <c r="F422" s="84" t="s">
        <v>593</v>
      </c>
      <c r="G422" s="84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8" t="s">
        <v>433</v>
      </c>
      <c r="O422" s="90" t="s">
        <v>67</v>
      </c>
      <c r="P422" s="90" t="s">
        <v>68</v>
      </c>
      <c r="Q422" s="159">
        <v>46171.0</v>
      </c>
      <c r="R422" s="148" t="s">
        <v>66</v>
      </c>
      <c r="S422" s="152">
        <v>46173.0</v>
      </c>
      <c r="T422" s="103"/>
      <c r="U422" s="97" t="s">
        <v>31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1" t="s">
        <v>846</v>
      </c>
      <c r="C423" s="82" t="str">
        <f>VLOOKUP($B$7:$B$5000,SUM!$L$6:$L$500,1,FALSE)</f>
        <v>#N/A</v>
      </c>
      <c r="D423" s="81" t="s">
        <v>775</v>
      </c>
      <c r="E423" s="100" t="s">
        <v>58</v>
      </c>
      <c r="F423" s="84" t="s">
        <v>593</v>
      </c>
      <c r="G423" s="84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8" t="s">
        <v>433</v>
      </c>
      <c r="O423" s="90" t="s">
        <v>67</v>
      </c>
      <c r="P423" s="90" t="s">
        <v>68</v>
      </c>
      <c r="Q423" s="154" t="s">
        <v>791</v>
      </c>
      <c r="R423" s="154" t="s">
        <v>66</v>
      </c>
      <c r="S423" s="155">
        <v>46189.0</v>
      </c>
      <c r="T423" s="156"/>
      <c r="U423" s="154" t="s">
        <v>31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1" t="s">
        <v>848</v>
      </c>
      <c r="C424" s="82" t="str">
        <f>VLOOKUP($B$7:$B$5000,SUM!$L$6:$L$500,1,FALSE)</f>
        <v>#N/A</v>
      </c>
      <c r="D424" s="81" t="s">
        <v>775</v>
      </c>
      <c r="E424" s="100" t="s">
        <v>58</v>
      </c>
      <c r="F424" s="84" t="s">
        <v>593</v>
      </c>
      <c r="G424" s="84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8" t="s">
        <v>433</v>
      </c>
      <c r="O424" s="90" t="s">
        <v>67</v>
      </c>
      <c r="P424" s="90" t="s">
        <v>68</v>
      </c>
      <c r="Q424" s="154" t="s">
        <v>791</v>
      </c>
      <c r="R424" s="154" t="s">
        <v>66</v>
      </c>
      <c r="S424" s="155">
        <v>46189.0</v>
      </c>
      <c r="T424" s="156"/>
      <c r="U424" s="154" t="s">
        <v>31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1" t="s">
        <v>850</v>
      </c>
      <c r="C425" s="82" t="str">
        <f>VLOOKUP($B$7:$B$5000,SUM!$L$6:$L$500,1,FALSE)</f>
        <v>#N/A</v>
      </c>
      <c r="D425" s="81" t="s">
        <v>775</v>
      </c>
      <c r="E425" s="100" t="s">
        <v>58</v>
      </c>
      <c r="F425" s="84" t="s">
        <v>593</v>
      </c>
      <c r="G425" s="84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8" t="s">
        <v>433</v>
      </c>
      <c r="O425" s="90" t="s">
        <v>67</v>
      </c>
      <c r="P425" s="90" t="s">
        <v>68</v>
      </c>
      <c r="Q425" s="154" t="s">
        <v>791</v>
      </c>
      <c r="R425" s="154" t="s">
        <v>66</v>
      </c>
      <c r="S425" s="155">
        <v>46189.0</v>
      </c>
      <c r="T425" s="156"/>
      <c r="U425" s="154" t="s">
        <v>31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1" t="s">
        <v>852</v>
      </c>
      <c r="C426" s="82" t="str">
        <f>VLOOKUP($B$7:$B$5000,SUM!$L$6:$L$500,1,FALSE)</f>
        <v>#N/A</v>
      </c>
      <c r="D426" s="81" t="s">
        <v>775</v>
      </c>
      <c r="E426" s="100" t="s">
        <v>58</v>
      </c>
      <c r="F426" s="84" t="s">
        <v>593</v>
      </c>
      <c r="G426" s="84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8" t="s">
        <v>433</v>
      </c>
      <c r="O426" s="90" t="s">
        <v>67</v>
      </c>
      <c r="P426" s="90" t="s">
        <v>68</v>
      </c>
      <c r="Q426" s="157">
        <v>46170.0</v>
      </c>
      <c r="R426" s="90" t="s">
        <v>66</v>
      </c>
      <c r="S426" s="152">
        <v>46171.0</v>
      </c>
      <c r="T426" s="103"/>
      <c r="U426" s="97" t="s">
        <v>31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1" t="s">
        <v>854</v>
      </c>
      <c r="C427" s="82" t="str">
        <f>VLOOKUP($B$7:$B$5000,SUM!$L$6:$L$500,1,FALSE)</f>
        <v>#N/A</v>
      </c>
      <c r="D427" s="81" t="s">
        <v>775</v>
      </c>
      <c r="E427" s="100" t="s">
        <v>58</v>
      </c>
      <c r="F427" s="84" t="s">
        <v>593</v>
      </c>
      <c r="G427" s="84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8" t="s">
        <v>433</v>
      </c>
      <c r="O427" s="90" t="s">
        <v>67</v>
      </c>
      <c r="P427" s="90" t="s">
        <v>68</v>
      </c>
      <c r="Q427" s="150">
        <v>46167.0</v>
      </c>
      <c r="R427" s="103" t="s">
        <v>597</v>
      </c>
      <c r="S427" s="150">
        <v>46168.0</v>
      </c>
      <c r="T427" s="103"/>
      <c r="U427" s="90" t="s">
        <v>31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1" t="s">
        <v>856</v>
      </c>
      <c r="C428" s="82" t="str">
        <f>VLOOKUP($B$7:$B$5000,SUM!$L$6:$L$500,1,FALSE)</f>
        <v>#N/A</v>
      </c>
      <c r="D428" s="81" t="s">
        <v>775</v>
      </c>
      <c r="E428" s="100" t="s">
        <v>58</v>
      </c>
      <c r="F428" s="84" t="s">
        <v>593</v>
      </c>
      <c r="G428" s="84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8" t="s">
        <v>433</v>
      </c>
      <c r="O428" s="90" t="s">
        <v>67</v>
      </c>
      <c r="P428" s="90" t="s">
        <v>68</v>
      </c>
      <c r="Q428" s="154" t="s">
        <v>791</v>
      </c>
      <c r="R428" s="154" t="s">
        <v>66</v>
      </c>
      <c r="S428" s="155">
        <v>46189.0</v>
      </c>
      <c r="T428" s="156"/>
      <c r="U428" s="154" t="s">
        <v>31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1" t="s">
        <v>858</v>
      </c>
      <c r="C429" s="82" t="str">
        <f>VLOOKUP($B$7:$B$5000,SUM!$L$6:$L$500,1,FALSE)</f>
        <v>#N/A</v>
      </c>
      <c r="D429" s="81" t="s">
        <v>775</v>
      </c>
      <c r="E429" s="100" t="s">
        <v>58</v>
      </c>
      <c r="F429" s="84" t="s">
        <v>593</v>
      </c>
      <c r="G429" s="84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8" t="s">
        <v>433</v>
      </c>
      <c r="O429" s="90" t="s">
        <v>67</v>
      </c>
      <c r="P429" s="90" t="s">
        <v>68</v>
      </c>
      <c r="Q429" s="150">
        <v>46167.0</v>
      </c>
      <c r="R429" s="103" t="s">
        <v>597</v>
      </c>
      <c r="S429" s="150">
        <v>46168.0</v>
      </c>
      <c r="T429" s="103"/>
      <c r="U429" s="90" t="s">
        <v>31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1" t="s">
        <v>860</v>
      </c>
      <c r="C430" s="82" t="str">
        <f>VLOOKUP($B$7:$B$5000,SUM!$L$6:$L$500,1,FALSE)</f>
        <v>#N/A</v>
      </c>
      <c r="D430" s="81" t="s">
        <v>775</v>
      </c>
      <c r="E430" s="100" t="s">
        <v>58</v>
      </c>
      <c r="F430" s="84" t="s">
        <v>593</v>
      </c>
      <c r="G430" s="84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8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1" t="s">
        <v>862</v>
      </c>
      <c r="C431" s="82" t="str">
        <f>VLOOKUP($B$7:$B$5000,SUM!$L$6:$L$500,1,FALSE)</f>
        <v>#N/A</v>
      </c>
      <c r="D431" s="81" t="s">
        <v>775</v>
      </c>
      <c r="E431" s="100" t="s">
        <v>58</v>
      </c>
      <c r="F431" s="84" t="s">
        <v>593</v>
      </c>
      <c r="G431" s="84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8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1" t="s">
        <v>864</v>
      </c>
      <c r="C432" s="82" t="str">
        <f>VLOOKUP($B$7:$B$5000,SUM!$L$6:$L$500,1,FALSE)</f>
        <v>#N/A</v>
      </c>
      <c r="D432" s="81" t="s">
        <v>775</v>
      </c>
      <c r="E432" s="100" t="s">
        <v>58</v>
      </c>
      <c r="F432" s="84" t="s">
        <v>593</v>
      </c>
      <c r="G432" s="84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8" t="s">
        <v>433</v>
      </c>
      <c r="O432" s="90" t="s">
        <v>67</v>
      </c>
      <c r="P432" s="90" t="s">
        <v>68</v>
      </c>
      <c r="Q432" s="154" t="s">
        <v>791</v>
      </c>
      <c r="R432" s="154" t="s">
        <v>66</v>
      </c>
      <c r="S432" s="155">
        <v>46189.0</v>
      </c>
      <c r="T432" s="156"/>
      <c r="U432" s="154" t="s">
        <v>31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1" t="s">
        <v>866</v>
      </c>
      <c r="C433" s="82" t="str">
        <f>VLOOKUP($B$7:$B$5000,SUM!$L$6:$L$500,1,FALSE)</f>
        <v>#N/A</v>
      </c>
      <c r="D433" s="81" t="s">
        <v>775</v>
      </c>
      <c r="E433" s="100" t="s">
        <v>58</v>
      </c>
      <c r="F433" s="84" t="s">
        <v>593</v>
      </c>
      <c r="G433" s="84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8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1" t="s">
        <v>868</v>
      </c>
      <c r="C434" s="82" t="str">
        <f>VLOOKUP($B$7:$B$5000,SUM!$L$6:$L$500,1,FALSE)</f>
        <v>#N/A</v>
      </c>
      <c r="D434" s="81" t="s">
        <v>775</v>
      </c>
      <c r="E434" s="100" t="s">
        <v>58</v>
      </c>
      <c r="F434" s="84" t="s">
        <v>593</v>
      </c>
      <c r="G434" s="84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8" t="s">
        <v>433</v>
      </c>
      <c r="O434" s="90" t="s">
        <v>67</v>
      </c>
      <c r="P434" s="90" t="s">
        <v>68</v>
      </c>
      <c r="Q434" s="154" t="s">
        <v>791</v>
      </c>
      <c r="R434" s="154" t="s">
        <v>66</v>
      </c>
      <c r="S434" s="155">
        <v>46189.0</v>
      </c>
      <c r="T434" s="156"/>
      <c r="U434" s="154" t="s">
        <v>31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1" t="s">
        <v>870</v>
      </c>
      <c r="C435" s="82" t="str">
        <f>VLOOKUP($B$7:$B$5000,SUM!$L$6:$L$500,1,FALSE)</f>
        <v>#N/A</v>
      </c>
      <c r="D435" s="81" t="s">
        <v>775</v>
      </c>
      <c r="E435" s="100" t="s">
        <v>58</v>
      </c>
      <c r="F435" s="84" t="s">
        <v>593</v>
      </c>
      <c r="G435" s="84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8" t="s">
        <v>433</v>
      </c>
      <c r="O435" s="90" t="s">
        <v>67</v>
      </c>
      <c r="P435" s="90" t="s">
        <v>68</v>
      </c>
      <c r="Q435" s="150">
        <v>46167.0</v>
      </c>
      <c r="R435" s="103" t="s">
        <v>597</v>
      </c>
      <c r="S435" s="150">
        <v>46168.0</v>
      </c>
      <c r="T435" s="103"/>
      <c r="U435" s="90" t="s">
        <v>31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1" t="s">
        <v>872</v>
      </c>
      <c r="C436" s="82" t="str">
        <f>VLOOKUP($B$7:$B$5000,SUM!$L$6:$L$500,1,FALSE)</f>
        <v>#N/A</v>
      </c>
      <c r="D436" s="81" t="s">
        <v>775</v>
      </c>
      <c r="E436" s="100" t="s">
        <v>58</v>
      </c>
      <c r="F436" s="84" t="s">
        <v>593</v>
      </c>
      <c r="G436" s="84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8" t="s">
        <v>433</v>
      </c>
      <c r="O436" s="90" t="s">
        <v>67</v>
      </c>
      <c r="P436" s="90" t="s">
        <v>68</v>
      </c>
      <c r="Q436" s="153">
        <v>46169.0</v>
      </c>
      <c r="R436" s="154" t="s">
        <v>66</v>
      </c>
      <c r="S436" s="155">
        <v>46188.0</v>
      </c>
      <c r="T436" s="156"/>
      <c r="U436" s="154" t="s">
        <v>31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1" t="s">
        <v>874</v>
      </c>
      <c r="C437" s="82" t="str">
        <f>VLOOKUP($B$7:$B$5000,SUM!$L$6:$L$500,1,FALSE)</f>
        <v>#N/A</v>
      </c>
      <c r="D437" s="81" t="s">
        <v>775</v>
      </c>
      <c r="E437" s="100" t="s">
        <v>58</v>
      </c>
      <c r="F437" s="84" t="s">
        <v>593</v>
      </c>
      <c r="G437" s="84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8" t="s">
        <v>433</v>
      </c>
      <c r="O437" s="90" t="s">
        <v>67</v>
      </c>
      <c r="P437" s="90" t="s">
        <v>68</v>
      </c>
      <c r="Q437" s="150">
        <v>46167.0</v>
      </c>
      <c r="R437" s="103" t="s">
        <v>597</v>
      </c>
      <c r="S437" s="150">
        <v>46168.0</v>
      </c>
      <c r="T437" s="103"/>
      <c r="U437" s="90" t="s">
        <v>31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1" t="s">
        <v>876</v>
      </c>
      <c r="C438" s="82" t="str">
        <f>VLOOKUP($B$7:$B$5000,SUM!$L$6:$L$500,1,FALSE)</f>
        <v>#N/A</v>
      </c>
      <c r="D438" s="81" t="s">
        <v>775</v>
      </c>
      <c r="E438" s="100" t="s">
        <v>58</v>
      </c>
      <c r="F438" s="84" t="s">
        <v>593</v>
      </c>
      <c r="G438" s="84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8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1" t="s">
        <v>878</v>
      </c>
      <c r="C439" s="82" t="str">
        <f>VLOOKUP($B$7:$B$5000,SUM!$L$6:$L$500,1,FALSE)</f>
        <v>#N/A</v>
      </c>
      <c r="D439" s="81" t="s">
        <v>775</v>
      </c>
      <c r="E439" s="100" t="s">
        <v>58</v>
      </c>
      <c r="F439" s="84" t="s">
        <v>593</v>
      </c>
      <c r="G439" s="84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8" t="s">
        <v>433</v>
      </c>
      <c r="O439" s="90" t="s">
        <v>67</v>
      </c>
      <c r="P439" s="90" t="s">
        <v>68</v>
      </c>
      <c r="Q439" s="150">
        <v>46167.0</v>
      </c>
      <c r="R439" s="103" t="s">
        <v>597</v>
      </c>
      <c r="S439" s="150">
        <v>46168.0</v>
      </c>
      <c r="T439" s="103"/>
      <c r="U439" s="90" t="s">
        <v>31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1" t="s">
        <v>880</v>
      </c>
      <c r="C440" s="82" t="str">
        <f>VLOOKUP($B$7:$B$5000,SUM!$L$6:$L$500,1,FALSE)</f>
        <v>#N/A</v>
      </c>
      <c r="D440" s="81" t="s">
        <v>775</v>
      </c>
      <c r="E440" s="100" t="s">
        <v>58</v>
      </c>
      <c r="F440" s="84" t="s">
        <v>593</v>
      </c>
      <c r="G440" s="84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8" t="s">
        <v>433</v>
      </c>
      <c r="O440" s="90" t="s">
        <v>67</v>
      </c>
      <c r="P440" s="90" t="s">
        <v>68</v>
      </c>
      <c r="Q440" s="154" t="s">
        <v>791</v>
      </c>
      <c r="R440" s="154" t="s">
        <v>66</v>
      </c>
      <c r="S440" s="155">
        <v>46189.0</v>
      </c>
      <c r="T440" s="156"/>
      <c r="U440" s="154" t="s">
        <v>31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1" t="s">
        <v>882</v>
      </c>
      <c r="C441" s="82" t="str">
        <f>VLOOKUP($B$7:$B$5000,SUM!$L$6:$L$500,1,FALSE)</f>
        <v>#N/A</v>
      </c>
      <c r="D441" s="81" t="s">
        <v>775</v>
      </c>
      <c r="E441" s="100" t="s">
        <v>58</v>
      </c>
      <c r="F441" s="84" t="s">
        <v>593</v>
      </c>
      <c r="G441" s="84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8" t="s">
        <v>433</v>
      </c>
      <c r="O441" s="90" t="s">
        <v>67</v>
      </c>
      <c r="P441" s="90" t="s">
        <v>68</v>
      </c>
      <c r="Q441" s="159">
        <v>46171.0</v>
      </c>
      <c r="R441" s="148" t="s">
        <v>66</v>
      </c>
      <c r="S441" s="152">
        <v>46173.0</v>
      </c>
      <c r="T441" s="103"/>
      <c r="U441" s="97" t="s">
        <v>31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1" t="s">
        <v>884</v>
      </c>
      <c r="C442" s="82" t="str">
        <f>VLOOKUP($B$7:$B$5000,SUM!$L$6:$L$500,1,FALSE)</f>
        <v>#N/A</v>
      </c>
      <c r="D442" s="81" t="s">
        <v>775</v>
      </c>
      <c r="E442" s="100" t="s">
        <v>58</v>
      </c>
      <c r="F442" s="84" t="s">
        <v>593</v>
      </c>
      <c r="G442" s="84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8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1" t="s">
        <v>886</v>
      </c>
      <c r="C443" s="82" t="str">
        <f>VLOOKUP($B$7:$B$5000,SUM!$L$6:$L$500,1,FALSE)</f>
        <v>#N/A</v>
      </c>
      <c r="D443" s="81" t="s">
        <v>775</v>
      </c>
      <c r="E443" s="100" t="s">
        <v>58</v>
      </c>
      <c r="F443" s="84" t="s">
        <v>593</v>
      </c>
      <c r="G443" s="84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8" t="s">
        <v>433</v>
      </c>
      <c r="O443" s="90" t="s">
        <v>67</v>
      </c>
      <c r="P443" s="90" t="s">
        <v>68</v>
      </c>
      <c r="Q443" s="157">
        <v>46170.0</v>
      </c>
      <c r="R443" s="90" t="s">
        <v>66</v>
      </c>
      <c r="S443" s="152">
        <v>46171.0</v>
      </c>
      <c r="T443" s="103"/>
      <c r="U443" s="97" t="s">
        <v>31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1" t="s">
        <v>888</v>
      </c>
      <c r="C444" s="82" t="str">
        <f>VLOOKUP($B$7:$B$5000,SUM!$L$6:$L$500,1,FALSE)</f>
        <v>#N/A</v>
      </c>
      <c r="D444" s="81" t="s">
        <v>775</v>
      </c>
      <c r="E444" s="100" t="s">
        <v>58</v>
      </c>
      <c r="F444" s="84" t="s">
        <v>593</v>
      </c>
      <c r="G444" s="84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8" t="s">
        <v>433</v>
      </c>
      <c r="O444" s="90" t="s">
        <v>67</v>
      </c>
      <c r="P444" s="90" t="s">
        <v>68</v>
      </c>
      <c r="Q444" s="150">
        <v>46167.0</v>
      </c>
      <c r="R444" s="103" t="s">
        <v>597</v>
      </c>
      <c r="S444" s="150">
        <v>46168.0</v>
      </c>
      <c r="T444" s="103"/>
      <c r="U444" s="90" t="s">
        <v>31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1" t="s">
        <v>890</v>
      </c>
      <c r="C445" s="82" t="str">
        <f>VLOOKUP($B$7:$B$5000,SUM!$L$6:$L$500,1,FALSE)</f>
        <v>#N/A</v>
      </c>
      <c r="D445" s="81" t="s">
        <v>775</v>
      </c>
      <c r="E445" s="100" t="s">
        <v>58</v>
      </c>
      <c r="F445" s="84" t="s">
        <v>593</v>
      </c>
      <c r="G445" s="84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8" t="s">
        <v>433</v>
      </c>
      <c r="O445" s="90" t="s">
        <v>67</v>
      </c>
      <c r="P445" s="90" t="s">
        <v>68</v>
      </c>
      <c r="Q445" s="150">
        <v>46167.0</v>
      </c>
      <c r="R445" s="103" t="s">
        <v>597</v>
      </c>
      <c r="S445" s="150">
        <v>46168.0</v>
      </c>
      <c r="T445" s="103"/>
      <c r="U445" s="90" t="s">
        <v>31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1" t="s">
        <v>892</v>
      </c>
      <c r="C446" s="82" t="str">
        <f>VLOOKUP($B$7:$B$5000,SUM!$L$6:$L$500,1,FALSE)</f>
        <v>#N/A</v>
      </c>
      <c r="D446" s="81" t="s">
        <v>775</v>
      </c>
      <c r="E446" s="100" t="s">
        <v>58</v>
      </c>
      <c r="F446" s="84" t="s">
        <v>593</v>
      </c>
      <c r="G446" s="84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8" t="s">
        <v>433</v>
      </c>
      <c r="O446" s="90" t="s">
        <v>67</v>
      </c>
      <c r="P446" s="90" t="s">
        <v>68</v>
      </c>
      <c r="Q446" s="150">
        <v>46167.0</v>
      </c>
      <c r="R446" s="103" t="s">
        <v>597</v>
      </c>
      <c r="S446" s="150">
        <v>46168.0</v>
      </c>
      <c r="T446" s="103"/>
      <c r="U446" s="90" t="s">
        <v>31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1" t="s">
        <v>894</v>
      </c>
      <c r="C447" s="82" t="str">
        <f>VLOOKUP($B$7:$B$5000,SUM!$L$6:$L$500,1,FALSE)</f>
        <v>#N/A</v>
      </c>
      <c r="D447" s="81" t="s">
        <v>775</v>
      </c>
      <c r="E447" s="100" t="s">
        <v>58</v>
      </c>
      <c r="F447" s="84" t="s">
        <v>593</v>
      </c>
      <c r="G447" s="84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8" t="s">
        <v>433</v>
      </c>
      <c r="O447" s="90" t="s">
        <v>67</v>
      </c>
      <c r="P447" s="90" t="s">
        <v>68</v>
      </c>
      <c r="Q447" s="151">
        <v>46168.0</v>
      </c>
      <c r="R447" s="107" t="s">
        <v>66</v>
      </c>
      <c r="S447" s="152">
        <v>46171.0</v>
      </c>
      <c r="T447" s="103"/>
      <c r="U447" s="97" t="s">
        <v>31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1" t="s">
        <v>896</v>
      </c>
      <c r="C448" s="82" t="str">
        <f>VLOOKUP($B$7:$B$5000,SUM!$L$6:$L$500,1,FALSE)</f>
        <v>#N/A</v>
      </c>
      <c r="D448" s="81" t="s">
        <v>775</v>
      </c>
      <c r="E448" s="100" t="s">
        <v>58</v>
      </c>
      <c r="F448" s="84" t="s">
        <v>593</v>
      </c>
      <c r="G448" s="84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8" t="s">
        <v>433</v>
      </c>
      <c r="O448" s="90" t="s">
        <v>67</v>
      </c>
      <c r="P448" s="90" t="s">
        <v>68</v>
      </c>
      <c r="Q448" s="151">
        <v>46168.0</v>
      </c>
      <c r="R448" s="107" t="s">
        <v>66</v>
      </c>
      <c r="S448" s="152">
        <v>46171.0</v>
      </c>
      <c r="T448" s="103"/>
      <c r="U448" s="97" t="s">
        <v>31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1" t="s">
        <v>898</v>
      </c>
      <c r="C449" s="82" t="str">
        <f>VLOOKUP($B$7:$B$5000,SUM!$L$6:$L$500,1,FALSE)</f>
        <v>#N/A</v>
      </c>
      <c r="D449" s="81" t="s">
        <v>775</v>
      </c>
      <c r="E449" s="100" t="s">
        <v>58</v>
      </c>
      <c r="F449" s="84" t="s">
        <v>593</v>
      </c>
      <c r="G449" s="84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8" t="s">
        <v>433</v>
      </c>
      <c r="O449" s="90" t="s">
        <v>67</v>
      </c>
      <c r="P449" s="90" t="s">
        <v>68</v>
      </c>
      <c r="Q449" s="150">
        <v>46167.0</v>
      </c>
      <c r="R449" s="103" t="s">
        <v>597</v>
      </c>
      <c r="S449" s="150">
        <v>46168.0</v>
      </c>
      <c r="T449" s="103"/>
      <c r="U449" s="90" t="s">
        <v>31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1" t="s">
        <v>900</v>
      </c>
      <c r="C450" s="82" t="str">
        <f>VLOOKUP($B$7:$B$5000,SUM!$L$6:$L$500,1,FALSE)</f>
        <v>#N/A</v>
      </c>
      <c r="D450" s="81" t="s">
        <v>775</v>
      </c>
      <c r="E450" s="100" t="s">
        <v>58</v>
      </c>
      <c r="F450" s="84" t="s">
        <v>593</v>
      </c>
      <c r="G450" s="84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8" t="s">
        <v>433</v>
      </c>
      <c r="O450" s="90" t="s">
        <v>67</v>
      </c>
      <c r="P450" s="90" t="s">
        <v>68</v>
      </c>
      <c r="Q450" s="151">
        <v>46168.0</v>
      </c>
      <c r="R450" s="107" t="s">
        <v>66</v>
      </c>
      <c r="S450" s="152">
        <v>46171.0</v>
      </c>
      <c r="T450" s="103"/>
      <c r="U450" s="97" t="s">
        <v>31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1" t="s">
        <v>902</v>
      </c>
      <c r="C451" s="82" t="str">
        <f>VLOOKUP($B$7:$B$5000,SUM!$L$6:$L$500,1,FALSE)</f>
        <v>#N/A</v>
      </c>
      <c r="D451" s="81" t="s">
        <v>775</v>
      </c>
      <c r="E451" s="100" t="s">
        <v>58</v>
      </c>
      <c r="F451" s="84" t="s">
        <v>593</v>
      </c>
      <c r="G451" s="84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8" t="s">
        <v>433</v>
      </c>
      <c r="O451" s="90" t="s">
        <v>67</v>
      </c>
      <c r="P451" s="90" t="s">
        <v>68</v>
      </c>
      <c r="Q451" s="151">
        <v>46168.0</v>
      </c>
      <c r="R451" s="107" t="s">
        <v>66</v>
      </c>
      <c r="S451" s="152">
        <v>46171.0</v>
      </c>
      <c r="T451" s="103"/>
      <c r="U451" s="97" t="s">
        <v>31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1" t="s">
        <v>904</v>
      </c>
      <c r="C452" s="82" t="str">
        <f>VLOOKUP($B$7:$B$5000,SUM!$L$6:$L$500,1,FALSE)</f>
        <v>#N/A</v>
      </c>
      <c r="D452" s="81" t="s">
        <v>775</v>
      </c>
      <c r="E452" s="100" t="s">
        <v>58</v>
      </c>
      <c r="F452" s="84" t="s">
        <v>593</v>
      </c>
      <c r="G452" s="84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8" t="s">
        <v>433</v>
      </c>
      <c r="O452" s="90" t="s">
        <v>67</v>
      </c>
      <c r="P452" s="90" t="s">
        <v>68</v>
      </c>
      <c r="Q452" s="153">
        <v>46169.0</v>
      </c>
      <c r="R452" s="154" t="s">
        <v>66</v>
      </c>
      <c r="S452" s="155">
        <v>46188.0</v>
      </c>
      <c r="T452" s="156"/>
      <c r="U452" s="154" t="s">
        <v>31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1" t="s">
        <v>906</v>
      </c>
      <c r="C453" s="82" t="str">
        <f>VLOOKUP($B$7:$B$5000,SUM!$L$6:$L$500,1,FALSE)</f>
        <v>#N/A</v>
      </c>
      <c r="D453" s="81" t="s">
        <v>775</v>
      </c>
      <c r="E453" s="100" t="s">
        <v>58</v>
      </c>
      <c r="F453" s="84" t="s">
        <v>593</v>
      </c>
      <c r="G453" s="84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8" t="s">
        <v>433</v>
      </c>
      <c r="O453" s="90" t="s">
        <v>67</v>
      </c>
      <c r="P453" s="90" t="s">
        <v>68</v>
      </c>
      <c r="Q453" s="150">
        <v>46167.0</v>
      </c>
      <c r="R453" s="103" t="s">
        <v>597</v>
      </c>
      <c r="S453" s="150">
        <v>46168.0</v>
      </c>
      <c r="T453" s="103"/>
      <c r="U453" s="90" t="s">
        <v>31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1" t="s">
        <v>908</v>
      </c>
      <c r="C454" s="82" t="str">
        <f>VLOOKUP($B$7:$B$5000,SUM!$L$6:$L$500,1,FALSE)</f>
        <v>#N/A</v>
      </c>
      <c r="D454" s="81" t="s">
        <v>775</v>
      </c>
      <c r="E454" s="100" t="s">
        <v>58</v>
      </c>
      <c r="F454" s="84" t="s">
        <v>593</v>
      </c>
      <c r="G454" s="84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8" t="s">
        <v>433</v>
      </c>
      <c r="O454" s="90" t="s">
        <v>67</v>
      </c>
      <c r="P454" s="90" t="s">
        <v>68</v>
      </c>
      <c r="Q454" s="150">
        <v>46167.0</v>
      </c>
      <c r="R454" s="103" t="s">
        <v>597</v>
      </c>
      <c r="S454" s="150">
        <v>46168.0</v>
      </c>
      <c r="T454" s="103"/>
      <c r="U454" s="90" t="s">
        <v>31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1" t="s">
        <v>910</v>
      </c>
      <c r="C455" s="82" t="str">
        <f>VLOOKUP($B$7:$B$5000,SUM!$L$6:$L$500,1,FALSE)</f>
        <v>#N/A</v>
      </c>
      <c r="D455" s="81" t="s">
        <v>775</v>
      </c>
      <c r="E455" s="100" t="s">
        <v>58</v>
      </c>
      <c r="F455" s="84" t="s">
        <v>593</v>
      </c>
      <c r="G455" s="84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8" t="s">
        <v>433</v>
      </c>
      <c r="O455" s="90" t="s">
        <v>67</v>
      </c>
      <c r="P455" s="90" t="s">
        <v>68</v>
      </c>
      <c r="Q455" s="150">
        <v>46167.0</v>
      </c>
      <c r="R455" s="103" t="s">
        <v>597</v>
      </c>
      <c r="S455" s="150">
        <v>46168.0</v>
      </c>
      <c r="T455" s="103"/>
      <c r="U455" s="90" t="s">
        <v>31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1" t="s">
        <v>912</v>
      </c>
      <c r="C456" s="82" t="str">
        <f>VLOOKUP($B$7:$B$5000,SUM!$L$6:$L$500,1,FALSE)</f>
        <v>#N/A</v>
      </c>
      <c r="D456" s="81" t="s">
        <v>775</v>
      </c>
      <c r="E456" s="100" t="s">
        <v>58</v>
      </c>
      <c r="F456" s="84" t="s">
        <v>593</v>
      </c>
      <c r="G456" s="84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8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1" t="s">
        <v>914</v>
      </c>
      <c r="C457" s="82" t="str">
        <f>VLOOKUP($B$7:$B$5000,SUM!$L$6:$L$500,1,FALSE)</f>
        <v>#N/A</v>
      </c>
      <c r="D457" s="81" t="s">
        <v>775</v>
      </c>
      <c r="E457" s="100" t="s">
        <v>58</v>
      </c>
      <c r="F457" s="84" t="s">
        <v>593</v>
      </c>
      <c r="G457" s="84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8" t="s">
        <v>433</v>
      </c>
      <c r="O457" s="90" t="s">
        <v>67</v>
      </c>
      <c r="P457" s="90" t="s">
        <v>68</v>
      </c>
      <c r="Q457" s="150">
        <v>46167.0</v>
      </c>
      <c r="R457" s="103" t="s">
        <v>597</v>
      </c>
      <c r="S457" s="150">
        <v>46168.0</v>
      </c>
      <c r="T457" s="103"/>
      <c r="U457" s="90" t="s">
        <v>31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1" t="s">
        <v>916</v>
      </c>
      <c r="C458" s="82" t="str">
        <f>VLOOKUP($B$7:$B$5000,SUM!$L$6:$L$500,1,FALSE)</f>
        <v>#N/A</v>
      </c>
      <c r="D458" s="81" t="s">
        <v>775</v>
      </c>
      <c r="E458" s="100" t="s">
        <v>58</v>
      </c>
      <c r="F458" s="84" t="s">
        <v>593</v>
      </c>
      <c r="G458" s="84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8" t="s">
        <v>433</v>
      </c>
      <c r="O458" s="90" t="s">
        <v>67</v>
      </c>
      <c r="P458" s="90" t="s">
        <v>68</v>
      </c>
      <c r="Q458" s="150">
        <v>46167.0</v>
      </c>
      <c r="R458" s="103" t="s">
        <v>597</v>
      </c>
      <c r="S458" s="150">
        <v>46168.0</v>
      </c>
      <c r="T458" s="103"/>
      <c r="U458" s="90" t="s">
        <v>31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1" t="s">
        <v>918</v>
      </c>
      <c r="C459" s="82" t="str">
        <f>VLOOKUP($B$7:$B$5000,SUM!$L$6:$L$500,1,FALSE)</f>
        <v>#N/A</v>
      </c>
      <c r="D459" s="81" t="s">
        <v>775</v>
      </c>
      <c r="E459" s="100" t="s">
        <v>58</v>
      </c>
      <c r="F459" s="84" t="s">
        <v>593</v>
      </c>
      <c r="G459" s="84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8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1" t="s">
        <v>920</v>
      </c>
      <c r="C460" s="82" t="str">
        <f>VLOOKUP($B$7:$B$5000,SUM!$L$6:$L$500,1,FALSE)</f>
        <v>#N/A</v>
      </c>
      <c r="D460" s="81" t="s">
        <v>775</v>
      </c>
      <c r="E460" s="100" t="s">
        <v>58</v>
      </c>
      <c r="F460" s="84" t="s">
        <v>593</v>
      </c>
      <c r="G460" s="84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8" t="s">
        <v>433</v>
      </c>
      <c r="O460" s="90" t="s">
        <v>67</v>
      </c>
      <c r="P460" s="90" t="s">
        <v>68</v>
      </c>
      <c r="Q460" s="151">
        <v>46168.0</v>
      </c>
      <c r="R460" s="107" t="s">
        <v>66</v>
      </c>
      <c r="S460" s="152">
        <v>46171.0</v>
      </c>
      <c r="T460" s="103"/>
      <c r="U460" s="97" t="s">
        <v>31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1" t="s">
        <v>922</v>
      </c>
      <c r="C461" s="82" t="str">
        <f>VLOOKUP($B$7:$B$5000,SUM!$L$6:$L$500,1,FALSE)</f>
        <v>#N/A</v>
      </c>
      <c r="D461" s="81" t="s">
        <v>775</v>
      </c>
      <c r="E461" s="100" t="s">
        <v>58</v>
      </c>
      <c r="F461" s="84" t="s">
        <v>593</v>
      </c>
      <c r="G461" s="84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8" t="s">
        <v>433</v>
      </c>
      <c r="O461" s="90" t="s">
        <v>67</v>
      </c>
      <c r="P461" s="90" t="s">
        <v>68</v>
      </c>
      <c r="Q461" s="157">
        <v>46170.0</v>
      </c>
      <c r="R461" s="90" t="s">
        <v>66</v>
      </c>
      <c r="S461" s="152">
        <v>46171.0</v>
      </c>
      <c r="T461" s="103"/>
      <c r="U461" s="97" t="s">
        <v>31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1" t="s">
        <v>924</v>
      </c>
      <c r="C462" s="82" t="str">
        <f>VLOOKUP($B$7:$B$5000,SUM!$L$6:$L$500,1,FALSE)</f>
        <v>#N/A</v>
      </c>
      <c r="D462" s="81" t="s">
        <v>775</v>
      </c>
      <c r="E462" s="100" t="s">
        <v>58</v>
      </c>
      <c r="F462" s="84" t="s">
        <v>593</v>
      </c>
      <c r="G462" s="84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8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1" t="s">
        <v>926</v>
      </c>
      <c r="C463" s="82" t="str">
        <f>VLOOKUP($B$7:$B$5000,SUM!$L$6:$L$500,1,FALSE)</f>
        <v>#N/A</v>
      </c>
      <c r="D463" s="81" t="s">
        <v>775</v>
      </c>
      <c r="E463" s="100" t="s">
        <v>58</v>
      </c>
      <c r="F463" s="84" t="s">
        <v>593</v>
      </c>
      <c r="G463" s="84" t="s">
        <v>594</v>
      </c>
      <c r="H463" s="81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8" t="s">
        <v>433</v>
      </c>
      <c r="O463" s="90" t="s">
        <v>67</v>
      </c>
      <c r="P463" s="90" t="s">
        <v>68</v>
      </c>
      <c r="Q463" s="157">
        <v>46170.0</v>
      </c>
      <c r="R463" s="90" t="s">
        <v>66</v>
      </c>
      <c r="S463" s="152">
        <v>46171.0</v>
      </c>
      <c r="T463" s="103"/>
      <c r="U463" s="97" t="s">
        <v>31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1" t="s">
        <v>927</v>
      </c>
      <c r="C464" s="82" t="str">
        <f>VLOOKUP($B$7:$B$5000,SUM!$L$6:$L$500,1,FALSE)</f>
        <v>#N/A</v>
      </c>
      <c r="D464" s="81" t="s">
        <v>775</v>
      </c>
      <c r="E464" s="100" t="s">
        <v>58</v>
      </c>
      <c r="F464" s="84" t="s">
        <v>593</v>
      </c>
      <c r="G464" s="84" t="s">
        <v>594</v>
      </c>
      <c r="H464" s="81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8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1" t="s">
        <v>928</v>
      </c>
      <c r="C465" s="82" t="str">
        <f>VLOOKUP($B$7:$B$5000,SUM!$L$6:$L$500,1,FALSE)</f>
        <v>#N/A</v>
      </c>
      <c r="D465" s="81" t="s">
        <v>775</v>
      </c>
      <c r="E465" s="100" t="s">
        <v>58</v>
      </c>
      <c r="F465" s="84" t="s">
        <v>593</v>
      </c>
      <c r="G465" s="84" t="s">
        <v>594</v>
      </c>
      <c r="H465" s="81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8" t="s">
        <v>433</v>
      </c>
      <c r="O465" s="90" t="s">
        <v>67</v>
      </c>
      <c r="P465" s="90" t="s">
        <v>68</v>
      </c>
      <c r="Q465" s="151">
        <v>46168.0</v>
      </c>
      <c r="R465" s="107" t="s">
        <v>66</v>
      </c>
      <c r="S465" s="152">
        <v>46171.0</v>
      </c>
      <c r="T465" s="103"/>
      <c r="U465" s="97" t="s">
        <v>31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1" t="s">
        <v>929</v>
      </c>
      <c r="C466" s="82" t="str">
        <f>VLOOKUP($B$7:$B$5000,SUM!$L$6:$L$500,1,FALSE)</f>
        <v>#N/A</v>
      </c>
      <c r="D466" s="81" t="s">
        <v>775</v>
      </c>
      <c r="E466" s="100" t="s">
        <v>58</v>
      </c>
      <c r="F466" s="84" t="s">
        <v>593</v>
      </c>
      <c r="G466" s="84" t="s">
        <v>594</v>
      </c>
      <c r="H466" s="81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8" t="s">
        <v>433</v>
      </c>
      <c r="O466" s="90" t="s">
        <v>67</v>
      </c>
      <c r="P466" s="90" t="s">
        <v>68</v>
      </c>
      <c r="Q466" s="151">
        <v>46168.0</v>
      </c>
      <c r="R466" s="107" t="s">
        <v>66</v>
      </c>
      <c r="S466" s="152">
        <v>46171.0</v>
      </c>
      <c r="T466" s="103"/>
      <c r="U466" s="97" t="s">
        <v>31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1" t="s">
        <v>930</v>
      </c>
      <c r="C467" s="82" t="str">
        <f>VLOOKUP($B$7:$B$5000,SUM!$L$6:$L$500,1,FALSE)</f>
        <v>#N/A</v>
      </c>
      <c r="D467" s="81" t="s">
        <v>775</v>
      </c>
      <c r="E467" s="100" t="s">
        <v>58</v>
      </c>
      <c r="F467" s="84" t="s">
        <v>593</v>
      </c>
      <c r="G467" s="84" t="s">
        <v>594</v>
      </c>
      <c r="H467" s="81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8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1" t="s">
        <v>931</v>
      </c>
      <c r="C468" s="82" t="str">
        <f>VLOOKUP($B$7:$B$5000,SUM!$L$6:$L$500,1,FALSE)</f>
        <v>#N/A</v>
      </c>
      <c r="D468" s="81" t="s">
        <v>775</v>
      </c>
      <c r="E468" s="100" t="s">
        <v>58</v>
      </c>
      <c r="F468" s="84" t="s">
        <v>593</v>
      </c>
      <c r="G468" s="84" t="s">
        <v>594</v>
      </c>
      <c r="H468" s="81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8" t="s">
        <v>433</v>
      </c>
      <c r="O468" s="90" t="s">
        <v>67</v>
      </c>
      <c r="P468" s="90" t="s">
        <v>68</v>
      </c>
      <c r="Q468" s="151">
        <v>46168.0</v>
      </c>
      <c r="R468" s="107" t="s">
        <v>66</v>
      </c>
      <c r="S468" s="152">
        <v>46171.0</v>
      </c>
      <c r="T468" s="103"/>
      <c r="U468" s="97" t="s">
        <v>31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1" t="s">
        <v>932</v>
      </c>
      <c r="C469" s="82" t="str">
        <f>VLOOKUP($B$7:$B$5000,SUM!$L$6:$L$500,1,FALSE)</f>
        <v>#N/A</v>
      </c>
      <c r="D469" s="81" t="s">
        <v>775</v>
      </c>
      <c r="E469" s="100" t="s">
        <v>58</v>
      </c>
      <c r="F469" s="84" t="s">
        <v>593</v>
      </c>
      <c r="G469" s="84" t="s">
        <v>594</v>
      </c>
      <c r="H469" s="81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8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1" t="s">
        <v>933</v>
      </c>
      <c r="C470" s="82" t="str">
        <f>VLOOKUP($B$7:$B$5000,SUM!$L$6:$L$500,1,FALSE)</f>
        <v>#N/A</v>
      </c>
      <c r="D470" s="81" t="s">
        <v>775</v>
      </c>
      <c r="E470" s="100" t="s">
        <v>58</v>
      </c>
      <c r="F470" s="84" t="s">
        <v>593</v>
      </c>
      <c r="G470" s="84" t="s">
        <v>594</v>
      </c>
      <c r="H470" s="81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8" t="s">
        <v>433</v>
      </c>
      <c r="O470" s="90" t="s">
        <v>67</v>
      </c>
      <c r="P470" s="90" t="s">
        <v>68</v>
      </c>
      <c r="Q470" s="154" t="s">
        <v>791</v>
      </c>
      <c r="R470" s="154" t="s">
        <v>66</v>
      </c>
      <c r="S470" s="155">
        <v>46189.0</v>
      </c>
      <c r="T470" s="156"/>
      <c r="U470" s="154" t="s">
        <v>31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1" t="s">
        <v>934</v>
      </c>
      <c r="C471" s="82" t="str">
        <f>VLOOKUP($B$7:$B$5000,SUM!$L$6:$L$500,1,FALSE)</f>
        <v>#N/A</v>
      </c>
      <c r="D471" s="81" t="s">
        <v>775</v>
      </c>
      <c r="E471" s="100" t="s">
        <v>58</v>
      </c>
      <c r="F471" s="84" t="s">
        <v>593</v>
      </c>
      <c r="G471" s="84" t="s">
        <v>594</v>
      </c>
      <c r="H471" s="81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8" t="s">
        <v>433</v>
      </c>
      <c r="O471" s="90" t="s">
        <v>67</v>
      </c>
      <c r="P471" s="90" t="s">
        <v>68</v>
      </c>
      <c r="Q471" s="157">
        <v>46170.0</v>
      </c>
      <c r="R471" s="90" t="s">
        <v>66</v>
      </c>
      <c r="S471" s="152">
        <v>46171.0</v>
      </c>
      <c r="T471" s="103"/>
      <c r="U471" s="97" t="s">
        <v>31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1" t="s">
        <v>935</v>
      </c>
      <c r="C472" s="82" t="str">
        <f>VLOOKUP($B$7:$B$5000,SUM!$L$6:$L$500,1,FALSE)</f>
        <v>#N/A</v>
      </c>
      <c r="D472" s="81" t="s">
        <v>775</v>
      </c>
      <c r="E472" s="100" t="s">
        <v>58</v>
      </c>
      <c r="F472" s="84" t="s">
        <v>593</v>
      </c>
      <c r="G472" s="84" t="s">
        <v>594</v>
      </c>
      <c r="H472" s="81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8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1" t="s">
        <v>936</v>
      </c>
      <c r="C473" s="82" t="str">
        <f>VLOOKUP($B$7:$B$5000,SUM!$L$6:$L$500,1,FALSE)</f>
        <v>#N/A</v>
      </c>
      <c r="D473" s="81" t="s">
        <v>775</v>
      </c>
      <c r="E473" s="100" t="s">
        <v>58</v>
      </c>
      <c r="F473" s="84" t="s">
        <v>593</v>
      </c>
      <c r="G473" s="84" t="s">
        <v>594</v>
      </c>
      <c r="H473" s="81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8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1" t="s">
        <v>937</v>
      </c>
      <c r="C474" s="82" t="str">
        <f>VLOOKUP($B$7:$B$5000,SUM!$L$6:$L$500,1,FALSE)</f>
        <v>#N/A</v>
      </c>
      <c r="D474" s="81" t="s">
        <v>775</v>
      </c>
      <c r="E474" s="100" t="s">
        <v>58</v>
      </c>
      <c r="F474" s="84" t="s">
        <v>593</v>
      </c>
      <c r="G474" s="84" t="s">
        <v>594</v>
      </c>
      <c r="H474" s="81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8" t="s">
        <v>433</v>
      </c>
      <c r="O474" s="90" t="s">
        <v>67</v>
      </c>
      <c r="P474" s="90" t="s">
        <v>68</v>
      </c>
      <c r="Q474" s="151">
        <v>46168.0</v>
      </c>
      <c r="R474" s="107" t="s">
        <v>66</v>
      </c>
      <c r="S474" s="152">
        <v>46171.0</v>
      </c>
      <c r="T474" s="103"/>
      <c r="U474" s="97" t="s">
        <v>31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1" t="s">
        <v>938</v>
      </c>
      <c r="C475" s="82" t="str">
        <f>VLOOKUP($B$7:$B$5000,SUM!$L$6:$L$500,1,FALSE)</f>
        <v>#N/A</v>
      </c>
      <c r="D475" s="81" t="s">
        <v>775</v>
      </c>
      <c r="E475" s="100" t="s">
        <v>58</v>
      </c>
      <c r="F475" s="84" t="s">
        <v>593</v>
      </c>
      <c r="G475" s="84" t="s">
        <v>594</v>
      </c>
      <c r="H475" s="81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8" t="s">
        <v>433</v>
      </c>
      <c r="O475" s="90" t="s">
        <v>67</v>
      </c>
      <c r="P475" s="90" t="s">
        <v>68</v>
      </c>
      <c r="Q475" s="154" t="s">
        <v>791</v>
      </c>
      <c r="R475" s="154" t="s">
        <v>66</v>
      </c>
      <c r="S475" s="155">
        <v>46189.0</v>
      </c>
      <c r="T475" s="156"/>
      <c r="U475" s="154" t="s">
        <v>31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1" t="s">
        <v>939</v>
      </c>
      <c r="C476" s="82" t="str">
        <f>VLOOKUP($B$7:$B$5000,SUM!$L$6:$L$500,1,FALSE)</f>
        <v>#N/A</v>
      </c>
      <c r="D476" s="81" t="s">
        <v>775</v>
      </c>
      <c r="E476" s="100" t="s">
        <v>58</v>
      </c>
      <c r="F476" s="84" t="s">
        <v>593</v>
      </c>
      <c r="G476" s="84" t="s">
        <v>594</v>
      </c>
      <c r="H476" s="81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8" t="s">
        <v>433</v>
      </c>
      <c r="O476" s="90" t="s">
        <v>67</v>
      </c>
      <c r="P476" s="90" t="s">
        <v>68</v>
      </c>
      <c r="Q476" s="150">
        <v>46167.0</v>
      </c>
      <c r="R476" s="103" t="s">
        <v>597</v>
      </c>
      <c r="S476" s="150">
        <v>46168.0</v>
      </c>
      <c r="T476" s="103"/>
      <c r="U476" s="90" t="s">
        <v>31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1" t="s">
        <v>940</v>
      </c>
      <c r="C477" s="82" t="str">
        <f>VLOOKUP($B$7:$B$5000,SUM!$L$6:$L$500,1,FALSE)</f>
        <v>#N/A</v>
      </c>
      <c r="D477" s="81" t="s">
        <v>775</v>
      </c>
      <c r="E477" s="100" t="s">
        <v>58</v>
      </c>
      <c r="F477" s="84" t="s">
        <v>593</v>
      </c>
      <c r="G477" s="84" t="s">
        <v>594</v>
      </c>
      <c r="H477" s="81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8" t="s">
        <v>433</v>
      </c>
      <c r="O477" s="90" t="s">
        <v>67</v>
      </c>
      <c r="P477" s="90" t="s">
        <v>68</v>
      </c>
      <c r="Q477" s="154" t="s">
        <v>791</v>
      </c>
      <c r="R477" s="154" t="s">
        <v>66</v>
      </c>
      <c r="S477" s="155">
        <v>46189.0</v>
      </c>
      <c r="T477" s="156"/>
      <c r="U477" s="154" t="s">
        <v>31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1" t="s">
        <v>941</v>
      </c>
      <c r="C478" s="82" t="str">
        <f>VLOOKUP($B$7:$B$5000,SUM!$L$6:$L$500,1,FALSE)</f>
        <v>#N/A</v>
      </c>
      <c r="D478" s="81" t="s">
        <v>775</v>
      </c>
      <c r="E478" s="100" t="s">
        <v>58</v>
      </c>
      <c r="F478" s="84" t="s">
        <v>593</v>
      </c>
      <c r="G478" s="84" t="s">
        <v>594</v>
      </c>
      <c r="H478" s="81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8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1" t="s">
        <v>942</v>
      </c>
      <c r="C479" s="82" t="str">
        <f>VLOOKUP($B$7:$B$5000,SUM!$L$6:$L$500,1,FALSE)</f>
        <v>#N/A</v>
      </c>
      <c r="D479" s="81" t="s">
        <v>775</v>
      </c>
      <c r="E479" s="100" t="s">
        <v>58</v>
      </c>
      <c r="F479" s="84" t="s">
        <v>593</v>
      </c>
      <c r="G479" s="84" t="s">
        <v>594</v>
      </c>
      <c r="H479" s="81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8" t="s">
        <v>433</v>
      </c>
      <c r="O479" s="90" t="s">
        <v>67</v>
      </c>
      <c r="P479" s="90" t="s">
        <v>68</v>
      </c>
      <c r="Q479" s="151">
        <v>46168.0</v>
      </c>
      <c r="R479" s="107" t="s">
        <v>66</v>
      </c>
      <c r="S479" s="152">
        <v>46171.0</v>
      </c>
      <c r="T479" s="103"/>
      <c r="U479" s="97" t="s">
        <v>31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1" t="s">
        <v>943</v>
      </c>
      <c r="C480" s="82" t="str">
        <f>VLOOKUP($B$7:$B$5000,SUM!$L$6:$L$500,1,FALSE)</f>
        <v>#N/A</v>
      </c>
      <c r="D480" s="81" t="s">
        <v>775</v>
      </c>
      <c r="E480" s="100" t="s">
        <v>58</v>
      </c>
      <c r="F480" s="84" t="s">
        <v>593</v>
      </c>
      <c r="G480" s="84" t="s">
        <v>594</v>
      </c>
      <c r="H480" s="81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8" t="s">
        <v>433</v>
      </c>
      <c r="O480" s="90" t="s">
        <v>67</v>
      </c>
      <c r="P480" s="90" t="s">
        <v>68</v>
      </c>
      <c r="Q480" s="153">
        <v>46169.0</v>
      </c>
      <c r="R480" s="154" t="s">
        <v>66</v>
      </c>
      <c r="S480" s="155">
        <v>46188.0</v>
      </c>
      <c r="T480" s="156"/>
      <c r="U480" s="154" t="s">
        <v>31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1" t="s">
        <v>944</v>
      </c>
      <c r="C481" s="82" t="str">
        <f>VLOOKUP($B$7:$B$5000,SUM!$L$6:$L$500,1,FALSE)</f>
        <v>#N/A</v>
      </c>
      <c r="D481" s="81" t="s">
        <v>775</v>
      </c>
      <c r="E481" s="100" t="s">
        <v>58</v>
      </c>
      <c r="F481" s="84" t="s">
        <v>593</v>
      </c>
      <c r="G481" s="84" t="s">
        <v>594</v>
      </c>
      <c r="H481" s="81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8" t="s">
        <v>433</v>
      </c>
      <c r="O481" s="90" t="s">
        <v>67</v>
      </c>
      <c r="P481" s="90" t="s">
        <v>68</v>
      </c>
      <c r="Q481" s="151">
        <v>46168.0</v>
      </c>
      <c r="R481" s="107" t="s">
        <v>66</v>
      </c>
      <c r="S481" s="152">
        <v>46171.0</v>
      </c>
      <c r="T481" s="103"/>
      <c r="U481" s="97" t="s">
        <v>31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1" t="s">
        <v>945</v>
      </c>
      <c r="C482" s="82" t="str">
        <f>VLOOKUP($B$7:$B$5000,SUM!$L$6:$L$500,1,FALSE)</f>
        <v>#N/A</v>
      </c>
      <c r="D482" s="81" t="s">
        <v>775</v>
      </c>
      <c r="E482" s="100" t="s">
        <v>58</v>
      </c>
      <c r="F482" s="84" t="s">
        <v>593</v>
      </c>
      <c r="G482" s="84" t="s">
        <v>594</v>
      </c>
      <c r="H482" s="81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8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1" t="s">
        <v>946</v>
      </c>
      <c r="C483" s="82" t="str">
        <f>VLOOKUP($B$7:$B$5000,SUM!$L$6:$L$500,1,FALSE)</f>
        <v>#N/A</v>
      </c>
      <c r="D483" s="81" t="s">
        <v>775</v>
      </c>
      <c r="E483" s="100" t="s">
        <v>58</v>
      </c>
      <c r="F483" s="84" t="s">
        <v>593</v>
      </c>
      <c r="G483" s="84" t="s">
        <v>594</v>
      </c>
      <c r="H483" s="81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8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1" t="s">
        <v>947</v>
      </c>
      <c r="C484" s="82" t="str">
        <f>VLOOKUP($B$7:$B$5000,SUM!$L$6:$L$500,1,FALSE)</f>
        <v>#N/A</v>
      </c>
      <c r="D484" s="81" t="s">
        <v>775</v>
      </c>
      <c r="E484" s="100" t="s">
        <v>58</v>
      </c>
      <c r="F484" s="84" t="s">
        <v>593</v>
      </c>
      <c r="G484" s="84" t="s">
        <v>594</v>
      </c>
      <c r="H484" s="81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8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1" t="s">
        <v>948</v>
      </c>
      <c r="C485" s="82" t="str">
        <f>VLOOKUP($B$7:$B$5000,SUM!$L$6:$L$500,1,FALSE)</f>
        <v>#N/A</v>
      </c>
      <c r="D485" s="81" t="s">
        <v>775</v>
      </c>
      <c r="E485" s="100" t="s">
        <v>58</v>
      </c>
      <c r="F485" s="84" t="s">
        <v>593</v>
      </c>
      <c r="G485" s="84" t="s">
        <v>594</v>
      </c>
      <c r="H485" s="81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8" t="s">
        <v>433</v>
      </c>
      <c r="O485" s="90" t="s">
        <v>67</v>
      </c>
      <c r="P485" s="90" t="s">
        <v>68</v>
      </c>
      <c r="Q485" s="151">
        <v>46168.0</v>
      </c>
      <c r="R485" s="107" t="s">
        <v>66</v>
      </c>
      <c r="S485" s="152">
        <v>46171.0</v>
      </c>
      <c r="T485" s="103"/>
      <c r="U485" s="97" t="s">
        <v>31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1" t="s">
        <v>949</v>
      </c>
      <c r="C486" s="82" t="str">
        <f>VLOOKUP($B$7:$B$5000,SUM!$L$6:$L$500,1,FALSE)</f>
        <v>#N/A</v>
      </c>
      <c r="D486" s="81" t="s">
        <v>775</v>
      </c>
      <c r="E486" s="100" t="s">
        <v>58</v>
      </c>
      <c r="F486" s="84" t="s">
        <v>593</v>
      </c>
      <c r="G486" s="84" t="s">
        <v>594</v>
      </c>
      <c r="H486" s="81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8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1" t="s">
        <v>950</v>
      </c>
      <c r="C487" s="82" t="str">
        <f>VLOOKUP($B$7:$B$5000,SUM!$L$6:$L$500,1,FALSE)</f>
        <v>#N/A</v>
      </c>
      <c r="D487" s="81" t="s">
        <v>775</v>
      </c>
      <c r="E487" s="100" t="s">
        <v>58</v>
      </c>
      <c r="F487" s="84" t="s">
        <v>593</v>
      </c>
      <c r="G487" s="84" t="s">
        <v>594</v>
      </c>
      <c r="H487" s="81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8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1" t="s">
        <v>951</v>
      </c>
      <c r="C488" s="82" t="str">
        <f>VLOOKUP($B$7:$B$5000,SUM!$L$6:$L$500,1,FALSE)</f>
        <v>#N/A</v>
      </c>
      <c r="D488" s="81" t="s">
        <v>775</v>
      </c>
      <c r="E488" s="100" t="s">
        <v>58</v>
      </c>
      <c r="F488" s="84" t="s">
        <v>593</v>
      </c>
      <c r="G488" s="84" t="s">
        <v>594</v>
      </c>
      <c r="H488" s="81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8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1" t="s">
        <v>952</v>
      </c>
      <c r="C489" s="82" t="str">
        <f>VLOOKUP($B$7:$B$5000,SUM!$L$6:$L$500,1,FALSE)</f>
        <v>#N/A</v>
      </c>
      <c r="D489" s="81" t="s">
        <v>775</v>
      </c>
      <c r="E489" s="100" t="s">
        <v>58</v>
      </c>
      <c r="F489" s="84" t="s">
        <v>593</v>
      </c>
      <c r="G489" s="84" t="s">
        <v>594</v>
      </c>
      <c r="H489" s="81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8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1" t="s">
        <v>953</v>
      </c>
      <c r="C490" s="82" t="str">
        <f>VLOOKUP($B$7:$B$5000,SUM!$L$6:$L$500,1,FALSE)</f>
        <v>#N/A</v>
      </c>
      <c r="D490" s="81" t="s">
        <v>775</v>
      </c>
      <c r="E490" s="100" t="s">
        <v>58</v>
      </c>
      <c r="F490" s="84" t="s">
        <v>593</v>
      </c>
      <c r="G490" s="84" t="s">
        <v>594</v>
      </c>
      <c r="H490" s="81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8" t="s">
        <v>433</v>
      </c>
      <c r="O490" s="90" t="s">
        <v>67</v>
      </c>
      <c r="P490" s="90" t="s">
        <v>68</v>
      </c>
      <c r="Q490" s="150">
        <v>46167.0</v>
      </c>
      <c r="R490" s="103" t="s">
        <v>597</v>
      </c>
      <c r="S490" s="150">
        <v>46168.0</v>
      </c>
      <c r="T490" s="103"/>
      <c r="U490" s="90" t="s">
        <v>31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1" t="s">
        <v>955</v>
      </c>
      <c r="C491" s="82" t="str">
        <f>VLOOKUP($B$7:$B$5000,SUM!$L$6:$L$500,1,FALSE)</f>
        <v>#N/A</v>
      </c>
      <c r="D491" s="81" t="s">
        <v>775</v>
      </c>
      <c r="E491" s="100" t="s">
        <v>58</v>
      </c>
      <c r="F491" s="84" t="s">
        <v>593</v>
      </c>
      <c r="G491" s="84" t="s">
        <v>594</v>
      </c>
      <c r="H491" s="81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8" t="s">
        <v>433</v>
      </c>
      <c r="O491" s="90" t="s">
        <v>67</v>
      </c>
      <c r="P491" s="90" t="s">
        <v>68</v>
      </c>
      <c r="Q491" s="150">
        <v>46167.0</v>
      </c>
      <c r="R491" s="103" t="s">
        <v>597</v>
      </c>
      <c r="S491" s="150">
        <v>46168.0</v>
      </c>
      <c r="T491" s="103"/>
      <c r="U491" s="90" t="s">
        <v>31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1" t="s">
        <v>956</v>
      </c>
      <c r="C492" s="82" t="str">
        <f>VLOOKUP($B$7:$B$5000,SUM!$L$6:$L$500,1,FALSE)</f>
        <v>#N/A</v>
      </c>
      <c r="D492" s="81" t="s">
        <v>775</v>
      </c>
      <c r="E492" s="100" t="s">
        <v>58</v>
      </c>
      <c r="F492" s="84" t="s">
        <v>593</v>
      </c>
      <c r="G492" s="84" t="s">
        <v>594</v>
      </c>
      <c r="H492" s="81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8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1" t="s">
        <v>957</v>
      </c>
      <c r="C493" s="82" t="str">
        <f>VLOOKUP($B$7:$B$5000,SUM!$L$6:$L$500,1,FALSE)</f>
        <v>#N/A</v>
      </c>
      <c r="D493" s="81" t="s">
        <v>775</v>
      </c>
      <c r="E493" s="100" t="s">
        <v>58</v>
      </c>
      <c r="F493" s="84" t="s">
        <v>593</v>
      </c>
      <c r="G493" s="84" t="s">
        <v>594</v>
      </c>
      <c r="H493" s="81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8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1" t="s">
        <v>958</v>
      </c>
      <c r="C494" s="82" t="str">
        <f>VLOOKUP($B$7:$B$5000,SUM!$L$6:$L$500,1,FALSE)</f>
        <v>#N/A</v>
      </c>
      <c r="D494" s="81" t="s">
        <v>775</v>
      </c>
      <c r="E494" s="100" t="s">
        <v>58</v>
      </c>
      <c r="F494" s="84" t="s">
        <v>593</v>
      </c>
      <c r="G494" s="84" t="s">
        <v>594</v>
      </c>
      <c r="H494" s="81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8" t="s">
        <v>433</v>
      </c>
      <c r="O494" s="90" t="s">
        <v>67</v>
      </c>
      <c r="P494" s="90" t="s">
        <v>68</v>
      </c>
      <c r="Q494" s="157">
        <v>46170.0</v>
      </c>
      <c r="R494" s="90" t="s">
        <v>66</v>
      </c>
      <c r="S494" s="152">
        <v>46171.0</v>
      </c>
      <c r="T494" s="103"/>
      <c r="U494" s="97" t="s">
        <v>31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1" t="s">
        <v>959</v>
      </c>
      <c r="C495" s="82" t="str">
        <f>VLOOKUP($B$7:$B$5000,SUM!$L$6:$L$500,1,FALSE)</f>
        <v>#N/A</v>
      </c>
      <c r="D495" s="81" t="s">
        <v>775</v>
      </c>
      <c r="E495" s="100" t="s">
        <v>58</v>
      </c>
      <c r="F495" s="84" t="s">
        <v>593</v>
      </c>
      <c r="G495" s="84" t="s">
        <v>594</v>
      </c>
      <c r="H495" s="81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8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1" t="s">
        <v>960</v>
      </c>
      <c r="C496" s="82" t="str">
        <f>VLOOKUP($B$7:$B$5000,SUM!$L$6:$L$500,1,FALSE)</f>
        <v>#N/A</v>
      </c>
      <c r="D496" s="81" t="s">
        <v>775</v>
      </c>
      <c r="E496" s="100" t="s">
        <v>58</v>
      </c>
      <c r="F496" s="84" t="s">
        <v>593</v>
      </c>
      <c r="G496" s="84" t="s">
        <v>594</v>
      </c>
      <c r="H496" s="81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8" t="s">
        <v>433</v>
      </c>
      <c r="O496" s="90" t="s">
        <v>67</v>
      </c>
      <c r="P496" s="90" t="s">
        <v>68</v>
      </c>
      <c r="Q496" s="150">
        <v>46167.0</v>
      </c>
      <c r="R496" s="103" t="s">
        <v>597</v>
      </c>
      <c r="S496" s="150">
        <v>46168.0</v>
      </c>
      <c r="T496" s="103"/>
      <c r="U496" s="90" t="s">
        <v>31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1" t="s">
        <v>961</v>
      </c>
      <c r="C497" s="82" t="str">
        <f>VLOOKUP($B$7:$B$5000,SUM!$L$6:$L$500,1,FALSE)</f>
        <v>#N/A</v>
      </c>
      <c r="D497" s="81" t="s">
        <v>775</v>
      </c>
      <c r="E497" s="100" t="s">
        <v>58</v>
      </c>
      <c r="F497" s="84" t="s">
        <v>593</v>
      </c>
      <c r="G497" s="84" t="s">
        <v>594</v>
      </c>
      <c r="H497" s="81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8" t="s">
        <v>433</v>
      </c>
      <c r="O497" s="90" t="s">
        <v>67</v>
      </c>
      <c r="P497" s="90" t="s">
        <v>68</v>
      </c>
      <c r="Q497" s="150">
        <v>46167.0</v>
      </c>
      <c r="R497" s="103" t="s">
        <v>597</v>
      </c>
      <c r="S497" s="150">
        <v>46168.0</v>
      </c>
      <c r="T497" s="103"/>
      <c r="U497" s="90" t="s">
        <v>31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1" t="s">
        <v>962</v>
      </c>
      <c r="C498" s="82" t="str">
        <f>VLOOKUP($B$7:$B$5000,SUM!$L$6:$L$500,1,FALSE)</f>
        <v>#N/A</v>
      </c>
      <c r="D498" s="81" t="s">
        <v>775</v>
      </c>
      <c r="E498" s="100" t="s">
        <v>58</v>
      </c>
      <c r="F498" s="84" t="s">
        <v>593</v>
      </c>
      <c r="G498" s="84" t="s">
        <v>594</v>
      </c>
      <c r="H498" s="81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8" t="s">
        <v>433</v>
      </c>
      <c r="O498" s="90" t="s">
        <v>67</v>
      </c>
      <c r="P498" s="90" t="s">
        <v>68</v>
      </c>
      <c r="Q498" s="154" t="s">
        <v>791</v>
      </c>
      <c r="R498" s="154" t="s">
        <v>66</v>
      </c>
      <c r="S498" s="155">
        <v>46189.0</v>
      </c>
      <c r="T498" s="156"/>
      <c r="U498" s="154" t="s">
        <v>31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1" t="s">
        <v>963</v>
      </c>
      <c r="C499" s="82" t="str">
        <f>VLOOKUP($B$7:$B$5000,SUM!$L$6:$L$500,1,FALSE)</f>
        <v>#N/A</v>
      </c>
      <c r="D499" s="81" t="s">
        <v>775</v>
      </c>
      <c r="E499" s="100" t="s">
        <v>58</v>
      </c>
      <c r="F499" s="84" t="s">
        <v>593</v>
      </c>
      <c r="G499" s="84" t="s">
        <v>594</v>
      </c>
      <c r="H499" s="81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8" t="s">
        <v>433</v>
      </c>
      <c r="O499" s="90" t="s">
        <v>67</v>
      </c>
      <c r="P499" s="90" t="s">
        <v>68</v>
      </c>
      <c r="Q499" s="154" t="s">
        <v>791</v>
      </c>
      <c r="R499" s="154" t="s">
        <v>66</v>
      </c>
      <c r="S499" s="155">
        <v>46189.0</v>
      </c>
      <c r="T499" s="156"/>
      <c r="U499" s="154" t="s">
        <v>31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1" t="s">
        <v>964</v>
      </c>
      <c r="C500" s="82" t="str">
        <f>VLOOKUP($B$7:$B$5000,SUM!$L$6:$L$500,1,FALSE)</f>
        <v>#N/A</v>
      </c>
      <c r="D500" s="81" t="s">
        <v>775</v>
      </c>
      <c r="E500" s="100" t="s">
        <v>58</v>
      </c>
      <c r="F500" s="84" t="s">
        <v>593</v>
      </c>
      <c r="G500" s="84" t="s">
        <v>594</v>
      </c>
      <c r="H500" s="81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8" t="s">
        <v>433</v>
      </c>
      <c r="O500" s="90" t="s">
        <v>67</v>
      </c>
      <c r="P500" s="90" t="s">
        <v>68</v>
      </c>
      <c r="Q500" s="154" t="s">
        <v>791</v>
      </c>
      <c r="R500" s="154" t="s">
        <v>66</v>
      </c>
      <c r="S500" s="155">
        <v>46189.0</v>
      </c>
      <c r="T500" s="156"/>
      <c r="U500" s="154" t="s">
        <v>31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1" t="s">
        <v>965</v>
      </c>
      <c r="C501" s="82" t="str">
        <f>VLOOKUP($B$7:$B$5000,SUM!$L$6:$L$500,1,FALSE)</f>
        <v>#N/A</v>
      </c>
      <c r="D501" s="81" t="s">
        <v>775</v>
      </c>
      <c r="E501" s="100" t="s">
        <v>58</v>
      </c>
      <c r="F501" s="84" t="s">
        <v>593</v>
      </c>
      <c r="G501" s="84" t="s">
        <v>594</v>
      </c>
      <c r="H501" s="81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8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1" t="s">
        <v>966</v>
      </c>
      <c r="C502" s="82" t="str">
        <f>VLOOKUP($B$7:$B$5000,SUM!$L$6:$L$500,1,FALSE)</f>
        <v>#N/A</v>
      </c>
      <c r="D502" s="81" t="s">
        <v>775</v>
      </c>
      <c r="E502" s="100" t="s">
        <v>58</v>
      </c>
      <c r="F502" s="84" t="s">
        <v>593</v>
      </c>
      <c r="G502" s="84" t="s">
        <v>594</v>
      </c>
      <c r="H502" s="81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8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1" t="s">
        <v>967</v>
      </c>
      <c r="C503" s="82" t="str">
        <f>VLOOKUP($B$7:$B$5000,SUM!$L$6:$L$500,1,FALSE)</f>
        <v>#N/A</v>
      </c>
      <c r="D503" s="81" t="s">
        <v>775</v>
      </c>
      <c r="E503" s="100" t="s">
        <v>58</v>
      </c>
      <c r="F503" s="84" t="s">
        <v>593</v>
      </c>
      <c r="G503" s="84" t="s">
        <v>594</v>
      </c>
      <c r="H503" s="81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8" t="s">
        <v>433</v>
      </c>
      <c r="O503" s="90" t="s">
        <v>67</v>
      </c>
      <c r="P503" s="90" t="s">
        <v>68</v>
      </c>
      <c r="Q503" s="150">
        <v>46167.0</v>
      </c>
      <c r="R503" s="103" t="s">
        <v>597</v>
      </c>
      <c r="S503" s="150">
        <v>46168.0</v>
      </c>
      <c r="T503" s="103"/>
      <c r="U503" s="90" t="s">
        <v>31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1" t="s">
        <v>968</v>
      </c>
      <c r="C504" s="82" t="str">
        <f>VLOOKUP($B$7:$B$5000,SUM!$L$6:$L$500,1,FALSE)</f>
        <v>#N/A</v>
      </c>
      <c r="D504" s="81" t="s">
        <v>775</v>
      </c>
      <c r="E504" s="100" t="s">
        <v>58</v>
      </c>
      <c r="F504" s="84" t="s">
        <v>593</v>
      </c>
      <c r="G504" s="84" t="s">
        <v>594</v>
      </c>
      <c r="H504" s="81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8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1" t="s">
        <v>969</v>
      </c>
      <c r="C505" s="82" t="str">
        <f>VLOOKUP($B$7:$B$5000,SUM!$L$6:$L$500,1,FALSE)</f>
        <v>#N/A</v>
      </c>
      <c r="D505" s="81" t="s">
        <v>775</v>
      </c>
      <c r="E505" s="100" t="s">
        <v>58</v>
      </c>
      <c r="F505" s="84" t="s">
        <v>593</v>
      </c>
      <c r="G505" s="84" t="s">
        <v>594</v>
      </c>
      <c r="H505" s="81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8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1" t="s">
        <v>970</v>
      </c>
      <c r="C506" s="82" t="str">
        <f>VLOOKUP($B$7:$B$5000,SUM!$L$6:$L$500,1,FALSE)</f>
        <v>#N/A</v>
      </c>
      <c r="D506" s="81" t="s">
        <v>775</v>
      </c>
      <c r="E506" s="100" t="s">
        <v>58</v>
      </c>
      <c r="F506" s="84" t="s">
        <v>593</v>
      </c>
      <c r="G506" s="84" t="s">
        <v>594</v>
      </c>
      <c r="H506" s="81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8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1" t="s">
        <v>971</v>
      </c>
      <c r="C507" s="82" t="str">
        <f>VLOOKUP($B$7:$B$5000,SUM!$L$6:$L$500,1,FALSE)</f>
        <v>#N/A</v>
      </c>
      <c r="D507" s="81" t="s">
        <v>775</v>
      </c>
      <c r="E507" s="100" t="s">
        <v>58</v>
      </c>
      <c r="F507" s="84" t="s">
        <v>593</v>
      </c>
      <c r="G507" s="84" t="s">
        <v>594</v>
      </c>
      <c r="H507" s="81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8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1" t="s">
        <v>972</v>
      </c>
      <c r="C508" s="82" t="str">
        <f>VLOOKUP($B$7:$B$5000,SUM!$L$6:$L$500,1,FALSE)</f>
        <v>#N/A</v>
      </c>
      <c r="D508" s="81" t="s">
        <v>775</v>
      </c>
      <c r="E508" s="100" t="s">
        <v>58</v>
      </c>
      <c r="F508" s="84" t="s">
        <v>593</v>
      </c>
      <c r="G508" s="84" t="s">
        <v>594</v>
      </c>
      <c r="H508" s="81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8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1" t="s">
        <v>973</v>
      </c>
      <c r="C509" s="82" t="str">
        <f>VLOOKUP($B$7:$B$5000,SUM!$L$6:$L$500,1,FALSE)</f>
        <v>#N/A</v>
      </c>
      <c r="D509" s="81" t="s">
        <v>775</v>
      </c>
      <c r="E509" s="100" t="s">
        <v>58</v>
      </c>
      <c r="F509" s="84" t="s">
        <v>593</v>
      </c>
      <c r="G509" s="84" t="s">
        <v>594</v>
      </c>
      <c r="H509" s="81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8" t="s">
        <v>433</v>
      </c>
      <c r="O509" s="90" t="s">
        <v>67</v>
      </c>
      <c r="P509" s="90" t="s">
        <v>68</v>
      </c>
      <c r="Q509" s="154" t="s">
        <v>791</v>
      </c>
      <c r="R509" s="154" t="s">
        <v>66</v>
      </c>
      <c r="S509" s="155">
        <v>46189.0</v>
      </c>
      <c r="T509" s="156"/>
      <c r="U509" s="154" t="s">
        <v>31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1" t="s">
        <v>974</v>
      </c>
      <c r="C510" s="82" t="str">
        <f>VLOOKUP($B$7:$B$5000,SUM!$L$6:$L$500,1,FALSE)</f>
        <v>#N/A</v>
      </c>
      <c r="D510" s="81" t="s">
        <v>775</v>
      </c>
      <c r="E510" s="100" t="s">
        <v>58</v>
      </c>
      <c r="F510" s="84" t="s">
        <v>593</v>
      </c>
      <c r="G510" s="84" t="s">
        <v>594</v>
      </c>
      <c r="H510" s="81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8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1" t="s">
        <v>975</v>
      </c>
      <c r="C511" s="82" t="str">
        <f>VLOOKUP($B$7:$B$5000,SUM!$L$6:$L$500,1,FALSE)</f>
        <v>#N/A</v>
      </c>
      <c r="D511" s="81" t="s">
        <v>775</v>
      </c>
      <c r="E511" s="100" t="s">
        <v>58</v>
      </c>
      <c r="F511" s="84" t="s">
        <v>593</v>
      </c>
      <c r="G511" s="84" t="s">
        <v>594</v>
      </c>
      <c r="H511" s="81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8" t="s">
        <v>433</v>
      </c>
      <c r="O511" s="90" t="s">
        <v>67</v>
      </c>
      <c r="P511" s="90" t="s">
        <v>68</v>
      </c>
      <c r="Q511" s="151">
        <v>46168.0</v>
      </c>
      <c r="R511" s="107" t="s">
        <v>66</v>
      </c>
      <c r="S511" s="152">
        <v>46171.0</v>
      </c>
      <c r="T511" s="103"/>
      <c r="U511" s="97" t="s">
        <v>31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1" t="s">
        <v>976</v>
      </c>
      <c r="C512" s="82" t="str">
        <f>VLOOKUP($B$7:$B$5000,SUM!$L$6:$L$500,1,FALSE)</f>
        <v>#N/A</v>
      </c>
      <c r="D512" s="81" t="s">
        <v>775</v>
      </c>
      <c r="E512" s="100" t="s">
        <v>58</v>
      </c>
      <c r="F512" s="84" t="s">
        <v>593</v>
      </c>
      <c r="G512" s="84" t="s">
        <v>594</v>
      </c>
      <c r="H512" s="81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8" t="s">
        <v>433</v>
      </c>
      <c r="O512" s="90" t="s">
        <v>67</v>
      </c>
      <c r="P512" s="90" t="s">
        <v>68</v>
      </c>
      <c r="Q512" s="150">
        <v>46167.0</v>
      </c>
      <c r="R512" s="103" t="s">
        <v>597</v>
      </c>
      <c r="S512" s="150">
        <v>46168.0</v>
      </c>
      <c r="T512" s="103"/>
      <c r="U512" s="90" t="s">
        <v>31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1" t="s">
        <v>977</v>
      </c>
      <c r="C513" s="82" t="str">
        <f>VLOOKUP($B$7:$B$5000,SUM!$L$6:$L$500,1,FALSE)</f>
        <v>#N/A</v>
      </c>
      <c r="D513" s="81" t="s">
        <v>775</v>
      </c>
      <c r="E513" s="100" t="s">
        <v>58</v>
      </c>
      <c r="F513" s="84" t="s">
        <v>593</v>
      </c>
      <c r="G513" s="84" t="s">
        <v>594</v>
      </c>
      <c r="H513" s="81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8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1" t="s">
        <v>978</v>
      </c>
      <c r="C514" s="82" t="str">
        <f>VLOOKUP($B$7:$B$5000,SUM!$L$6:$L$500,1,FALSE)</f>
        <v>#N/A</v>
      </c>
      <c r="D514" s="81" t="s">
        <v>775</v>
      </c>
      <c r="E514" s="100" t="s">
        <v>58</v>
      </c>
      <c r="F514" s="84" t="s">
        <v>593</v>
      </c>
      <c r="G514" s="84" t="s">
        <v>594</v>
      </c>
      <c r="H514" s="81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8" t="s">
        <v>433</v>
      </c>
      <c r="O514" s="90" t="s">
        <v>67</v>
      </c>
      <c r="P514" s="90" t="s">
        <v>68</v>
      </c>
      <c r="Q514" s="150">
        <v>46167.0</v>
      </c>
      <c r="R514" s="103" t="s">
        <v>597</v>
      </c>
      <c r="S514" s="150">
        <v>46168.0</v>
      </c>
      <c r="T514" s="103"/>
      <c r="U514" s="90" t="s">
        <v>31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1" t="s">
        <v>979</v>
      </c>
      <c r="C515" s="82" t="str">
        <f>VLOOKUP($B$7:$B$5000,SUM!$L$6:$L$500,1,FALSE)</f>
        <v>#N/A</v>
      </c>
      <c r="D515" s="81" t="s">
        <v>775</v>
      </c>
      <c r="E515" s="100" t="s">
        <v>58</v>
      </c>
      <c r="F515" s="84" t="s">
        <v>593</v>
      </c>
      <c r="G515" s="84" t="s">
        <v>594</v>
      </c>
      <c r="H515" s="81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8" t="s">
        <v>433</v>
      </c>
      <c r="O515" s="90" t="s">
        <v>67</v>
      </c>
      <c r="P515" s="90" t="s">
        <v>68</v>
      </c>
      <c r="Q515" s="153">
        <v>46169.0</v>
      </c>
      <c r="R515" s="154" t="s">
        <v>66</v>
      </c>
      <c r="S515" s="155">
        <v>46188.0</v>
      </c>
      <c r="T515" s="156"/>
      <c r="U515" s="154" t="s">
        <v>31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1" t="s">
        <v>980</v>
      </c>
      <c r="C516" s="82" t="str">
        <f>VLOOKUP($B$7:$B$5000,SUM!$L$6:$L$500,1,FALSE)</f>
        <v>#N/A</v>
      </c>
      <c r="D516" s="81" t="s">
        <v>775</v>
      </c>
      <c r="E516" s="100" t="s">
        <v>58</v>
      </c>
      <c r="F516" s="84" t="s">
        <v>593</v>
      </c>
      <c r="G516" s="84" t="s">
        <v>594</v>
      </c>
      <c r="H516" s="81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8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1" t="s">
        <v>981</v>
      </c>
      <c r="C517" s="82" t="str">
        <f>VLOOKUP($B$7:$B$5000,SUM!$L$6:$L$500,1,FALSE)</f>
        <v>#N/A</v>
      </c>
      <c r="D517" s="81" t="s">
        <v>775</v>
      </c>
      <c r="E517" s="100" t="s">
        <v>58</v>
      </c>
      <c r="F517" s="84" t="s">
        <v>593</v>
      </c>
      <c r="G517" s="84" t="s">
        <v>594</v>
      </c>
      <c r="H517" s="81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8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1" t="s">
        <v>982</v>
      </c>
      <c r="C518" s="82" t="str">
        <f>VLOOKUP($B$7:$B$5000,SUM!$L$6:$L$500,1,FALSE)</f>
        <v>#N/A</v>
      </c>
      <c r="D518" s="81" t="s">
        <v>775</v>
      </c>
      <c r="E518" s="100" t="s">
        <v>58</v>
      </c>
      <c r="F518" s="84" t="s">
        <v>593</v>
      </c>
      <c r="G518" s="84" t="s">
        <v>594</v>
      </c>
      <c r="H518" s="81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8" t="s">
        <v>433</v>
      </c>
      <c r="O518" s="90" t="s">
        <v>67</v>
      </c>
      <c r="P518" s="90" t="s">
        <v>68</v>
      </c>
      <c r="Q518" s="150">
        <v>46167.0</v>
      </c>
      <c r="R518" s="103" t="s">
        <v>597</v>
      </c>
      <c r="S518" s="150">
        <v>46168.0</v>
      </c>
      <c r="T518" s="103"/>
      <c r="U518" s="90" t="s">
        <v>31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1" t="s">
        <v>983</v>
      </c>
      <c r="C519" s="82" t="str">
        <f>VLOOKUP($B$7:$B$5000,SUM!$L$6:$L$500,1,FALSE)</f>
        <v>#N/A</v>
      </c>
      <c r="D519" s="81" t="s">
        <v>775</v>
      </c>
      <c r="E519" s="100" t="s">
        <v>58</v>
      </c>
      <c r="F519" s="84" t="s">
        <v>593</v>
      </c>
      <c r="G519" s="84" t="s">
        <v>594</v>
      </c>
      <c r="H519" s="81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8" t="s">
        <v>433</v>
      </c>
      <c r="O519" s="90" t="s">
        <v>67</v>
      </c>
      <c r="P519" s="90" t="s">
        <v>68</v>
      </c>
      <c r="Q519" s="150">
        <v>46167.0</v>
      </c>
      <c r="R519" s="103" t="s">
        <v>597</v>
      </c>
      <c r="S519" s="150">
        <v>46168.0</v>
      </c>
      <c r="T519" s="103"/>
      <c r="U519" s="90" t="s">
        <v>31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1" t="s">
        <v>984</v>
      </c>
      <c r="C520" s="82" t="str">
        <f>VLOOKUP($B$7:$B$5000,SUM!$L$6:$L$500,1,FALSE)</f>
        <v>#N/A</v>
      </c>
      <c r="D520" s="81" t="s">
        <v>775</v>
      </c>
      <c r="E520" s="100" t="s">
        <v>58</v>
      </c>
      <c r="F520" s="84" t="s">
        <v>593</v>
      </c>
      <c r="G520" s="84" t="s">
        <v>594</v>
      </c>
      <c r="H520" s="81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8" t="s">
        <v>433</v>
      </c>
      <c r="O520" s="90" t="s">
        <v>67</v>
      </c>
      <c r="P520" s="90" t="s">
        <v>68</v>
      </c>
      <c r="Q520" s="151">
        <v>46168.0</v>
      </c>
      <c r="R520" s="107" t="s">
        <v>66</v>
      </c>
      <c r="S520" s="152">
        <v>46171.0</v>
      </c>
      <c r="T520" s="103"/>
      <c r="U520" s="97" t="s">
        <v>31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1" t="s">
        <v>985</v>
      </c>
      <c r="C521" s="82" t="str">
        <f>VLOOKUP($B$7:$B$5000,SUM!$L$6:$L$500,1,FALSE)</f>
        <v>#N/A</v>
      </c>
      <c r="D521" s="81" t="s">
        <v>775</v>
      </c>
      <c r="E521" s="100" t="s">
        <v>58</v>
      </c>
      <c r="F521" s="84" t="s">
        <v>593</v>
      </c>
      <c r="G521" s="84" t="s">
        <v>594</v>
      </c>
      <c r="H521" s="81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8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1" t="s">
        <v>986</v>
      </c>
      <c r="C522" s="82" t="str">
        <f>VLOOKUP($B$7:$B$5000,SUM!$L$6:$L$500,1,FALSE)</f>
        <v>#N/A</v>
      </c>
      <c r="D522" s="81" t="s">
        <v>775</v>
      </c>
      <c r="E522" s="100" t="s">
        <v>58</v>
      </c>
      <c r="F522" s="84" t="s">
        <v>593</v>
      </c>
      <c r="G522" s="84" t="s">
        <v>594</v>
      </c>
      <c r="H522" s="81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8" t="s">
        <v>433</v>
      </c>
      <c r="O522" s="90" t="s">
        <v>67</v>
      </c>
      <c r="P522" s="90" t="s">
        <v>68</v>
      </c>
      <c r="Q522" s="150">
        <v>46167.0</v>
      </c>
      <c r="R522" s="103" t="s">
        <v>597</v>
      </c>
      <c r="S522" s="150">
        <v>46168.0</v>
      </c>
      <c r="T522" s="103"/>
      <c r="U522" s="90" t="s">
        <v>31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1" t="s">
        <v>987</v>
      </c>
      <c r="C523" s="82" t="str">
        <f>VLOOKUP($B$7:$B$5000,SUM!$L$6:$L$500,1,FALSE)</f>
        <v>#N/A</v>
      </c>
      <c r="D523" s="81" t="s">
        <v>775</v>
      </c>
      <c r="E523" s="100" t="s">
        <v>58</v>
      </c>
      <c r="F523" s="84" t="s">
        <v>593</v>
      </c>
      <c r="G523" s="84" t="s">
        <v>594</v>
      </c>
      <c r="H523" s="81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8" t="s">
        <v>433</v>
      </c>
      <c r="O523" s="90" t="s">
        <v>67</v>
      </c>
      <c r="P523" s="90" t="s">
        <v>68</v>
      </c>
      <c r="Q523" s="150">
        <v>46167.0</v>
      </c>
      <c r="R523" s="103" t="s">
        <v>597</v>
      </c>
      <c r="S523" s="150">
        <v>46168.0</v>
      </c>
      <c r="T523" s="103"/>
      <c r="U523" s="90" t="s">
        <v>31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1" t="s">
        <v>988</v>
      </c>
      <c r="C524" s="82" t="str">
        <f>VLOOKUP($B$7:$B$5000,SUM!$L$6:$L$500,1,FALSE)</f>
        <v>#N/A</v>
      </c>
      <c r="D524" s="81" t="s">
        <v>775</v>
      </c>
      <c r="E524" s="100" t="s">
        <v>58</v>
      </c>
      <c r="F524" s="84" t="s">
        <v>593</v>
      </c>
      <c r="G524" s="84" t="s">
        <v>594</v>
      </c>
      <c r="H524" s="81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8" t="s">
        <v>433</v>
      </c>
      <c r="O524" s="90" t="s">
        <v>67</v>
      </c>
      <c r="P524" s="90" t="s">
        <v>68</v>
      </c>
      <c r="Q524" s="150">
        <v>46167.0</v>
      </c>
      <c r="R524" s="103" t="s">
        <v>597</v>
      </c>
      <c r="S524" s="150">
        <v>46168.0</v>
      </c>
      <c r="T524" s="103"/>
      <c r="U524" s="90" t="s">
        <v>31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1" t="s">
        <v>989</v>
      </c>
      <c r="C525" s="82" t="str">
        <f>VLOOKUP($B$7:$B$5000,SUM!$L$6:$L$500,1,FALSE)</f>
        <v>#N/A</v>
      </c>
      <c r="D525" s="81" t="s">
        <v>775</v>
      </c>
      <c r="E525" s="100" t="s">
        <v>58</v>
      </c>
      <c r="F525" s="84" t="s">
        <v>593</v>
      </c>
      <c r="G525" s="84" t="s">
        <v>594</v>
      </c>
      <c r="H525" s="81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8" t="s">
        <v>433</v>
      </c>
      <c r="O525" s="90" t="s">
        <v>67</v>
      </c>
      <c r="P525" s="90" t="s">
        <v>68</v>
      </c>
      <c r="Q525" s="150">
        <v>46167.0</v>
      </c>
      <c r="R525" s="103" t="s">
        <v>597</v>
      </c>
      <c r="S525" s="150">
        <v>46168.0</v>
      </c>
      <c r="T525" s="103"/>
      <c r="U525" s="90" t="s">
        <v>31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1" t="s">
        <v>990</v>
      </c>
      <c r="C526" s="82" t="str">
        <f>VLOOKUP($B$7:$B$5000,SUM!$L$6:$L$500,1,FALSE)</f>
        <v>#N/A</v>
      </c>
      <c r="D526" s="81" t="s">
        <v>775</v>
      </c>
      <c r="E526" s="100" t="s">
        <v>58</v>
      </c>
      <c r="F526" s="84" t="s">
        <v>593</v>
      </c>
      <c r="G526" s="84" t="s">
        <v>594</v>
      </c>
      <c r="H526" s="81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8" t="s">
        <v>433</v>
      </c>
      <c r="O526" s="90" t="s">
        <v>67</v>
      </c>
      <c r="P526" s="90" t="s">
        <v>68</v>
      </c>
      <c r="Q526" s="154" t="s">
        <v>791</v>
      </c>
      <c r="R526" s="154" t="s">
        <v>66</v>
      </c>
      <c r="S526" s="155">
        <v>46189.0</v>
      </c>
      <c r="T526" s="156"/>
      <c r="U526" s="154" t="s">
        <v>31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1" t="s">
        <v>991</v>
      </c>
      <c r="C527" s="82" t="str">
        <f>VLOOKUP($B$7:$B$5000,SUM!$L$6:$L$500,1,FALSE)</f>
        <v>#N/A</v>
      </c>
      <c r="D527" s="81" t="s">
        <v>775</v>
      </c>
      <c r="E527" s="100" t="s">
        <v>58</v>
      </c>
      <c r="F527" s="84" t="s">
        <v>593</v>
      </c>
      <c r="G527" s="84" t="s">
        <v>594</v>
      </c>
      <c r="H527" s="81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8" t="s">
        <v>433</v>
      </c>
      <c r="O527" s="90" t="s">
        <v>67</v>
      </c>
      <c r="P527" s="90" t="s">
        <v>68</v>
      </c>
      <c r="Q527" s="153">
        <v>46169.0</v>
      </c>
      <c r="R527" s="154" t="s">
        <v>66</v>
      </c>
      <c r="S527" s="155">
        <v>46188.0</v>
      </c>
      <c r="T527" s="156"/>
      <c r="U527" s="154" t="s">
        <v>31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1" t="s">
        <v>992</v>
      </c>
      <c r="C528" s="82" t="str">
        <f>VLOOKUP($B$7:$B$5000,SUM!$L$6:$L$500,1,FALSE)</f>
        <v>#N/A</v>
      </c>
      <c r="D528" s="81" t="s">
        <v>775</v>
      </c>
      <c r="E528" s="100" t="s">
        <v>58</v>
      </c>
      <c r="F528" s="84" t="s">
        <v>593</v>
      </c>
      <c r="G528" s="84" t="s">
        <v>594</v>
      </c>
      <c r="H528" s="81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8" t="s">
        <v>433</v>
      </c>
      <c r="O528" s="90" t="s">
        <v>67</v>
      </c>
      <c r="P528" s="90" t="s">
        <v>68</v>
      </c>
      <c r="Q528" s="153">
        <v>46169.0</v>
      </c>
      <c r="R528" s="154" t="s">
        <v>66</v>
      </c>
      <c r="S528" s="155">
        <v>46188.0</v>
      </c>
      <c r="T528" s="156"/>
      <c r="U528" s="154" t="s">
        <v>31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1" t="s">
        <v>993</v>
      </c>
      <c r="C529" s="82" t="str">
        <f>VLOOKUP($B$7:$B$5000,SUM!$L$6:$L$500,1,FALSE)</f>
        <v>#N/A</v>
      </c>
      <c r="D529" s="81" t="s">
        <v>775</v>
      </c>
      <c r="E529" s="100" t="s">
        <v>58</v>
      </c>
      <c r="F529" s="84" t="s">
        <v>593</v>
      </c>
      <c r="G529" s="84" t="s">
        <v>594</v>
      </c>
      <c r="H529" s="81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8" t="s">
        <v>433</v>
      </c>
      <c r="O529" s="90" t="s">
        <v>67</v>
      </c>
      <c r="P529" s="90" t="s">
        <v>68</v>
      </c>
      <c r="Q529" s="153">
        <v>46169.0</v>
      </c>
      <c r="R529" s="154" t="s">
        <v>66</v>
      </c>
      <c r="S529" s="155">
        <v>46188.0</v>
      </c>
      <c r="T529" s="156"/>
      <c r="U529" s="154" t="s">
        <v>31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1" t="s">
        <v>994</v>
      </c>
      <c r="C530" s="82" t="str">
        <f>VLOOKUP($B$7:$B$5000,SUM!$L$6:$L$500,1,FALSE)</f>
        <v>#N/A</v>
      </c>
      <c r="D530" s="81" t="s">
        <v>775</v>
      </c>
      <c r="E530" s="100" t="s">
        <v>58</v>
      </c>
      <c r="F530" s="84" t="s">
        <v>593</v>
      </c>
      <c r="G530" s="84" t="s">
        <v>594</v>
      </c>
      <c r="H530" s="81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8" t="s">
        <v>433</v>
      </c>
      <c r="O530" s="90" t="s">
        <v>67</v>
      </c>
      <c r="P530" s="90" t="s">
        <v>68</v>
      </c>
      <c r="Q530" s="154" t="s">
        <v>791</v>
      </c>
      <c r="R530" s="154" t="s">
        <v>66</v>
      </c>
      <c r="S530" s="155">
        <v>46189.0</v>
      </c>
      <c r="T530" s="156"/>
      <c r="U530" s="154" t="s">
        <v>31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1" t="s">
        <v>995</v>
      </c>
      <c r="C531" s="82" t="str">
        <f>VLOOKUP($B$7:$B$5000,SUM!$L$6:$L$500,1,FALSE)</f>
        <v>#N/A</v>
      </c>
      <c r="D531" s="81" t="s">
        <v>775</v>
      </c>
      <c r="E531" s="100" t="s">
        <v>58</v>
      </c>
      <c r="F531" s="84" t="s">
        <v>593</v>
      </c>
      <c r="G531" s="84" t="s">
        <v>594</v>
      </c>
      <c r="H531" s="81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8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1" t="s">
        <v>996</v>
      </c>
      <c r="C532" s="82" t="str">
        <f>VLOOKUP($B$7:$B$5000,SUM!$L$6:$L$500,1,FALSE)</f>
        <v>#N/A</v>
      </c>
      <c r="D532" s="81" t="s">
        <v>775</v>
      </c>
      <c r="E532" s="100" t="s">
        <v>58</v>
      </c>
      <c r="F532" s="84" t="s">
        <v>593</v>
      </c>
      <c r="G532" s="84" t="s">
        <v>594</v>
      </c>
      <c r="H532" s="81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8" t="s">
        <v>433</v>
      </c>
      <c r="O532" s="90" t="s">
        <v>67</v>
      </c>
      <c r="P532" s="90" t="s">
        <v>68</v>
      </c>
      <c r="Q532" s="153">
        <v>46169.0</v>
      </c>
      <c r="R532" s="154" t="s">
        <v>66</v>
      </c>
      <c r="S532" s="155">
        <v>46188.0</v>
      </c>
      <c r="T532" s="156"/>
      <c r="U532" s="154" t="s">
        <v>31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1" t="s">
        <v>997</v>
      </c>
      <c r="C533" s="82" t="str">
        <f>VLOOKUP($B$7:$B$5000,SUM!$L$6:$L$500,1,FALSE)</f>
        <v>#N/A</v>
      </c>
      <c r="D533" s="81" t="s">
        <v>775</v>
      </c>
      <c r="E533" s="100" t="s">
        <v>58</v>
      </c>
      <c r="F533" s="84" t="s">
        <v>593</v>
      </c>
      <c r="G533" s="84" t="s">
        <v>594</v>
      </c>
      <c r="H533" s="81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8" t="s">
        <v>433</v>
      </c>
      <c r="O533" s="90" t="s">
        <v>67</v>
      </c>
      <c r="P533" s="90" t="s">
        <v>68</v>
      </c>
      <c r="Q533" s="154" t="s">
        <v>791</v>
      </c>
      <c r="R533" s="154" t="s">
        <v>66</v>
      </c>
      <c r="S533" s="155">
        <v>46189.0</v>
      </c>
      <c r="T533" s="156"/>
      <c r="U533" s="154" t="s">
        <v>31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1" t="s">
        <v>998</v>
      </c>
      <c r="C534" s="82" t="str">
        <f>VLOOKUP($B$7:$B$5000,SUM!$L$6:$L$500,1,FALSE)</f>
        <v>#N/A</v>
      </c>
      <c r="D534" s="81" t="s">
        <v>775</v>
      </c>
      <c r="E534" s="100" t="s">
        <v>58</v>
      </c>
      <c r="F534" s="84" t="s">
        <v>593</v>
      </c>
      <c r="G534" s="84" t="s">
        <v>594</v>
      </c>
      <c r="H534" s="81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8" t="s">
        <v>433</v>
      </c>
      <c r="O534" s="90" t="s">
        <v>67</v>
      </c>
      <c r="P534" s="90" t="s">
        <v>68</v>
      </c>
      <c r="Q534" s="153">
        <v>46169.0</v>
      </c>
      <c r="R534" s="154" t="s">
        <v>66</v>
      </c>
      <c r="S534" s="155">
        <v>46188.0</v>
      </c>
      <c r="T534" s="156"/>
      <c r="U534" s="154" t="s">
        <v>31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1" t="s">
        <v>999</v>
      </c>
      <c r="C535" s="82" t="str">
        <f>VLOOKUP($B$7:$B$5000,SUM!$L$6:$L$500,1,FALSE)</f>
        <v>#N/A</v>
      </c>
      <c r="D535" s="81" t="s">
        <v>775</v>
      </c>
      <c r="E535" s="100" t="s">
        <v>58</v>
      </c>
      <c r="F535" s="84" t="s">
        <v>593</v>
      </c>
      <c r="G535" s="84" t="s">
        <v>594</v>
      </c>
      <c r="H535" s="81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8" t="s">
        <v>433</v>
      </c>
      <c r="O535" s="90" t="s">
        <v>67</v>
      </c>
      <c r="P535" s="90" t="s">
        <v>68</v>
      </c>
      <c r="Q535" s="151">
        <v>46168.0</v>
      </c>
      <c r="R535" s="107" t="s">
        <v>66</v>
      </c>
      <c r="S535" s="152">
        <v>46171.0</v>
      </c>
      <c r="T535" s="103"/>
      <c r="U535" s="97" t="s">
        <v>31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1" t="s">
        <v>1000</v>
      </c>
      <c r="C536" s="82" t="str">
        <f>VLOOKUP($B$7:$B$5000,SUM!$L$6:$L$500,1,FALSE)</f>
        <v>#N/A</v>
      </c>
      <c r="D536" s="81" t="s">
        <v>775</v>
      </c>
      <c r="E536" s="100" t="s">
        <v>58</v>
      </c>
      <c r="F536" s="84" t="s">
        <v>593</v>
      </c>
      <c r="G536" s="84" t="s">
        <v>594</v>
      </c>
      <c r="H536" s="81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8" t="s">
        <v>433</v>
      </c>
      <c r="O536" s="90" t="s">
        <v>67</v>
      </c>
      <c r="P536" s="90" t="s">
        <v>68</v>
      </c>
      <c r="Q536" s="153">
        <v>46169.0</v>
      </c>
      <c r="R536" s="154" t="s">
        <v>66</v>
      </c>
      <c r="S536" s="155">
        <v>46188.0</v>
      </c>
      <c r="T536" s="156"/>
      <c r="U536" s="154" t="s">
        <v>31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1" t="s">
        <v>1001</v>
      </c>
      <c r="C537" s="82" t="str">
        <f>VLOOKUP($B$7:$B$5000,SUM!$L$6:$L$500,1,FALSE)</f>
        <v>#N/A</v>
      </c>
      <c r="D537" s="81" t="s">
        <v>775</v>
      </c>
      <c r="E537" s="100" t="s">
        <v>58</v>
      </c>
      <c r="F537" s="84" t="s">
        <v>593</v>
      </c>
      <c r="G537" s="84" t="s">
        <v>594</v>
      </c>
      <c r="H537" s="81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8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1" t="s">
        <v>1002</v>
      </c>
      <c r="C538" s="82" t="str">
        <f>VLOOKUP($B$7:$B$5000,SUM!$L$6:$L$500,1,FALSE)</f>
        <v>#N/A</v>
      </c>
      <c r="D538" s="81" t="s">
        <v>775</v>
      </c>
      <c r="E538" s="100" t="s">
        <v>58</v>
      </c>
      <c r="F538" s="84" t="s">
        <v>593</v>
      </c>
      <c r="G538" s="84" t="s">
        <v>594</v>
      </c>
      <c r="H538" s="81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8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1" t="s">
        <v>1004</v>
      </c>
      <c r="C539" s="82" t="str">
        <f>VLOOKUP($B$7:$B$5000,SUM!$L$6:$L$500,1,FALSE)</f>
        <v>#N/A</v>
      </c>
      <c r="D539" s="81" t="s">
        <v>1005</v>
      </c>
      <c r="E539" s="100" t="s">
        <v>58</v>
      </c>
      <c r="F539" s="84" t="s">
        <v>593</v>
      </c>
      <c r="G539" s="84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8" t="s">
        <v>433</v>
      </c>
      <c r="O539" s="90" t="s">
        <v>67</v>
      </c>
      <c r="P539" s="90" t="s">
        <v>68</v>
      </c>
      <c r="Q539" s="151">
        <v>46168.0</v>
      </c>
      <c r="R539" s="107" t="s">
        <v>66</v>
      </c>
      <c r="S539" s="152">
        <v>46171.0</v>
      </c>
      <c r="T539" s="103"/>
      <c r="U539" s="97" t="s">
        <v>31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1" t="s">
        <v>1007</v>
      </c>
      <c r="C540" s="82" t="str">
        <f>VLOOKUP($B$7:$B$5000,SUM!$L$6:$L$500,1,FALSE)</f>
        <v>#N/A</v>
      </c>
      <c r="D540" s="81" t="s">
        <v>1005</v>
      </c>
      <c r="E540" s="100" t="s">
        <v>58</v>
      </c>
      <c r="F540" s="84" t="s">
        <v>593</v>
      </c>
      <c r="G540" s="84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8" t="s">
        <v>433</v>
      </c>
      <c r="O540" s="90" t="s">
        <v>67</v>
      </c>
      <c r="P540" s="90" t="s">
        <v>68</v>
      </c>
      <c r="Q540" s="151">
        <v>46168.0</v>
      </c>
      <c r="R540" s="107" t="s">
        <v>66</v>
      </c>
      <c r="S540" s="152">
        <v>46171.0</v>
      </c>
      <c r="T540" s="103"/>
      <c r="U540" s="97" t="s">
        <v>31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1" t="s">
        <v>1009</v>
      </c>
      <c r="C541" s="82" t="str">
        <f>VLOOKUP($B$7:$B$5000,SUM!$L$6:$L$500,1,FALSE)</f>
        <v>#N/A</v>
      </c>
      <c r="D541" s="81" t="s">
        <v>1005</v>
      </c>
      <c r="E541" s="100" t="s">
        <v>58</v>
      </c>
      <c r="F541" s="84" t="s">
        <v>593</v>
      </c>
      <c r="G541" s="84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8" t="s">
        <v>433</v>
      </c>
      <c r="O541" s="90" t="s">
        <v>67</v>
      </c>
      <c r="P541" s="90" t="s">
        <v>68</v>
      </c>
      <c r="Q541" s="150">
        <v>46166.0</v>
      </c>
      <c r="R541" s="103" t="s">
        <v>597</v>
      </c>
      <c r="S541" s="150">
        <v>46167.0</v>
      </c>
      <c r="T541" s="103"/>
      <c r="U541" s="90" t="s">
        <v>31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1" t="s">
        <v>1011</v>
      </c>
      <c r="C542" s="82" t="str">
        <f>VLOOKUP($B$7:$B$5000,SUM!$L$6:$L$500,1,FALSE)</f>
        <v>#N/A</v>
      </c>
      <c r="D542" s="81" t="s">
        <v>1005</v>
      </c>
      <c r="E542" s="100" t="s">
        <v>58</v>
      </c>
      <c r="F542" s="84" t="s">
        <v>593</v>
      </c>
      <c r="G542" s="84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8" t="s">
        <v>433</v>
      </c>
      <c r="O542" s="90" t="s">
        <v>67</v>
      </c>
      <c r="P542" s="90" t="s">
        <v>68</v>
      </c>
      <c r="Q542" s="150">
        <v>46166.0</v>
      </c>
      <c r="R542" s="103" t="s">
        <v>597</v>
      </c>
      <c r="S542" s="150">
        <v>46167.0</v>
      </c>
      <c r="T542" s="103"/>
      <c r="U542" s="90" t="s">
        <v>31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1" t="s">
        <v>1013</v>
      </c>
      <c r="C543" s="82" t="str">
        <f>VLOOKUP($B$7:$B$5000,SUM!$L$6:$L$500,1,FALSE)</f>
        <v>#N/A</v>
      </c>
      <c r="D543" s="81" t="s">
        <v>1005</v>
      </c>
      <c r="E543" s="100" t="s">
        <v>58</v>
      </c>
      <c r="F543" s="84" t="s">
        <v>593</v>
      </c>
      <c r="G543" s="84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8" t="s">
        <v>433</v>
      </c>
      <c r="O543" s="90" t="s">
        <v>67</v>
      </c>
      <c r="P543" s="90" t="s">
        <v>68</v>
      </c>
      <c r="Q543" s="153">
        <v>46169.0</v>
      </c>
      <c r="R543" s="154" t="s">
        <v>66</v>
      </c>
      <c r="S543" s="155">
        <v>46188.0</v>
      </c>
      <c r="T543" s="156"/>
      <c r="U543" s="154" t="s">
        <v>31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1" t="s">
        <v>1015</v>
      </c>
      <c r="C544" s="82" t="str">
        <f>VLOOKUP($B$7:$B$5000,SUM!$L$6:$L$500,1,FALSE)</f>
        <v>#N/A</v>
      </c>
      <c r="D544" s="81" t="s">
        <v>1005</v>
      </c>
      <c r="E544" s="100" t="s">
        <v>58</v>
      </c>
      <c r="F544" s="84" t="s">
        <v>593</v>
      </c>
      <c r="G544" s="84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8" t="s">
        <v>433</v>
      </c>
      <c r="O544" s="90" t="s">
        <v>67</v>
      </c>
      <c r="P544" s="90" t="s">
        <v>68</v>
      </c>
      <c r="Q544" s="153">
        <v>46169.0</v>
      </c>
      <c r="R544" s="154" t="s">
        <v>66</v>
      </c>
      <c r="S544" s="155">
        <v>46188.0</v>
      </c>
      <c r="T544" s="156"/>
      <c r="U544" s="154" t="s">
        <v>31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1" t="s">
        <v>1017</v>
      </c>
      <c r="C545" s="82" t="str">
        <f>VLOOKUP($B$7:$B$5000,SUM!$L$6:$L$500,1,FALSE)</f>
        <v>#N/A</v>
      </c>
      <c r="D545" s="81" t="s">
        <v>1005</v>
      </c>
      <c r="E545" s="100" t="s">
        <v>58</v>
      </c>
      <c r="F545" s="84" t="s">
        <v>593</v>
      </c>
      <c r="G545" s="84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8" t="s">
        <v>433</v>
      </c>
      <c r="O545" s="90" t="s">
        <v>67</v>
      </c>
      <c r="P545" s="90" t="s">
        <v>68</v>
      </c>
      <c r="Q545" s="150">
        <v>46166.0</v>
      </c>
      <c r="R545" s="103" t="s">
        <v>597</v>
      </c>
      <c r="S545" s="150">
        <v>46167.0</v>
      </c>
      <c r="T545" s="103"/>
      <c r="U545" s="90" t="s">
        <v>31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1" t="s">
        <v>1019</v>
      </c>
      <c r="C546" s="82" t="str">
        <f>VLOOKUP($B$7:$B$5000,SUM!$L$6:$L$500,1,FALSE)</f>
        <v>#N/A</v>
      </c>
      <c r="D546" s="81" t="s">
        <v>1005</v>
      </c>
      <c r="E546" s="100" t="s">
        <v>58</v>
      </c>
      <c r="F546" s="84" t="s">
        <v>593</v>
      </c>
      <c r="G546" s="84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8" t="s">
        <v>433</v>
      </c>
      <c r="O546" s="90" t="s">
        <v>67</v>
      </c>
      <c r="P546" s="90" t="s">
        <v>68</v>
      </c>
      <c r="Q546" s="153">
        <v>46169.0</v>
      </c>
      <c r="R546" s="154" t="s">
        <v>66</v>
      </c>
      <c r="S546" s="155">
        <v>46188.0</v>
      </c>
      <c r="T546" s="156"/>
      <c r="U546" s="154" t="s">
        <v>31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1" t="s">
        <v>1021</v>
      </c>
      <c r="C547" s="82" t="str">
        <f>VLOOKUP($B$7:$B$5000,SUM!$L$6:$L$500,1,FALSE)</f>
        <v>#N/A</v>
      </c>
      <c r="D547" s="81" t="s">
        <v>1005</v>
      </c>
      <c r="E547" s="100" t="s">
        <v>58</v>
      </c>
      <c r="F547" s="84" t="s">
        <v>593</v>
      </c>
      <c r="G547" s="84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8" t="s">
        <v>433</v>
      </c>
      <c r="O547" s="90" t="s">
        <v>67</v>
      </c>
      <c r="P547" s="90" t="s">
        <v>68</v>
      </c>
      <c r="Q547" s="153">
        <v>46169.0</v>
      </c>
      <c r="R547" s="154" t="s">
        <v>66</v>
      </c>
      <c r="S547" s="155">
        <v>46188.0</v>
      </c>
      <c r="T547" s="156"/>
      <c r="U547" s="154" t="s">
        <v>31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1" t="s">
        <v>1023</v>
      </c>
      <c r="C548" s="82" t="str">
        <f>VLOOKUP($B$7:$B$5000,SUM!$L$6:$L$500,1,FALSE)</f>
        <v>#N/A</v>
      </c>
      <c r="D548" s="81" t="s">
        <v>1005</v>
      </c>
      <c r="E548" s="100" t="s">
        <v>58</v>
      </c>
      <c r="F548" s="84" t="s">
        <v>593</v>
      </c>
      <c r="G548" s="84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8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1" t="s">
        <v>1025</v>
      </c>
      <c r="C549" s="82" t="str">
        <f>VLOOKUP($B$7:$B$5000,SUM!$L$6:$L$500,1,FALSE)</f>
        <v>#N/A</v>
      </c>
      <c r="D549" s="81" t="s">
        <v>1005</v>
      </c>
      <c r="E549" s="100" t="s">
        <v>58</v>
      </c>
      <c r="F549" s="84" t="s">
        <v>593</v>
      </c>
      <c r="G549" s="84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8" t="s">
        <v>433</v>
      </c>
      <c r="O549" s="90" t="s">
        <v>67</v>
      </c>
      <c r="P549" s="90" t="s">
        <v>68</v>
      </c>
      <c r="Q549" s="153">
        <v>46169.0</v>
      </c>
      <c r="R549" s="154" t="s">
        <v>66</v>
      </c>
      <c r="S549" s="155">
        <v>46188.0</v>
      </c>
      <c r="T549" s="156"/>
      <c r="U549" s="154" t="s">
        <v>31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1" t="s">
        <v>1027</v>
      </c>
      <c r="C550" s="82" t="str">
        <f>VLOOKUP($B$7:$B$5000,SUM!$L$6:$L$500,1,FALSE)</f>
        <v>#N/A</v>
      </c>
      <c r="D550" s="81" t="s">
        <v>1005</v>
      </c>
      <c r="E550" s="100" t="s">
        <v>58</v>
      </c>
      <c r="F550" s="84" t="s">
        <v>593</v>
      </c>
      <c r="G550" s="84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8" t="s">
        <v>433</v>
      </c>
      <c r="O550" s="90" t="s">
        <v>67</v>
      </c>
      <c r="P550" s="90" t="s">
        <v>68</v>
      </c>
      <c r="Q550" s="154" t="s">
        <v>791</v>
      </c>
      <c r="R550" s="154" t="s">
        <v>66</v>
      </c>
      <c r="S550" s="155">
        <v>46189.0</v>
      </c>
      <c r="T550" s="156"/>
      <c r="U550" s="154" t="s">
        <v>31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1" t="s">
        <v>1029</v>
      </c>
      <c r="C551" s="82" t="str">
        <f>VLOOKUP($B$7:$B$5000,SUM!$L$6:$L$500,1,FALSE)</f>
        <v>#N/A</v>
      </c>
      <c r="D551" s="81" t="s">
        <v>1005</v>
      </c>
      <c r="E551" s="100" t="s">
        <v>58</v>
      </c>
      <c r="F551" s="84" t="s">
        <v>593</v>
      </c>
      <c r="G551" s="84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8" t="s">
        <v>433</v>
      </c>
      <c r="O551" s="90" t="s">
        <v>67</v>
      </c>
      <c r="P551" s="90" t="s">
        <v>68</v>
      </c>
      <c r="Q551" s="153">
        <v>46169.0</v>
      </c>
      <c r="R551" s="154" t="s">
        <v>66</v>
      </c>
      <c r="S551" s="155">
        <v>46188.0</v>
      </c>
      <c r="T551" s="156"/>
      <c r="U551" s="154" t="s">
        <v>31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1" t="s">
        <v>1031</v>
      </c>
      <c r="C552" s="82" t="str">
        <f>VLOOKUP($B$7:$B$5000,SUM!$L$6:$L$500,1,FALSE)</f>
        <v>#N/A</v>
      </c>
      <c r="D552" s="81" t="s">
        <v>1005</v>
      </c>
      <c r="E552" s="100" t="s">
        <v>58</v>
      </c>
      <c r="F552" s="84" t="s">
        <v>593</v>
      </c>
      <c r="G552" s="84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8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1" t="s">
        <v>1033</v>
      </c>
      <c r="C553" s="82" t="str">
        <f>VLOOKUP($B$7:$B$5000,SUM!$L$6:$L$500,1,FALSE)</f>
        <v>#N/A</v>
      </c>
      <c r="D553" s="81" t="s">
        <v>1005</v>
      </c>
      <c r="E553" s="100" t="s">
        <v>58</v>
      </c>
      <c r="F553" s="84" t="s">
        <v>593</v>
      </c>
      <c r="G553" s="84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8" t="s">
        <v>433</v>
      </c>
      <c r="O553" s="90" t="s">
        <v>67</v>
      </c>
      <c r="P553" s="90" t="s">
        <v>68</v>
      </c>
      <c r="Q553" s="153">
        <v>46169.0</v>
      </c>
      <c r="R553" s="154" t="s">
        <v>66</v>
      </c>
      <c r="S553" s="155">
        <v>46188.0</v>
      </c>
      <c r="T553" s="156"/>
      <c r="U553" s="154" t="s">
        <v>31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1" t="s">
        <v>1035</v>
      </c>
      <c r="C554" s="82" t="str">
        <f>VLOOKUP($B$7:$B$5000,SUM!$L$6:$L$500,1,FALSE)</f>
        <v>#N/A</v>
      </c>
      <c r="D554" s="81" t="s">
        <v>1005</v>
      </c>
      <c r="E554" s="100" t="s">
        <v>58</v>
      </c>
      <c r="F554" s="84" t="s">
        <v>593</v>
      </c>
      <c r="G554" s="84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8" t="s">
        <v>433</v>
      </c>
      <c r="O554" s="90" t="s">
        <v>67</v>
      </c>
      <c r="P554" s="90" t="s">
        <v>68</v>
      </c>
      <c r="Q554" s="154" t="s">
        <v>791</v>
      </c>
      <c r="R554" s="154" t="s">
        <v>66</v>
      </c>
      <c r="S554" s="155">
        <v>46189.0</v>
      </c>
      <c r="T554" s="156"/>
      <c r="U554" s="154" t="s">
        <v>31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1" t="s">
        <v>1037</v>
      </c>
      <c r="C555" s="82" t="str">
        <f>VLOOKUP($B$7:$B$5000,SUM!$L$6:$L$500,1,FALSE)</f>
        <v>#N/A</v>
      </c>
      <c r="D555" s="81" t="s">
        <v>1005</v>
      </c>
      <c r="E555" s="100" t="s">
        <v>58</v>
      </c>
      <c r="F555" s="84" t="s">
        <v>593</v>
      </c>
      <c r="G555" s="84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8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1" t="s">
        <v>1039</v>
      </c>
      <c r="C556" s="82" t="str">
        <f>VLOOKUP($B$7:$B$5000,SUM!$L$6:$L$500,1,FALSE)</f>
        <v>#N/A</v>
      </c>
      <c r="D556" s="81" t="s">
        <v>1005</v>
      </c>
      <c r="E556" s="100" t="s">
        <v>58</v>
      </c>
      <c r="F556" s="84" t="s">
        <v>593</v>
      </c>
      <c r="G556" s="84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8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1" t="s">
        <v>1041</v>
      </c>
      <c r="C557" s="82" t="str">
        <f>VLOOKUP($B$7:$B$5000,SUM!$L$6:$L$500,1,FALSE)</f>
        <v>#N/A</v>
      </c>
      <c r="D557" s="81" t="s">
        <v>1005</v>
      </c>
      <c r="E557" s="100" t="s">
        <v>58</v>
      </c>
      <c r="F557" s="84" t="s">
        <v>593</v>
      </c>
      <c r="G557" s="84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8" t="s">
        <v>433</v>
      </c>
      <c r="O557" s="90" t="s">
        <v>67</v>
      </c>
      <c r="P557" s="90" t="s">
        <v>68</v>
      </c>
      <c r="Q557" s="153">
        <v>46169.0</v>
      </c>
      <c r="R557" s="154" t="s">
        <v>66</v>
      </c>
      <c r="S557" s="155">
        <v>46188.0</v>
      </c>
      <c r="T557" s="156"/>
      <c r="U557" s="154" t="s">
        <v>31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1" t="s">
        <v>1043</v>
      </c>
      <c r="C558" s="82" t="str">
        <f>VLOOKUP($B$7:$B$5000,SUM!$L$6:$L$500,1,FALSE)</f>
        <v>#N/A</v>
      </c>
      <c r="D558" s="81" t="s">
        <v>1005</v>
      </c>
      <c r="E558" s="100" t="s">
        <v>58</v>
      </c>
      <c r="F558" s="84" t="s">
        <v>593</v>
      </c>
      <c r="G558" s="84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8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1" t="s">
        <v>1045</v>
      </c>
      <c r="C559" s="82" t="str">
        <f>VLOOKUP($B$7:$B$5000,SUM!$L$6:$L$500,1,FALSE)</f>
        <v>#N/A</v>
      </c>
      <c r="D559" s="81" t="s">
        <v>1005</v>
      </c>
      <c r="E559" s="100" t="s">
        <v>58</v>
      </c>
      <c r="F559" s="84" t="s">
        <v>593</v>
      </c>
      <c r="G559" s="84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8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1" t="s">
        <v>1046</v>
      </c>
      <c r="C560" s="82" t="str">
        <f>VLOOKUP($B$7:$B$5000,SUM!$L$6:$L$500,1,FALSE)</f>
        <v>#N/A</v>
      </c>
      <c r="D560" s="81" t="s">
        <v>1005</v>
      </c>
      <c r="E560" s="100" t="s">
        <v>58</v>
      </c>
      <c r="F560" s="84" t="s">
        <v>593</v>
      </c>
      <c r="G560" s="84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8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1" t="s">
        <v>1047</v>
      </c>
      <c r="C561" s="82" t="str">
        <f>VLOOKUP($B$7:$B$5000,SUM!$L$6:$L$500,1,FALSE)</f>
        <v>#N/A</v>
      </c>
      <c r="D561" s="81" t="s">
        <v>1005</v>
      </c>
      <c r="E561" s="100" t="s">
        <v>58</v>
      </c>
      <c r="F561" s="84" t="s">
        <v>593</v>
      </c>
      <c r="G561" s="84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8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1" t="s">
        <v>1048</v>
      </c>
      <c r="C562" s="82" t="str">
        <f>VLOOKUP($B$7:$B$5000,SUM!$L$6:$L$500,1,FALSE)</f>
        <v>#N/A</v>
      </c>
      <c r="D562" s="81" t="s">
        <v>1005</v>
      </c>
      <c r="E562" s="100" t="s">
        <v>58</v>
      </c>
      <c r="F562" s="84" t="s">
        <v>593</v>
      </c>
      <c r="G562" s="84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8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1" t="s">
        <v>1049</v>
      </c>
      <c r="C563" s="82" t="str">
        <f>VLOOKUP($B$7:$B$5000,SUM!$L$6:$L$500,1,FALSE)</f>
        <v>#N/A</v>
      </c>
      <c r="D563" s="81" t="s">
        <v>1005</v>
      </c>
      <c r="E563" s="100" t="s">
        <v>58</v>
      </c>
      <c r="F563" s="84" t="s">
        <v>593</v>
      </c>
      <c r="G563" s="84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8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1" t="s">
        <v>1050</v>
      </c>
      <c r="C564" s="82" t="str">
        <f>VLOOKUP($B$7:$B$5000,SUM!$L$6:$L$500,1,FALSE)</f>
        <v>#N/A</v>
      </c>
      <c r="D564" s="81" t="s">
        <v>1005</v>
      </c>
      <c r="E564" s="100" t="s">
        <v>58</v>
      </c>
      <c r="F564" s="84" t="s">
        <v>593</v>
      </c>
      <c r="G564" s="84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8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1" t="s">
        <v>1051</v>
      </c>
      <c r="C565" s="82" t="str">
        <f>VLOOKUP($B$7:$B$5000,SUM!$L$6:$L$500,1,FALSE)</f>
        <v>#N/A</v>
      </c>
      <c r="D565" s="81" t="s">
        <v>1005</v>
      </c>
      <c r="E565" s="100" t="s">
        <v>58</v>
      </c>
      <c r="F565" s="84" t="s">
        <v>593</v>
      </c>
      <c r="G565" s="84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8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1" t="s">
        <v>1052</v>
      </c>
      <c r="C566" s="82" t="str">
        <f>VLOOKUP($B$7:$B$5000,SUM!$L$6:$L$500,1,FALSE)</f>
        <v>#N/A</v>
      </c>
      <c r="D566" s="81" t="s">
        <v>1005</v>
      </c>
      <c r="E566" s="100" t="s">
        <v>58</v>
      </c>
      <c r="F566" s="84" t="s">
        <v>593</v>
      </c>
      <c r="G566" s="84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8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1" t="s">
        <v>1053</v>
      </c>
      <c r="C567" s="82" t="str">
        <f>VLOOKUP($B$7:$B$5000,SUM!$L$6:$L$500,1,FALSE)</f>
        <v>#N/A</v>
      </c>
      <c r="D567" s="81" t="s">
        <v>1005</v>
      </c>
      <c r="E567" s="100" t="s">
        <v>58</v>
      </c>
      <c r="F567" s="84" t="s">
        <v>593</v>
      </c>
      <c r="G567" s="84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8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1" t="s">
        <v>1054</v>
      </c>
      <c r="C568" s="82" t="str">
        <f>VLOOKUP($B$7:$B$5000,SUM!$L$6:$L$500,1,FALSE)</f>
        <v>#N/A</v>
      </c>
      <c r="D568" s="81" t="s">
        <v>1005</v>
      </c>
      <c r="E568" s="100" t="s">
        <v>58</v>
      </c>
      <c r="F568" s="84" t="s">
        <v>593</v>
      </c>
      <c r="G568" s="84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8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1" t="s">
        <v>1055</v>
      </c>
      <c r="C569" s="82" t="str">
        <f>VLOOKUP($B$7:$B$5000,SUM!$L$6:$L$500,1,FALSE)</f>
        <v>#N/A</v>
      </c>
      <c r="D569" s="81" t="s">
        <v>1005</v>
      </c>
      <c r="E569" s="100" t="s">
        <v>58</v>
      </c>
      <c r="F569" s="84" t="s">
        <v>593</v>
      </c>
      <c r="G569" s="84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8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1" t="s">
        <v>1056</v>
      </c>
      <c r="C570" s="82" t="str">
        <f>VLOOKUP($B$7:$B$5000,SUM!$L$6:$L$500,1,FALSE)</f>
        <v>#N/A</v>
      </c>
      <c r="D570" s="81" t="s">
        <v>1005</v>
      </c>
      <c r="E570" s="100" t="s">
        <v>58</v>
      </c>
      <c r="F570" s="84" t="s">
        <v>593</v>
      </c>
      <c r="G570" s="84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8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1" t="s">
        <v>1057</v>
      </c>
      <c r="C571" s="82" t="str">
        <f>VLOOKUP($B$7:$B$5000,SUM!$L$6:$L$500,1,FALSE)</f>
        <v>#N/A</v>
      </c>
      <c r="D571" s="81" t="s">
        <v>1005</v>
      </c>
      <c r="E571" s="100" t="s">
        <v>58</v>
      </c>
      <c r="F571" s="84" t="s">
        <v>593</v>
      </c>
      <c r="G571" s="84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8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1" t="s">
        <v>1058</v>
      </c>
      <c r="C572" s="82" t="str">
        <f>VLOOKUP($B$7:$B$5000,SUM!$L$6:$L$500,1,FALSE)</f>
        <v>#N/A</v>
      </c>
      <c r="D572" s="81" t="s">
        <v>1005</v>
      </c>
      <c r="E572" s="100" t="s">
        <v>58</v>
      </c>
      <c r="F572" s="84" t="s">
        <v>593</v>
      </c>
      <c r="G572" s="84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8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1" t="s">
        <v>1059</v>
      </c>
      <c r="C573" s="82" t="str">
        <f>VLOOKUP($B$7:$B$5000,SUM!$L$6:$L$500,1,FALSE)</f>
        <v>#N/A</v>
      </c>
      <c r="D573" s="81" t="s">
        <v>1005</v>
      </c>
      <c r="E573" s="100" t="s">
        <v>58</v>
      </c>
      <c r="F573" s="84" t="s">
        <v>593</v>
      </c>
      <c r="G573" s="84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8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1" t="s">
        <v>1060</v>
      </c>
      <c r="C574" s="82" t="str">
        <f>VLOOKUP($B$7:$B$5000,SUM!$L$6:$L$500,1,FALSE)</f>
        <v>#N/A</v>
      </c>
      <c r="D574" s="81" t="s">
        <v>1005</v>
      </c>
      <c r="E574" s="100" t="s">
        <v>58</v>
      </c>
      <c r="F574" s="84" t="s">
        <v>593</v>
      </c>
      <c r="G574" s="84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8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1" t="s">
        <v>1061</v>
      </c>
      <c r="C575" s="82" t="str">
        <f>VLOOKUP($B$7:$B$5000,SUM!$L$6:$L$500,1,FALSE)</f>
        <v>#N/A</v>
      </c>
      <c r="D575" s="81" t="s">
        <v>1005</v>
      </c>
      <c r="E575" s="100" t="s">
        <v>58</v>
      </c>
      <c r="F575" s="84" t="s">
        <v>593</v>
      </c>
      <c r="G575" s="84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8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1" t="s">
        <v>1062</v>
      </c>
      <c r="C576" s="82" t="str">
        <f>VLOOKUP($B$7:$B$5000,SUM!$L$6:$L$500,1,FALSE)</f>
        <v>#N/A</v>
      </c>
      <c r="D576" s="81" t="s">
        <v>1005</v>
      </c>
      <c r="E576" s="100" t="s">
        <v>58</v>
      </c>
      <c r="F576" s="84" t="s">
        <v>593</v>
      </c>
      <c r="G576" s="84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8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1" t="s">
        <v>1063</v>
      </c>
      <c r="C577" s="82" t="str">
        <f>VLOOKUP($B$7:$B$5000,SUM!$L$6:$L$500,1,FALSE)</f>
        <v>#N/A</v>
      </c>
      <c r="D577" s="81" t="s">
        <v>1005</v>
      </c>
      <c r="E577" s="100" t="s">
        <v>58</v>
      </c>
      <c r="F577" s="84" t="s">
        <v>593</v>
      </c>
      <c r="G577" s="84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8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1" t="s">
        <v>1064</v>
      </c>
      <c r="C578" s="82" t="str">
        <f>VLOOKUP($B$7:$B$5000,SUM!$L$6:$L$500,1,FALSE)</f>
        <v>#N/A</v>
      </c>
      <c r="D578" s="81" t="s">
        <v>1005</v>
      </c>
      <c r="E578" s="100" t="s">
        <v>58</v>
      </c>
      <c r="F578" s="84" t="s">
        <v>593</v>
      </c>
      <c r="G578" s="84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8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1" t="s">
        <v>1065</v>
      </c>
      <c r="C579" s="82" t="str">
        <f>VLOOKUP($B$7:$B$5000,SUM!$L$6:$L$500,1,FALSE)</f>
        <v>#N/A</v>
      </c>
      <c r="D579" s="81" t="s">
        <v>1005</v>
      </c>
      <c r="E579" s="100" t="s">
        <v>58</v>
      </c>
      <c r="F579" s="84" t="s">
        <v>593</v>
      </c>
      <c r="G579" s="84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8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1" t="s">
        <v>1066</v>
      </c>
      <c r="C580" s="82" t="str">
        <f>VLOOKUP($B$7:$B$5000,SUM!$L$6:$L$500,1,FALSE)</f>
        <v>#N/A</v>
      </c>
      <c r="D580" s="81" t="s">
        <v>1005</v>
      </c>
      <c r="E580" s="100" t="s">
        <v>58</v>
      </c>
      <c r="F580" s="84" t="s">
        <v>593</v>
      </c>
      <c r="G580" s="84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8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1" t="s">
        <v>1067</v>
      </c>
      <c r="C581" s="82" t="str">
        <f>VLOOKUP($B$7:$B$5000,SUM!$L$6:$L$500,1,FALSE)</f>
        <v>#N/A</v>
      </c>
      <c r="D581" s="81" t="s">
        <v>1005</v>
      </c>
      <c r="E581" s="100" t="s">
        <v>58</v>
      </c>
      <c r="F581" s="84" t="s">
        <v>593</v>
      </c>
      <c r="G581" s="84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8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1" t="s">
        <v>1068</v>
      </c>
      <c r="C582" s="82" t="str">
        <f>VLOOKUP($B$7:$B$5000,SUM!$L$6:$L$500,1,FALSE)</f>
        <v>#N/A</v>
      </c>
      <c r="D582" s="81" t="s">
        <v>1005</v>
      </c>
      <c r="E582" s="100" t="s">
        <v>58</v>
      </c>
      <c r="F582" s="84" t="s">
        <v>593</v>
      </c>
      <c r="G582" s="84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8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1" t="s">
        <v>1069</v>
      </c>
      <c r="C583" s="82" t="str">
        <f>VLOOKUP($B$7:$B$5000,SUM!$L$6:$L$500,1,FALSE)</f>
        <v>#N/A</v>
      </c>
      <c r="D583" s="81" t="s">
        <v>1005</v>
      </c>
      <c r="E583" s="100" t="s">
        <v>58</v>
      </c>
      <c r="F583" s="84" t="s">
        <v>593</v>
      </c>
      <c r="G583" s="84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8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1" t="s">
        <v>1070</v>
      </c>
      <c r="C584" s="82" t="str">
        <f>VLOOKUP($B$7:$B$5000,SUM!$L$6:$L$500,1,FALSE)</f>
        <v>#N/A</v>
      </c>
      <c r="D584" s="81" t="s">
        <v>1005</v>
      </c>
      <c r="E584" s="100" t="s">
        <v>58</v>
      </c>
      <c r="F584" s="84" t="s">
        <v>593</v>
      </c>
      <c r="G584" s="84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8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1" t="s">
        <v>1071</v>
      </c>
      <c r="C585" s="82" t="str">
        <f>VLOOKUP($B$7:$B$5000,SUM!$L$6:$L$500,1,FALSE)</f>
        <v>#N/A</v>
      </c>
      <c r="D585" s="81" t="s">
        <v>1005</v>
      </c>
      <c r="E585" s="100" t="s">
        <v>58</v>
      </c>
      <c r="F585" s="84" t="s">
        <v>593</v>
      </c>
      <c r="G585" s="84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8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1" t="s">
        <v>1072</v>
      </c>
      <c r="C586" s="82" t="str">
        <f>VLOOKUP($B$7:$B$5000,SUM!$L$6:$L$500,1,FALSE)</f>
        <v>#N/A</v>
      </c>
      <c r="D586" s="81" t="s">
        <v>1005</v>
      </c>
      <c r="E586" s="100" t="s">
        <v>58</v>
      </c>
      <c r="F586" s="84" t="s">
        <v>593</v>
      </c>
      <c r="G586" s="84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8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1" t="s">
        <v>1073</v>
      </c>
      <c r="C587" s="82" t="str">
        <f>VLOOKUP($B$7:$B$5000,SUM!$L$6:$L$500,1,FALSE)</f>
        <v>#N/A</v>
      </c>
      <c r="D587" s="81" t="s">
        <v>1005</v>
      </c>
      <c r="E587" s="100" t="s">
        <v>58</v>
      </c>
      <c r="F587" s="84" t="s">
        <v>593</v>
      </c>
      <c r="G587" s="84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8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1" t="s">
        <v>1074</v>
      </c>
      <c r="C588" s="82" t="str">
        <f>VLOOKUP($B$7:$B$5000,SUM!$L$6:$L$500,1,FALSE)</f>
        <v>#N/A</v>
      </c>
      <c r="D588" s="81" t="s">
        <v>1005</v>
      </c>
      <c r="E588" s="100" t="s">
        <v>58</v>
      </c>
      <c r="F588" s="84" t="s">
        <v>593</v>
      </c>
      <c r="G588" s="84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8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1" t="s">
        <v>1075</v>
      </c>
      <c r="C589" s="82" t="str">
        <f>VLOOKUP($B$7:$B$5000,SUM!$L$6:$L$500,1,FALSE)</f>
        <v>#N/A</v>
      </c>
      <c r="D589" s="81" t="s">
        <v>1076</v>
      </c>
      <c r="E589" s="100" t="s">
        <v>58</v>
      </c>
      <c r="F589" s="84" t="s">
        <v>593</v>
      </c>
      <c r="G589" s="84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8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1" t="s">
        <v>1078</v>
      </c>
      <c r="C590" s="82" t="str">
        <f>VLOOKUP($B$7:$B$5000,SUM!$L$6:$L$500,1,FALSE)</f>
        <v>#N/A</v>
      </c>
      <c r="D590" s="81" t="s">
        <v>1076</v>
      </c>
      <c r="E590" s="100" t="s">
        <v>58</v>
      </c>
      <c r="F590" s="84" t="s">
        <v>593</v>
      </c>
      <c r="G590" s="84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8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1" t="s">
        <v>1080</v>
      </c>
      <c r="C591" s="82" t="str">
        <f>VLOOKUP($B$7:$B$5000,SUM!$L$6:$L$500,1,FALSE)</f>
        <v>#N/A</v>
      </c>
      <c r="D591" s="81" t="s">
        <v>1076</v>
      </c>
      <c r="E591" s="100" t="s">
        <v>58</v>
      </c>
      <c r="F591" s="84" t="s">
        <v>593</v>
      </c>
      <c r="G591" s="84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8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1" t="s">
        <v>1082</v>
      </c>
      <c r="C592" s="82" t="str">
        <f>VLOOKUP($B$7:$B$5000,SUM!$L$6:$L$500,1,FALSE)</f>
        <v>#N/A</v>
      </c>
      <c r="D592" s="81" t="s">
        <v>1076</v>
      </c>
      <c r="E592" s="100" t="s">
        <v>58</v>
      </c>
      <c r="F592" s="84" t="s">
        <v>593</v>
      </c>
      <c r="G592" s="84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8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1" t="s">
        <v>1084</v>
      </c>
      <c r="C593" s="82" t="str">
        <f>VLOOKUP($B$7:$B$5000,SUM!$L$6:$L$500,1,FALSE)</f>
        <v>#N/A</v>
      </c>
      <c r="D593" s="81" t="s">
        <v>1076</v>
      </c>
      <c r="E593" s="100" t="s">
        <v>58</v>
      </c>
      <c r="F593" s="84" t="s">
        <v>593</v>
      </c>
      <c r="G593" s="84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8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1" t="s">
        <v>1086</v>
      </c>
      <c r="C594" s="82" t="str">
        <f>VLOOKUP($B$7:$B$5000,SUM!$L$6:$L$500,1,FALSE)</f>
        <v>#N/A</v>
      </c>
      <c r="D594" s="81" t="s">
        <v>1076</v>
      </c>
      <c r="E594" s="100" t="s">
        <v>58</v>
      </c>
      <c r="F594" s="84" t="s">
        <v>593</v>
      </c>
      <c r="G594" s="84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8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1" t="s">
        <v>1088</v>
      </c>
      <c r="C595" s="82" t="str">
        <f>VLOOKUP($B$7:$B$5000,SUM!$L$6:$L$500,1,FALSE)</f>
        <v>#N/A</v>
      </c>
      <c r="D595" s="81" t="s">
        <v>1076</v>
      </c>
      <c r="E595" s="100" t="s">
        <v>58</v>
      </c>
      <c r="F595" s="84" t="s">
        <v>593</v>
      </c>
      <c r="G595" s="84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8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1" t="s">
        <v>1090</v>
      </c>
      <c r="C596" s="82" t="str">
        <f>VLOOKUP($B$7:$B$5000,SUM!$L$6:$L$500,1,FALSE)</f>
        <v>#N/A</v>
      </c>
      <c r="D596" s="81" t="s">
        <v>1076</v>
      </c>
      <c r="E596" s="100" t="s">
        <v>58</v>
      </c>
      <c r="F596" s="84" t="s">
        <v>593</v>
      </c>
      <c r="G596" s="84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8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1" t="s">
        <v>1092</v>
      </c>
      <c r="C597" s="82" t="str">
        <f>VLOOKUP($B$7:$B$5000,SUM!$L$6:$L$500,1,FALSE)</f>
        <v>#N/A</v>
      </c>
      <c r="D597" s="81" t="s">
        <v>1076</v>
      </c>
      <c r="E597" s="100" t="s">
        <v>58</v>
      </c>
      <c r="F597" s="84" t="s">
        <v>593</v>
      </c>
      <c r="G597" s="84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8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1" t="s">
        <v>1094</v>
      </c>
      <c r="C598" s="82" t="str">
        <f>VLOOKUP($B$7:$B$5000,SUM!$L$6:$L$500,1,FALSE)</f>
        <v>#N/A</v>
      </c>
      <c r="D598" s="81" t="s">
        <v>1076</v>
      </c>
      <c r="E598" s="100" t="s">
        <v>58</v>
      </c>
      <c r="F598" s="84" t="s">
        <v>593</v>
      </c>
      <c r="G598" s="84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8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1" t="s">
        <v>1096</v>
      </c>
      <c r="C599" s="82" t="str">
        <f>VLOOKUP($B$7:$B$5000,SUM!$L$6:$L$500,1,FALSE)</f>
        <v>#N/A</v>
      </c>
      <c r="D599" s="81" t="s">
        <v>1076</v>
      </c>
      <c r="E599" s="100" t="s">
        <v>58</v>
      </c>
      <c r="F599" s="84" t="s">
        <v>593</v>
      </c>
      <c r="G599" s="84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8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1" t="s">
        <v>1098</v>
      </c>
      <c r="C600" s="82" t="str">
        <f>VLOOKUP($B$7:$B$5000,SUM!$L$6:$L$500,1,FALSE)</f>
        <v>#N/A</v>
      </c>
      <c r="D600" s="81" t="s">
        <v>1076</v>
      </c>
      <c r="E600" s="100" t="s">
        <v>58</v>
      </c>
      <c r="F600" s="84" t="s">
        <v>593</v>
      </c>
      <c r="G600" s="84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8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1" t="s">
        <v>1100</v>
      </c>
      <c r="C601" s="82" t="str">
        <f>VLOOKUP($B$7:$B$5000,SUM!$L$6:$L$500,1,FALSE)</f>
        <v>#N/A</v>
      </c>
      <c r="D601" s="81" t="s">
        <v>1076</v>
      </c>
      <c r="E601" s="100" t="s">
        <v>58</v>
      </c>
      <c r="F601" s="84" t="s">
        <v>593</v>
      </c>
      <c r="G601" s="84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8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1" t="s">
        <v>1102</v>
      </c>
      <c r="C602" s="82" t="str">
        <f>VLOOKUP($B$7:$B$5000,SUM!$L$6:$L$500,1,FALSE)</f>
        <v>#N/A</v>
      </c>
      <c r="D602" s="81" t="s">
        <v>1076</v>
      </c>
      <c r="E602" s="100" t="s">
        <v>58</v>
      </c>
      <c r="F602" s="84" t="s">
        <v>593</v>
      </c>
      <c r="G602" s="84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8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1" t="s">
        <v>1104</v>
      </c>
      <c r="C603" s="82" t="str">
        <f>VLOOKUP($B$7:$B$5000,SUM!$L$6:$L$500,1,FALSE)</f>
        <v>#N/A</v>
      </c>
      <c r="D603" s="81" t="s">
        <v>1076</v>
      </c>
      <c r="E603" s="100" t="s">
        <v>58</v>
      </c>
      <c r="F603" s="84" t="s">
        <v>593</v>
      </c>
      <c r="G603" s="84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8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1" t="s">
        <v>1106</v>
      </c>
      <c r="C604" s="82" t="str">
        <f>VLOOKUP($B$7:$B$5000,SUM!$L$6:$L$500,1,FALSE)</f>
        <v>#N/A</v>
      </c>
      <c r="D604" s="81" t="s">
        <v>1076</v>
      </c>
      <c r="E604" s="100" t="s">
        <v>58</v>
      </c>
      <c r="F604" s="84" t="s">
        <v>593</v>
      </c>
      <c r="G604" s="84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8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1" t="s">
        <v>1108</v>
      </c>
      <c r="C605" s="82" t="str">
        <f>VLOOKUP($B$7:$B$5000,SUM!$L$6:$L$500,1,FALSE)</f>
        <v>#N/A</v>
      </c>
      <c r="D605" s="81" t="s">
        <v>1076</v>
      </c>
      <c r="E605" s="100" t="s">
        <v>58</v>
      </c>
      <c r="F605" s="84" t="s">
        <v>593</v>
      </c>
      <c r="G605" s="84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8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1" t="s">
        <v>1110</v>
      </c>
      <c r="C606" s="82" t="str">
        <f>VLOOKUP($B$7:$B$5000,SUM!$L$6:$L$500,1,FALSE)</f>
        <v>#N/A</v>
      </c>
      <c r="D606" s="81" t="s">
        <v>1076</v>
      </c>
      <c r="E606" s="100" t="s">
        <v>58</v>
      </c>
      <c r="F606" s="84" t="s">
        <v>593</v>
      </c>
      <c r="G606" s="84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8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1" t="s">
        <v>1112</v>
      </c>
      <c r="C607" s="82" t="str">
        <f>VLOOKUP($B$7:$B$5000,SUM!$L$6:$L$500,1,FALSE)</f>
        <v>#N/A</v>
      </c>
      <c r="D607" s="81" t="s">
        <v>1076</v>
      </c>
      <c r="E607" s="100" t="s">
        <v>58</v>
      </c>
      <c r="F607" s="84" t="s">
        <v>593</v>
      </c>
      <c r="G607" s="84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8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1" t="s">
        <v>1114</v>
      </c>
      <c r="C608" s="82" t="str">
        <f>VLOOKUP($B$7:$B$5000,SUM!$L$6:$L$500,1,FALSE)</f>
        <v>#N/A</v>
      </c>
      <c r="D608" s="81" t="s">
        <v>1076</v>
      </c>
      <c r="E608" s="100" t="s">
        <v>58</v>
      </c>
      <c r="F608" s="84" t="s">
        <v>593</v>
      </c>
      <c r="G608" s="84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8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1" t="s">
        <v>1116</v>
      </c>
      <c r="C609" s="82" t="str">
        <f>VLOOKUP($B$7:$B$5000,SUM!$L$6:$L$500,1,FALSE)</f>
        <v>#N/A</v>
      </c>
      <c r="D609" s="81" t="s">
        <v>1076</v>
      </c>
      <c r="E609" s="100" t="s">
        <v>58</v>
      </c>
      <c r="F609" s="84" t="s">
        <v>593</v>
      </c>
      <c r="G609" s="84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8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1" t="s">
        <v>1118</v>
      </c>
      <c r="C610" s="82" t="str">
        <f>VLOOKUP($B$7:$B$5000,SUM!$L$6:$L$500,1,FALSE)</f>
        <v>#N/A</v>
      </c>
      <c r="D610" s="81" t="s">
        <v>1076</v>
      </c>
      <c r="E610" s="100" t="s">
        <v>58</v>
      </c>
      <c r="F610" s="84" t="s">
        <v>593</v>
      </c>
      <c r="G610" s="84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8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1" t="s">
        <v>1120</v>
      </c>
      <c r="C611" s="82" t="str">
        <f>VLOOKUP($B$7:$B$5000,SUM!$L$6:$L$500,1,FALSE)</f>
        <v>#N/A</v>
      </c>
      <c r="D611" s="81" t="s">
        <v>1076</v>
      </c>
      <c r="E611" s="100" t="s">
        <v>58</v>
      </c>
      <c r="F611" s="84" t="s">
        <v>593</v>
      </c>
      <c r="G611" s="84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8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1" t="s">
        <v>1122</v>
      </c>
      <c r="C612" s="82" t="str">
        <f>VLOOKUP($B$7:$B$5000,SUM!$L$6:$L$500,1,FALSE)</f>
        <v>#N/A</v>
      </c>
      <c r="D612" s="81" t="s">
        <v>1076</v>
      </c>
      <c r="E612" s="100" t="s">
        <v>58</v>
      </c>
      <c r="F612" s="84" t="s">
        <v>593</v>
      </c>
      <c r="G612" s="84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8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1" t="s">
        <v>1124</v>
      </c>
      <c r="C613" s="82" t="str">
        <f>VLOOKUP($B$7:$B$5000,SUM!$L$6:$L$500,1,FALSE)</f>
        <v>#N/A</v>
      </c>
      <c r="D613" s="81" t="s">
        <v>1076</v>
      </c>
      <c r="E613" s="100" t="s">
        <v>58</v>
      </c>
      <c r="F613" s="84" t="s">
        <v>593</v>
      </c>
      <c r="G613" s="84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8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1" t="s">
        <v>1126</v>
      </c>
      <c r="C614" s="82" t="str">
        <f>VLOOKUP($B$7:$B$5000,SUM!$L$6:$L$500,1,FALSE)</f>
        <v>#N/A</v>
      </c>
      <c r="D614" s="81" t="s">
        <v>1076</v>
      </c>
      <c r="E614" s="100" t="s">
        <v>58</v>
      </c>
      <c r="F614" s="84" t="s">
        <v>593</v>
      </c>
      <c r="G614" s="84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8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1" t="s">
        <v>1128</v>
      </c>
      <c r="C615" s="82" t="str">
        <f>VLOOKUP($B$7:$B$5000,SUM!$L$6:$L$500,1,FALSE)</f>
        <v>#N/A</v>
      </c>
      <c r="D615" s="81" t="s">
        <v>1076</v>
      </c>
      <c r="E615" s="100" t="s">
        <v>58</v>
      </c>
      <c r="F615" s="84" t="s">
        <v>593</v>
      </c>
      <c r="G615" s="84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8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1" t="s">
        <v>1130</v>
      </c>
      <c r="C616" s="82" t="str">
        <f>VLOOKUP($B$7:$B$5000,SUM!$L$6:$L$500,1,FALSE)</f>
        <v>#N/A</v>
      </c>
      <c r="D616" s="81" t="s">
        <v>1076</v>
      </c>
      <c r="E616" s="100" t="s">
        <v>58</v>
      </c>
      <c r="F616" s="84" t="s">
        <v>593</v>
      </c>
      <c r="G616" s="84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8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1" t="s">
        <v>1132</v>
      </c>
      <c r="C617" s="82" t="str">
        <f>VLOOKUP($B$7:$B$5000,SUM!$L$6:$L$500,1,FALSE)</f>
        <v>#N/A</v>
      </c>
      <c r="D617" s="81" t="s">
        <v>1076</v>
      </c>
      <c r="E617" s="100" t="s">
        <v>58</v>
      </c>
      <c r="F617" s="84" t="s">
        <v>593</v>
      </c>
      <c r="G617" s="84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8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1" t="s">
        <v>1134</v>
      </c>
      <c r="C618" s="82" t="str">
        <f>VLOOKUP($B$7:$B$5000,SUM!$L$6:$L$500,1,FALSE)</f>
        <v>#N/A</v>
      </c>
      <c r="D618" s="81" t="s">
        <v>1076</v>
      </c>
      <c r="E618" s="100" t="s">
        <v>58</v>
      </c>
      <c r="F618" s="84" t="s">
        <v>593</v>
      </c>
      <c r="G618" s="84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8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1" t="s">
        <v>1136</v>
      </c>
      <c r="C619" s="82" t="str">
        <f>VLOOKUP($B$7:$B$5000,SUM!$L$6:$L$500,1,FALSE)</f>
        <v>#N/A</v>
      </c>
      <c r="D619" s="81" t="s">
        <v>1076</v>
      </c>
      <c r="E619" s="100" t="s">
        <v>58</v>
      </c>
      <c r="F619" s="84" t="s">
        <v>593</v>
      </c>
      <c r="G619" s="84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8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1" t="s">
        <v>1138</v>
      </c>
      <c r="C620" s="82" t="str">
        <f>VLOOKUP($B$7:$B$5000,SUM!$L$6:$L$500,1,FALSE)</f>
        <v>#N/A</v>
      </c>
      <c r="D620" s="81" t="s">
        <v>1076</v>
      </c>
      <c r="E620" s="100" t="s">
        <v>58</v>
      </c>
      <c r="F620" s="84" t="s">
        <v>593</v>
      </c>
      <c r="G620" s="84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8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1" t="s">
        <v>1140</v>
      </c>
      <c r="C621" s="82" t="str">
        <f>VLOOKUP($B$7:$B$5000,SUM!$L$6:$L$500,1,FALSE)</f>
        <v>#N/A</v>
      </c>
      <c r="D621" s="81" t="s">
        <v>1076</v>
      </c>
      <c r="E621" s="100" t="s">
        <v>58</v>
      </c>
      <c r="F621" s="84" t="s">
        <v>593</v>
      </c>
      <c r="G621" s="84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8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1" t="s">
        <v>1142</v>
      </c>
      <c r="C622" s="82" t="str">
        <f>VLOOKUP($B$7:$B$5000,SUM!$L$6:$L$500,1,FALSE)</f>
        <v>#N/A</v>
      </c>
      <c r="D622" s="81" t="s">
        <v>1076</v>
      </c>
      <c r="E622" s="100" t="s">
        <v>58</v>
      </c>
      <c r="F622" s="84" t="s">
        <v>593</v>
      </c>
      <c r="G622" s="84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8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1" t="s">
        <v>1144</v>
      </c>
      <c r="C623" s="82" t="str">
        <f>VLOOKUP($B$7:$B$5000,SUM!$L$6:$L$500,1,FALSE)</f>
        <v>#N/A</v>
      </c>
      <c r="D623" s="81" t="s">
        <v>1076</v>
      </c>
      <c r="E623" s="100" t="s">
        <v>58</v>
      </c>
      <c r="F623" s="84" t="s">
        <v>593</v>
      </c>
      <c r="G623" s="84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8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1" t="s">
        <v>1146</v>
      </c>
      <c r="C624" s="82" t="str">
        <f>VLOOKUP($B$7:$B$5000,SUM!$L$6:$L$500,1,FALSE)</f>
        <v>#N/A</v>
      </c>
      <c r="D624" s="81" t="s">
        <v>1076</v>
      </c>
      <c r="E624" s="100" t="s">
        <v>58</v>
      </c>
      <c r="F624" s="84" t="s">
        <v>593</v>
      </c>
      <c r="G624" s="84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8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1" t="s">
        <v>1148</v>
      </c>
      <c r="C625" s="82" t="str">
        <f>VLOOKUP($B$7:$B$5000,SUM!$L$6:$L$500,1,FALSE)</f>
        <v>#N/A</v>
      </c>
      <c r="D625" s="81" t="s">
        <v>1076</v>
      </c>
      <c r="E625" s="100" t="s">
        <v>58</v>
      </c>
      <c r="F625" s="84" t="s">
        <v>593</v>
      </c>
      <c r="G625" s="84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8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1" t="s">
        <v>1150</v>
      </c>
      <c r="C626" s="82" t="str">
        <f>VLOOKUP($B$7:$B$5000,SUM!$L$6:$L$500,1,FALSE)</f>
        <v>#N/A</v>
      </c>
      <c r="D626" s="81" t="s">
        <v>1076</v>
      </c>
      <c r="E626" s="100" t="s">
        <v>58</v>
      </c>
      <c r="F626" s="84" t="s">
        <v>593</v>
      </c>
      <c r="G626" s="84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8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1" t="s">
        <v>1152</v>
      </c>
      <c r="C627" s="82" t="str">
        <f>VLOOKUP($B$7:$B$5000,SUM!$L$6:$L$500,1,FALSE)</f>
        <v>#N/A</v>
      </c>
      <c r="D627" s="81" t="s">
        <v>1076</v>
      </c>
      <c r="E627" s="100" t="s">
        <v>58</v>
      </c>
      <c r="F627" s="84" t="s">
        <v>593</v>
      </c>
      <c r="G627" s="84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8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1" t="s">
        <v>1154</v>
      </c>
      <c r="C628" s="82" t="str">
        <f>VLOOKUP($B$7:$B$5000,SUM!$L$6:$L$500,1,FALSE)</f>
        <v>#N/A</v>
      </c>
      <c r="D628" s="81" t="s">
        <v>1076</v>
      </c>
      <c r="E628" s="100" t="s">
        <v>58</v>
      </c>
      <c r="F628" s="84" t="s">
        <v>593</v>
      </c>
      <c r="G628" s="84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8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1" t="s">
        <v>1156</v>
      </c>
      <c r="C629" s="82" t="str">
        <f>VLOOKUP($B$7:$B$5000,SUM!$L$6:$L$500,1,FALSE)</f>
        <v>#N/A</v>
      </c>
      <c r="D629" s="81" t="s">
        <v>1076</v>
      </c>
      <c r="E629" s="100" t="s">
        <v>58</v>
      </c>
      <c r="F629" s="84" t="s">
        <v>593</v>
      </c>
      <c r="G629" s="84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8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1" t="s">
        <v>1158</v>
      </c>
      <c r="C630" s="82" t="str">
        <f>VLOOKUP($B$7:$B$5000,SUM!$L$6:$L$500,1,FALSE)</f>
        <v>#N/A</v>
      </c>
      <c r="D630" s="81" t="s">
        <v>1076</v>
      </c>
      <c r="E630" s="100" t="s">
        <v>58</v>
      </c>
      <c r="F630" s="84" t="s">
        <v>593</v>
      </c>
      <c r="G630" s="84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8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1" t="s">
        <v>1160</v>
      </c>
      <c r="C631" s="82" t="str">
        <f>VLOOKUP($B$7:$B$5000,SUM!$L$6:$L$500,1,FALSE)</f>
        <v>#N/A</v>
      </c>
      <c r="D631" s="81" t="s">
        <v>1076</v>
      </c>
      <c r="E631" s="100" t="s">
        <v>58</v>
      </c>
      <c r="F631" s="84" t="s">
        <v>593</v>
      </c>
      <c r="G631" s="84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8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1" t="s">
        <v>1162</v>
      </c>
      <c r="C632" s="82" t="str">
        <f>VLOOKUP($B$7:$B$5000,SUM!$L$6:$L$500,1,FALSE)</f>
        <v>#N/A</v>
      </c>
      <c r="D632" s="81" t="s">
        <v>1076</v>
      </c>
      <c r="E632" s="100" t="s">
        <v>58</v>
      </c>
      <c r="F632" s="84" t="s">
        <v>593</v>
      </c>
      <c r="G632" s="84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8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1" t="s">
        <v>1164</v>
      </c>
      <c r="C633" s="82" t="str">
        <f>VLOOKUP($B$7:$B$5000,SUM!$L$6:$L$500,1,FALSE)</f>
        <v>#N/A</v>
      </c>
      <c r="D633" s="81" t="s">
        <v>1076</v>
      </c>
      <c r="E633" s="100" t="s">
        <v>58</v>
      </c>
      <c r="F633" s="84" t="s">
        <v>593</v>
      </c>
      <c r="G633" s="84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8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1" t="s">
        <v>1166</v>
      </c>
      <c r="C634" s="82" t="str">
        <f>VLOOKUP($B$7:$B$5000,SUM!$L$6:$L$500,1,FALSE)</f>
        <v>#N/A</v>
      </c>
      <c r="D634" s="81" t="s">
        <v>1076</v>
      </c>
      <c r="E634" s="100" t="s">
        <v>58</v>
      </c>
      <c r="F634" s="84" t="s">
        <v>593</v>
      </c>
      <c r="G634" s="84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8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1" t="s">
        <v>1168</v>
      </c>
      <c r="C635" s="82" t="str">
        <f>VLOOKUP($B$7:$B$5000,SUM!$L$6:$L$500,1,FALSE)</f>
        <v>#N/A</v>
      </c>
      <c r="D635" s="81" t="s">
        <v>1076</v>
      </c>
      <c r="E635" s="100" t="s">
        <v>58</v>
      </c>
      <c r="F635" s="84" t="s">
        <v>593</v>
      </c>
      <c r="G635" s="84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8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1" t="s">
        <v>1170</v>
      </c>
      <c r="C636" s="82" t="str">
        <f>VLOOKUP($B$7:$B$5000,SUM!$L$6:$L$500,1,FALSE)</f>
        <v>#N/A</v>
      </c>
      <c r="D636" s="81" t="s">
        <v>1076</v>
      </c>
      <c r="E636" s="100" t="s">
        <v>58</v>
      </c>
      <c r="F636" s="84" t="s">
        <v>593</v>
      </c>
      <c r="G636" s="84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8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1" t="s">
        <v>1172</v>
      </c>
      <c r="C637" s="82" t="str">
        <f>VLOOKUP($B$7:$B$5000,SUM!$L$6:$L$500,1,FALSE)</f>
        <v>#N/A</v>
      </c>
      <c r="D637" s="81" t="s">
        <v>1076</v>
      </c>
      <c r="E637" s="100" t="s">
        <v>58</v>
      </c>
      <c r="F637" s="84" t="s">
        <v>593</v>
      </c>
      <c r="G637" s="84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8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1" t="s">
        <v>1174</v>
      </c>
      <c r="C638" s="82" t="str">
        <f>VLOOKUP($B$7:$B$5000,SUM!$L$6:$L$500,1,FALSE)</f>
        <v>#N/A</v>
      </c>
      <c r="D638" s="81" t="s">
        <v>1076</v>
      </c>
      <c r="E638" s="100" t="s">
        <v>58</v>
      </c>
      <c r="F638" s="84" t="s">
        <v>593</v>
      </c>
      <c r="G638" s="84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8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1" t="s">
        <v>1176</v>
      </c>
      <c r="C639" s="82" t="str">
        <f>VLOOKUP($B$7:$B$5000,SUM!$L$6:$L$500,1,FALSE)</f>
        <v>#N/A</v>
      </c>
      <c r="D639" s="81" t="s">
        <v>1076</v>
      </c>
      <c r="E639" s="100" t="s">
        <v>58</v>
      </c>
      <c r="F639" s="84" t="s">
        <v>593</v>
      </c>
      <c r="G639" s="84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8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1" t="s">
        <v>1178</v>
      </c>
      <c r="C640" s="82" t="str">
        <f>VLOOKUP($B$7:$B$5000,SUM!$L$6:$L$500,1,FALSE)</f>
        <v>#N/A</v>
      </c>
      <c r="D640" s="81" t="s">
        <v>1076</v>
      </c>
      <c r="E640" s="100" t="s">
        <v>58</v>
      </c>
      <c r="F640" s="84" t="s">
        <v>593</v>
      </c>
      <c r="G640" s="84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8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1" t="s">
        <v>1180</v>
      </c>
      <c r="C641" s="82" t="str">
        <f>VLOOKUP($B$7:$B$5000,SUM!$L$6:$L$500,1,FALSE)</f>
        <v>#N/A</v>
      </c>
      <c r="D641" s="81" t="s">
        <v>1076</v>
      </c>
      <c r="E641" s="100" t="s">
        <v>58</v>
      </c>
      <c r="F641" s="84" t="s">
        <v>593</v>
      </c>
      <c r="G641" s="84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8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1" t="s">
        <v>1182</v>
      </c>
      <c r="C642" s="82" t="str">
        <f>VLOOKUP($B$7:$B$5000,SUM!$L$6:$L$500,1,FALSE)</f>
        <v>#N/A</v>
      </c>
      <c r="D642" s="81" t="s">
        <v>1076</v>
      </c>
      <c r="E642" s="100" t="s">
        <v>58</v>
      </c>
      <c r="F642" s="84" t="s">
        <v>593</v>
      </c>
      <c r="G642" s="84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8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1" t="s">
        <v>1184</v>
      </c>
      <c r="C643" s="82" t="str">
        <f>VLOOKUP($B$7:$B$5000,SUM!$L$6:$L$500,1,FALSE)</f>
        <v>#N/A</v>
      </c>
      <c r="D643" s="81" t="s">
        <v>1076</v>
      </c>
      <c r="E643" s="100" t="s">
        <v>58</v>
      </c>
      <c r="F643" s="84" t="s">
        <v>593</v>
      </c>
      <c r="G643" s="84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8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1" t="s">
        <v>1186</v>
      </c>
      <c r="C644" s="82" t="str">
        <f>VLOOKUP($B$7:$B$5000,SUM!$L$6:$L$500,1,FALSE)</f>
        <v>#N/A</v>
      </c>
      <c r="D644" s="81" t="s">
        <v>1076</v>
      </c>
      <c r="E644" s="100" t="s">
        <v>58</v>
      </c>
      <c r="F644" s="84" t="s">
        <v>593</v>
      </c>
      <c r="G644" s="84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8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1" t="s">
        <v>1187</v>
      </c>
      <c r="C645" s="82" t="str">
        <f>VLOOKUP($B$7:$B$5000,SUM!$L$6:$L$500,1,FALSE)</f>
        <v>#N/A</v>
      </c>
      <c r="D645" s="81" t="s">
        <v>1076</v>
      </c>
      <c r="E645" s="100" t="s">
        <v>58</v>
      </c>
      <c r="F645" s="84" t="s">
        <v>593</v>
      </c>
      <c r="G645" s="84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8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1" t="s">
        <v>1189</v>
      </c>
      <c r="C646" s="82" t="str">
        <f>VLOOKUP($B$7:$B$5000,SUM!$L$6:$L$500,1,FALSE)</f>
        <v>#N/A</v>
      </c>
      <c r="D646" s="81" t="s">
        <v>1076</v>
      </c>
      <c r="E646" s="100" t="s">
        <v>58</v>
      </c>
      <c r="F646" s="84" t="s">
        <v>593</v>
      </c>
      <c r="G646" s="84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8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1" t="s">
        <v>1191</v>
      </c>
      <c r="C647" s="82" t="str">
        <f>VLOOKUP($B$7:$B$5000,SUM!$L$6:$L$500,1,FALSE)</f>
        <v>#N/A</v>
      </c>
      <c r="D647" s="81" t="s">
        <v>1076</v>
      </c>
      <c r="E647" s="100" t="s">
        <v>58</v>
      </c>
      <c r="F647" s="84" t="s">
        <v>593</v>
      </c>
      <c r="G647" s="84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8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1" t="s">
        <v>1193</v>
      </c>
      <c r="C648" s="82" t="str">
        <f>VLOOKUP($B$7:$B$5000,SUM!$L$6:$L$500,1,FALSE)</f>
        <v>#N/A</v>
      </c>
      <c r="D648" s="81" t="s">
        <v>1076</v>
      </c>
      <c r="E648" s="100" t="s">
        <v>58</v>
      </c>
      <c r="F648" s="84" t="s">
        <v>593</v>
      </c>
      <c r="G648" s="84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8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1" t="s">
        <v>1195</v>
      </c>
      <c r="C649" s="82" t="str">
        <f>VLOOKUP($B$7:$B$5000,SUM!$L$6:$L$500,1,FALSE)</f>
        <v>#N/A</v>
      </c>
      <c r="D649" s="81" t="s">
        <v>1076</v>
      </c>
      <c r="E649" s="100" t="s">
        <v>58</v>
      </c>
      <c r="F649" s="84" t="s">
        <v>593</v>
      </c>
      <c r="G649" s="84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8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1" t="s">
        <v>1197</v>
      </c>
      <c r="C650" s="82" t="str">
        <f>VLOOKUP($B$7:$B$5000,SUM!$L$6:$L$500,1,FALSE)</f>
        <v>#N/A</v>
      </c>
      <c r="D650" s="81" t="s">
        <v>1076</v>
      </c>
      <c r="E650" s="100" t="s">
        <v>58</v>
      </c>
      <c r="F650" s="84" t="s">
        <v>593</v>
      </c>
      <c r="G650" s="84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8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1" t="s">
        <v>1199</v>
      </c>
      <c r="C651" s="82" t="str">
        <f>VLOOKUP($B$7:$B$5000,SUM!$L$6:$L$500,1,FALSE)</f>
        <v>#N/A</v>
      </c>
      <c r="D651" s="81" t="s">
        <v>1076</v>
      </c>
      <c r="E651" s="100" t="s">
        <v>58</v>
      </c>
      <c r="F651" s="84" t="s">
        <v>593</v>
      </c>
      <c r="G651" s="84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8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1" t="s">
        <v>1201</v>
      </c>
      <c r="C652" s="82" t="str">
        <f>VLOOKUP($B$7:$B$5000,SUM!$L$6:$L$500,1,FALSE)</f>
        <v>#N/A</v>
      </c>
      <c r="D652" s="81" t="s">
        <v>1076</v>
      </c>
      <c r="E652" s="100" t="s">
        <v>58</v>
      </c>
      <c r="F652" s="84" t="s">
        <v>593</v>
      </c>
      <c r="G652" s="84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8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1" t="s">
        <v>1203</v>
      </c>
      <c r="C653" s="82" t="str">
        <f>VLOOKUP($B$7:$B$5000,SUM!$L$6:$L$500,1,FALSE)</f>
        <v>#N/A</v>
      </c>
      <c r="D653" s="81" t="s">
        <v>1076</v>
      </c>
      <c r="E653" s="100" t="s">
        <v>58</v>
      </c>
      <c r="F653" s="84" t="s">
        <v>593</v>
      </c>
      <c r="G653" s="84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8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1" t="s">
        <v>1205</v>
      </c>
      <c r="C654" s="82" t="str">
        <f>VLOOKUP($B$7:$B$5000,SUM!$L$6:$L$500,1,FALSE)</f>
        <v>#N/A</v>
      </c>
      <c r="D654" s="81" t="s">
        <v>1076</v>
      </c>
      <c r="E654" s="100" t="s">
        <v>58</v>
      </c>
      <c r="F654" s="84" t="s">
        <v>593</v>
      </c>
      <c r="G654" s="84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8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1" t="s">
        <v>1207</v>
      </c>
      <c r="C655" s="82" t="str">
        <f>VLOOKUP($B$7:$B$5000,SUM!$L$6:$L$500,1,FALSE)</f>
        <v>#N/A</v>
      </c>
      <c r="D655" s="81" t="s">
        <v>1076</v>
      </c>
      <c r="E655" s="100" t="s">
        <v>58</v>
      </c>
      <c r="F655" s="84" t="s">
        <v>593</v>
      </c>
      <c r="G655" s="84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8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1" t="s">
        <v>1209</v>
      </c>
      <c r="C656" s="82" t="str">
        <f>VLOOKUP($B$7:$B$5000,SUM!$L$6:$L$500,1,FALSE)</f>
        <v>#N/A</v>
      </c>
      <c r="D656" s="81" t="s">
        <v>1076</v>
      </c>
      <c r="E656" s="100" t="s">
        <v>58</v>
      </c>
      <c r="F656" s="84" t="s">
        <v>593</v>
      </c>
      <c r="G656" s="84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8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1" t="s">
        <v>1211</v>
      </c>
      <c r="C657" s="82" t="str">
        <f>VLOOKUP($B$7:$B$5000,SUM!$L$6:$L$500,1,FALSE)</f>
        <v>#N/A</v>
      </c>
      <c r="D657" s="81" t="s">
        <v>1076</v>
      </c>
      <c r="E657" s="100" t="s">
        <v>58</v>
      </c>
      <c r="F657" s="84" t="s">
        <v>593</v>
      </c>
      <c r="G657" s="84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8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1" t="s">
        <v>1213</v>
      </c>
      <c r="C658" s="82" t="str">
        <f>VLOOKUP($B$7:$B$5000,SUM!$L$6:$L$500,1,FALSE)</f>
        <v>#N/A</v>
      </c>
      <c r="D658" s="81" t="s">
        <v>1076</v>
      </c>
      <c r="E658" s="100" t="s">
        <v>58</v>
      </c>
      <c r="F658" s="84" t="s">
        <v>593</v>
      </c>
      <c r="G658" s="84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8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1" t="s">
        <v>1215</v>
      </c>
      <c r="C659" s="82" t="str">
        <f>VLOOKUP($B$7:$B$5000,SUM!$L$6:$L$500,1,FALSE)</f>
        <v>#N/A</v>
      </c>
      <c r="D659" s="81" t="s">
        <v>1076</v>
      </c>
      <c r="E659" s="100" t="s">
        <v>58</v>
      </c>
      <c r="F659" s="84" t="s">
        <v>593</v>
      </c>
      <c r="G659" s="84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8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1" t="s">
        <v>1217</v>
      </c>
      <c r="C660" s="82" t="str">
        <f>VLOOKUP($B$7:$B$5000,SUM!$L$6:$L$500,1,FALSE)</f>
        <v>#N/A</v>
      </c>
      <c r="D660" s="81" t="s">
        <v>1076</v>
      </c>
      <c r="E660" s="100" t="s">
        <v>58</v>
      </c>
      <c r="F660" s="84" t="s">
        <v>593</v>
      </c>
      <c r="G660" s="84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8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1" t="s">
        <v>1219</v>
      </c>
      <c r="C661" s="82" t="str">
        <f>VLOOKUP($B$7:$B$5000,SUM!$L$6:$L$500,1,FALSE)</f>
        <v>#N/A</v>
      </c>
      <c r="D661" s="81" t="s">
        <v>1076</v>
      </c>
      <c r="E661" s="100" t="s">
        <v>58</v>
      </c>
      <c r="F661" s="84" t="s">
        <v>593</v>
      </c>
      <c r="G661" s="84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8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1" t="s">
        <v>1221</v>
      </c>
      <c r="C662" s="82" t="str">
        <f>VLOOKUP($B$7:$B$5000,SUM!$L$6:$L$500,1,FALSE)</f>
        <v>#N/A</v>
      </c>
      <c r="D662" s="81" t="s">
        <v>1076</v>
      </c>
      <c r="E662" s="100" t="s">
        <v>58</v>
      </c>
      <c r="F662" s="84" t="s">
        <v>593</v>
      </c>
      <c r="G662" s="84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8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1" t="s">
        <v>1223</v>
      </c>
      <c r="C663" s="82" t="str">
        <f>VLOOKUP($B$7:$B$5000,SUM!$L$6:$L$500,1,FALSE)</f>
        <v>#N/A</v>
      </c>
      <c r="D663" s="81" t="s">
        <v>1076</v>
      </c>
      <c r="E663" s="100" t="s">
        <v>58</v>
      </c>
      <c r="F663" s="84" t="s">
        <v>593</v>
      </c>
      <c r="G663" s="84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8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1" t="s">
        <v>1225</v>
      </c>
      <c r="C664" s="82" t="str">
        <f>VLOOKUP($B$7:$B$5000,SUM!$L$6:$L$500,1,FALSE)</f>
        <v>#N/A</v>
      </c>
      <c r="D664" s="81" t="s">
        <v>1076</v>
      </c>
      <c r="E664" s="100" t="s">
        <v>58</v>
      </c>
      <c r="F664" s="84" t="s">
        <v>593</v>
      </c>
      <c r="G664" s="84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8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1" t="s">
        <v>1227</v>
      </c>
      <c r="C665" s="82" t="str">
        <f>VLOOKUP($B$7:$B$5000,SUM!$L$6:$L$500,1,FALSE)</f>
        <v>#N/A</v>
      </c>
      <c r="D665" s="81" t="s">
        <v>1076</v>
      </c>
      <c r="E665" s="100" t="s">
        <v>58</v>
      </c>
      <c r="F665" s="84" t="s">
        <v>593</v>
      </c>
      <c r="G665" s="84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8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1" t="s">
        <v>1229</v>
      </c>
      <c r="C666" s="82" t="str">
        <f>VLOOKUP($B$7:$B$5000,SUM!$L$6:$L$500,1,FALSE)</f>
        <v>#N/A</v>
      </c>
      <c r="D666" s="81" t="s">
        <v>1076</v>
      </c>
      <c r="E666" s="100" t="s">
        <v>58</v>
      </c>
      <c r="F666" s="84" t="s">
        <v>593</v>
      </c>
      <c r="G666" s="84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8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1" t="s">
        <v>1231</v>
      </c>
      <c r="C667" s="82" t="str">
        <f>VLOOKUP($B$7:$B$5000,SUM!$L$6:$L$500,1,FALSE)</f>
        <v>#N/A</v>
      </c>
      <c r="D667" s="81" t="s">
        <v>1076</v>
      </c>
      <c r="E667" s="100" t="s">
        <v>58</v>
      </c>
      <c r="F667" s="84" t="s">
        <v>593</v>
      </c>
      <c r="G667" s="84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8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1" t="s">
        <v>1233</v>
      </c>
      <c r="C668" s="82" t="str">
        <f>VLOOKUP($B$7:$B$5000,SUM!$L$6:$L$500,1,FALSE)</f>
        <v>#N/A</v>
      </c>
      <c r="D668" s="81" t="s">
        <v>1076</v>
      </c>
      <c r="E668" s="100" t="s">
        <v>58</v>
      </c>
      <c r="F668" s="84" t="s">
        <v>593</v>
      </c>
      <c r="G668" s="84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8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1" t="s">
        <v>1235</v>
      </c>
      <c r="C669" s="82" t="str">
        <f>VLOOKUP($B$7:$B$5000,SUM!$L$6:$L$500,1,FALSE)</f>
        <v>#N/A</v>
      </c>
      <c r="D669" s="81" t="s">
        <v>1076</v>
      </c>
      <c r="E669" s="100" t="s">
        <v>58</v>
      </c>
      <c r="F669" s="84" t="s">
        <v>593</v>
      </c>
      <c r="G669" s="84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8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1" t="s">
        <v>1237</v>
      </c>
      <c r="C670" s="82" t="str">
        <f>VLOOKUP($B$7:$B$5000,SUM!$L$6:$L$500,1,FALSE)</f>
        <v>#N/A</v>
      </c>
      <c r="D670" s="81" t="s">
        <v>1076</v>
      </c>
      <c r="E670" s="100" t="s">
        <v>58</v>
      </c>
      <c r="F670" s="84" t="s">
        <v>593</v>
      </c>
      <c r="G670" s="84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8" t="s">
        <v>433</v>
      </c>
      <c r="O670" s="90" t="s">
        <v>67</v>
      </c>
      <c r="P670" s="90" t="s">
        <v>68</v>
      </c>
      <c r="Q670" s="150">
        <v>46166.0</v>
      </c>
      <c r="R670" s="103" t="s">
        <v>597</v>
      </c>
      <c r="S670" s="150">
        <v>46167.0</v>
      </c>
      <c r="T670" s="103"/>
      <c r="U670" s="90" t="s">
        <v>31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1" t="s">
        <v>1238</v>
      </c>
      <c r="C671" s="82" t="str">
        <f>VLOOKUP($B$7:$B$5000,SUM!$L$6:$L$500,1,FALSE)</f>
        <v>#N/A</v>
      </c>
      <c r="D671" s="81" t="s">
        <v>1076</v>
      </c>
      <c r="E671" s="100" t="s">
        <v>58</v>
      </c>
      <c r="F671" s="84" t="s">
        <v>593</v>
      </c>
      <c r="G671" s="84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8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1" t="s">
        <v>1239</v>
      </c>
      <c r="C672" s="82" t="str">
        <f>VLOOKUP($B$7:$B$5000,SUM!$L$6:$L$500,1,FALSE)</f>
        <v>#N/A</v>
      </c>
      <c r="D672" s="81" t="s">
        <v>1076</v>
      </c>
      <c r="E672" s="100" t="s">
        <v>58</v>
      </c>
      <c r="F672" s="84" t="s">
        <v>593</v>
      </c>
      <c r="G672" s="84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8" t="s">
        <v>433</v>
      </c>
      <c r="O672" s="90" t="s">
        <v>67</v>
      </c>
      <c r="P672" s="90" t="s">
        <v>68</v>
      </c>
      <c r="Q672" s="157">
        <v>46170.0</v>
      </c>
      <c r="R672" s="90" t="s">
        <v>66</v>
      </c>
      <c r="S672" s="152">
        <v>46171.0</v>
      </c>
      <c r="T672" s="103"/>
      <c r="U672" s="97" t="s">
        <v>31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1" t="s">
        <v>1240</v>
      </c>
      <c r="C673" s="82" t="str">
        <f>VLOOKUP($B$7:$B$5000,SUM!$L$6:$L$500,1,FALSE)</f>
        <v>#N/A</v>
      </c>
      <c r="D673" s="81" t="s">
        <v>1076</v>
      </c>
      <c r="E673" s="100" t="s">
        <v>58</v>
      </c>
      <c r="F673" s="84" t="s">
        <v>593</v>
      </c>
      <c r="G673" s="84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8" t="s">
        <v>433</v>
      </c>
      <c r="O673" s="90" t="s">
        <v>67</v>
      </c>
      <c r="P673" s="90" t="s">
        <v>68</v>
      </c>
      <c r="Q673" s="150">
        <v>46166.0</v>
      </c>
      <c r="R673" s="103" t="s">
        <v>597</v>
      </c>
      <c r="S673" s="150">
        <v>46167.0</v>
      </c>
      <c r="T673" s="103"/>
      <c r="U673" s="90" t="s">
        <v>31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1" t="s">
        <v>1241</v>
      </c>
      <c r="C674" s="82" t="str">
        <f>VLOOKUP($B$7:$B$5000,SUM!$L$6:$L$500,1,FALSE)</f>
        <v>#N/A</v>
      </c>
      <c r="D674" s="81" t="s">
        <v>1076</v>
      </c>
      <c r="E674" s="100" t="s">
        <v>58</v>
      </c>
      <c r="F674" s="84" t="s">
        <v>593</v>
      </c>
      <c r="G674" s="84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8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1" t="s">
        <v>1242</v>
      </c>
      <c r="C675" s="82" t="str">
        <f>VLOOKUP($B$7:$B$5000,SUM!$L$6:$L$500,1,FALSE)</f>
        <v>#N/A</v>
      </c>
      <c r="D675" s="81" t="s">
        <v>1076</v>
      </c>
      <c r="E675" s="100" t="s">
        <v>58</v>
      </c>
      <c r="F675" s="84" t="s">
        <v>593</v>
      </c>
      <c r="G675" s="84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8" t="s">
        <v>433</v>
      </c>
      <c r="O675" s="90" t="s">
        <v>67</v>
      </c>
      <c r="P675" s="90" t="s">
        <v>68</v>
      </c>
      <c r="Q675" s="154" t="s">
        <v>791</v>
      </c>
      <c r="R675" s="154" t="s">
        <v>66</v>
      </c>
      <c r="S675" s="155">
        <v>46189.0</v>
      </c>
      <c r="T675" s="156"/>
      <c r="U675" s="154" t="s">
        <v>31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1" t="s">
        <v>1243</v>
      </c>
      <c r="C676" s="82" t="str">
        <f>VLOOKUP($B$7:$B$5000,SUM!$L$6:$L$500,1,FALSE)</f>
        <v>#N/A</v>
      </c>
      <c r="D676" s="81" t="s">
        <v>1076</v>
      </c>
      <c r="E676" s="100" t="s">
        <v>58</v>
      </c>
      <c r="F676" s="84" t="s">
        <v>593</v>
      </c>
      <c r="G676" s="84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8" t="s">
        <v>433</v>
      </c>
      <c r="O676" s="90" t="s">
        <v>67</v>
      </c>
      <c r="P676" s="90" t="s">
        <v>68</v>
      </c>
      <c r="Q676" s="154" t="s">
        <v>791</v>
      </c>
      <c r="R676" s="154" t="s">
        <v>66</v>
      </c>
      <c r="S676" s="155">
        <v>46189.0</v>
      </c>
      <c r="T676" s="156"/>
      <c r="U676" s="154" t="s">
        <v>31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1" t="s">
        <v>1244</v>
      </c>
      <c r="C677" s="82" t="str">
        <f>VLOOKUP($B$7:$B$5000,SUM!$L$6:$L$500,1,FALSE)</f>
        <v>#N/A</v>
      </c>
      <c r="D677" s="81" t="s">
        <v>1076</v>
      </c>
      <c r="E677" s="100" t="s">
        <v>58</v>
      </c>
      <c r="F677" s="84" t="s">
        <v>593</v>
      </c>
      <c r="G677" s="84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8" t="s">
        <v>433</v>
      </c>
      <c r="O677" s="90" t="s">
        <v>67</v>
      </c>
      <c r="P677" s="90" t="s">
        <v>68</v>
      </c>
      <c r="Q677" s="150">
        <v>46166.0</v>
      </c>
      <c r="R677" s="103" t="s">
        <v>597</v>
      </c>
      <c r="S677" s="150">
        <v>46167.0</v>
      </c>
      <c r="T677" s="103"/>
      <c r="U677" s="90" t="s">
        <v>31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1" t="s">
        <v>1245</v>
      </c>
      <c r="C678" s="82" t="str">
        <f>VLOOKUP($B$7:$B$5000,SUM!$L$6:$L$500,1,FALSE)</f>
        <v>#N/A</v>
      </c>
      <c r="D678" s="81" t="s">
        <v>1076</v>
      </c>
      <c r="E678" s="100" t="s">
        <v>58</v>
      </c>
      <c r="F678" s="84" t="s">
        <v>593</v>
      </c>
      <c r="G678" s="84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8" t="s">
        <v>433</v>
      </c>
      <c r="O678" s="90" t="s">
        <v>67</v>
      </c>
      <c r="P678" s="90" t="s">
        <v>68</v>
      </c>
      <c r="Q678" s="150">
        <v>46166.0</v>
      </c>
      <c r="R678" s="103" t="s">
        <v>597</v>
      </c>
      <c r="S678" s="150">
        <v>46167.0</v>
      </c>
      <c r="T678" s="103"/>
      <c r="U678" s="90" t="s">
        <v>31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1" t="s">
        <v>1246</v>
      </c>
      <c r="C679" s="82" t="str">
        <f>VLOOKUP($B$7:$B$5000,SUM!$L$6:$L$500,1,FALSE)</f>
        <v>#N/A</v>
      </c>
      <c r="D679" s="81" t="s">
        <v>1076</v>
      </c>
      <c r="E679" s="100" t="s">
        <v>58</v>
      </c>
      <c r="F679" s="84" t="s">
        <v>593</v>
      </c>
      <c r="G679" s="84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8" t="s">
        <v>433</v>
      </c>
      <c r="O679" s="90" t="s">
        <v>67</v>
      </c>
      <c r="P679" s="90" t="s">
        <v>68</v>
      </c>
      <c r="Q679" s="150">
        <v>46166.0</v>
      </c>
      <c r="R679" s="103" t="s">
        <v>597</v>
      </c>
      <c r="S679" s="150">
        <v>46167.0</v>
      </c>
      <c r="T679" s="103"/>
      <c r="U679" s="90" t="s">
        <v>31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1" t="s">
        <v>1247</v>
      </c>
      <c r="C680" s="82" t="str">
        <f>VLOOKUP($B$7:$B$5000,SUM!$L$6:$L$500,1,FALSE)</f>
        <v>#N/A</v>
      </c>
      <c r="D680" s="81" t="s">
        <v>1076</v>
      </c>
      <c r="E680" s="100" t="s">
        <v>58</v>
      </c>
      <c r="F680" s="84" t="s">
        <v>593</v>
      </c>
      <c r="G680" s="84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8" t="s">
        <v>433</v>
      </c>
      <c r="O680" s="90" t="s">
        <v>67</v>
      </c>
      <c r="P680" s="90" t="s">
        <v>68</v>
      </c>
      <c r="Q680" s="150">
        <v>46166.0</v>
      </c>
      <c r="R680" s="103" t="s">
        <v>597</v>
      </c>
      <c r="S680" s="150">
        <v>46167.0</v>
      </c>
      <c r="T680" s="103"/>
      <c r="U680" s="90" t="s">
        <v>31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1" t="s">
        <v>1248</v>
      </c>
      <c r="C681" s="82" t="str">
        <f>VLOOKUP($B$7:$B$5000,SUM!$L$6:$L$500,1,FALSE)</f>
        <v>#N/A</v>
      </c>
      <c r="D681" s="81" t="s">
        <v>1076</v>
      </c>
      <c r="E681" s="100" t="s">
        <v>58</v>
      </c>
      <c r="F681" s="84" t="s">
        <v>593</v>
      </c>
      <c r="G681" s="84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8" t="s">
        <v>433</v>
      </c>
      <c r="O681" s="90" t="s">
        <v>67</v>
      </c>
      <c r="P681" s="90" t="s">
        <v>68</v>
      </c>
      <c r="Q681" s="150">
        <v>46166.0</v>
      </c>
      <c r="R681" s="103" t="s">
        <v>597</v>
      </c>
      <c r="S681" s="150">
        <v>46167.0</v>
      </c>
      <c r="T681" s="103"/>
      <c r="U681" s="90" t="s">
        <v>31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1" t="s">
        <v>1249</v>
      </c>
      <c r="C682" s="82" t="str">
        <f>VLOOKUP($B$7:$B$5000,SUM!$L$6:$L$500,1,FALSE)</f>
        <v>#N/A</v>
      </c>
      <c r="D682" s="81" t="s">
        <v>1076</v>
      </c>
      <c r="E682" s="100" t="s">
        <v>58</v>
      </c>
      <c r="F682" s="84" t="s">
        <v>593</v>
      </c>
      <c r="G682" s="84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8" t="s">
        <v>433</v>
      </c>
      <c r="O682" s="90" t="s">
        <v>67</v>
      </c>
      <c r="P682" s="90" t="s">
        <v>68</v>
      </c>
      <c r="Q682" s="150">
        <v>46166.0</v>
      </c>
      <c r="R682" s="103" t="s">
        <v>597</v>
      </c>
      <c r="S682" s="150">
        <v>46167.0</v>
      </c>
      <c r="T682" s="103"/>
      <c r="U682" s="90" t="s">
        <v>31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1" t="s">
        <v>1250</v>
      </c>
      <c r="C683" s="82" t="str">
        <f>VLOOKUP($B$7:$B$5000,SUM!$L$6:$L$500,1,FALSE)</f>
        <v>#N/A</v>
      </c>
      <c r="D683" s="81" t="s">
        <v>1076</v>
      </c>
      <c r="E683" s="100" t="s">
        <v>58</v>
      </c>
      <c r="F683" s="84" t="s">
        <v>593</v>
      </c>
      <c r="G683" s="84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8" t="s">
        <v>433</v>
      </c>
      <c r="O683" s="90" t="s">
        <v>67</v>
      </c>
      <c r="P683" s="90" t="s">
        <v>68</v>
      </c>
      <c r="Q683" s="150">
        <v>46166.0</v>
      </c>
      <c r="R683" s="103" t="s">
        <v>597</v>
      </c>
      <c r="S683" s="150">
        <v>46167.0</v>
      </c>
      <c r="T683" s="103"/>
      <c r="U683" s="90" t="s">
        <v>31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1" t="s">
        <v>1251</v>
      </c>
      <c r="C684" s="82" t="str">
        <f>VLOOKUP($B$7:$B$5000,SUM!$L$6:$L$500,1,FALSE)</f>
        <v>#N/A</v>
      </c>
      <c r="D684" s="81" t="s">
        <v>1076</v>
      </c>
      <c r="E684" s="100" t="s">
        <v>58</v>
      </c>
      <c r="F684" s="84" t="s">
        <v>593</v>
      </c>
      <c r="G684" s="84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8" t="s">
        <v>433</v>
      </c>
      <c r="O684" s="90" t="s">
        <v>67</v>
      </c>
      <c r="P684" s="90" t="s">
        <v>68</v>
      </c>
      <c r="Q684" s="150">
        <v>46166.0</v>
      </c>
      <c r="R684" s="103" t="s">
        <v>597</v>
      </c>
      <c r="S684" s="150">
        <v>46167.0</v>
      </c>
      <c r="T684" s="103"/>
      <c r="U684" s="90" t="s">
        <v>31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1" t="s">
        <v>1252</v>
      </c>
      <c r="C685" s="82" t="str">
        <f>VLOOKUP($B$7:$B$5000,SUM!$L$6:$L$500,1,FALSE)</f>
        <v>#N/A</v>
      </c>
      <c r="D685" s="81" t="s">
        <v>1076</v>
      </c>
      <c r="E685" s="100" t="s">
        <v>58</v>
      </c>
      <c r="F685" s="84" t="s">
        <v>593</v>
      </c>
      <c r="G685" s="84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8" t="s">
        <v>433</v>
      </c>
      <c r="O685" s="90" t="s">
        <v>67</v>
      </c>
      <c r="P685" s="90" t="s">
        <v>68</v>
      </c>
      <c r="Q685" s="150">
        <v>46166.0</v>
      </c>
      <c r="R685" s="103" t="s">
        <v>597</v>
      </c>
      <c r="S685" s="150">
        <v>46167.0</v>
      </c>
      <c r="T685" s="103"/>
      <c r="U685" s="90" t="s">
        <v>31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1" t="s">
        <v>1253</v>
      </c>
      <c r="C686" s="82" t="str">
        <f>VLOOKUP($B$7:$B$5000,SUM!$L$6:$L$500,1,FALSE)</f>
        <v>#N/A</v>
      </c>
      <c r="D686" s="81" t="s">
        <v>1076</v>
      </c>
      <c r="E686" s="100" t="s">
        <v>58</v>
      </c>
      <c r="F686" s="84" t="s">
        <v>593</v>
      </c>
      <c r="G686" s="84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8" t="s">
        <v>433</v>
      </c>
      <c r="O686" s="90" t="s">
        <v>67</v>
      </c>
      <c r="P686" s="90" t="s">
        <v>68</v>
      </c>
      <c r="Q686" s="154" t="s">
        <v>791</v>
      </c>
      <c r="R686" s="154" t="s">
        <v>66</v>
      </c>
      <c r="S686" s="155">
        <v>46189.0</v>
      </c>
      <c r="T686" s="156"/>
      <c r="U686" s="154" t="s">
        <v>31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1" t="s">
        <v>1254</v>
      </c>
      <c r="C687" s="82" t="str">
        <f>VLOOKUP($B$7:$B$5000,SUM!$L$6:$L$500,1,FALSE)</f>
        <v>#N/A</v>
      </c>
      <c r="D687" s="81" t="s">
        <v>1076</v>
      </c>
      <c r="E687" s="100" t="s">
        <v>58</v>
      </c>
      <c r="F687" s="84" t="s">
        <v>593</v>
      </c>
      <c r="G687" s="84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8" t="s">
        <v>433</v>
      </c>
      <c r="O687" s="90" t="s">
        <v>67</v>
      </c>
      <c r="P687" s="90" t="s">
        <v>68</v>
      </c>
      <c r="Q687" s="159">
        <v>46171.0</v>
      </c>
      <c r="R687" s="148" t="s">
        <v>66</v>
      </c>
      <c r="S687" s="152">
        <v>46173.0</v>
      </c>
      <c r="T687" s="103"/>
      <c r="U687" s="97" t="s">
        <v>31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1" t="s">
        <v>1255</v>
      </c>
      <c r="C688" s="82" t="str">
        <f>VLOOKUP($B$7:$B$5000,SUM!$L$6:$L$500,1,FALSE)</f>
        <v>#N/A</v>
      </c>
      <c r="D688" s="81" t="s">
        <v>1076</v>
      </c>
      <c r="E688" s="100" t="s">
        <v>58</v>
      </c>
      <c r="F688" s="84" t="s">
        <v>593</v>
      </c>
      <c r="G688" s="84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8" t="s">
        <v>433</v>
      </c>
      <c r="O688" s="90" t="s">
        <v>67</v>
      </c>
      <c r="P688" s="90" t="s">
        <v>68</v>
      </c>
      <c r="Q688" s="150">
        <v>46166.0</v>
      </c>
      <c r="R688" s="103" t="s">
        <v>597</v>
      </c>
      <c r="S688" s="150">
        <v>46167.0</v>
      </c>
      <c r="T688" s="103"/>
      <c r="U688" s="90" t="s">
        <v>31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1" t="s">
        <v>1256</v>
      </c>
      <c r="C689" s="82" t="str">
        <f>VLOOKUP($B$7:$B$5000,SUM!$L$6:$L$500,1,FALSE)</f>
        <v>#N/A</v>
      </c>
      <c r="D689" s="81" t="s">
        <v>1076</v>
      </c>
      <c r="E689" s="100" t="s">
        <v>58</v>
      </c>
      <c r="F689" s="84" t="s">
        <v>593</v>
      </c>
      <c r="G689" s="84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8" t="s">
        <v>433</v>
      </c>
      <c r="O689" s="90" t="s">
        <v>67</v>
      </c>
      <c r="P689" s="90" t="s">
        <v>68</v>
      </c>
      <c r="Q689" s="159">
        <v>46171.0</v>
      </c>
      <c r="R689" s="148" t="s">
        <v>66</v>
      </c>
      <c r="S689" s="152">
        <v>46173.0</v>
      </c>
      <c r="T689" s="103"/>
      <c r="U689" s="97" t="s">
        <v>31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1" t="s">
        <v>1257</v>
      </c>
      <c r="C690" s="82" t="str">
        <f>VLOOKUP($B$7:$B$5000,SUM!$L$6:$L$500,1,FALSE)</f>
        <v>#N/A</v>
      </c>
      <c r="D690" s="81" t="s">
        <v>1076</v>
      </c>
      <c r="E690" s="100" t="s">
        <v>58</v>
      </c>
      <c r="F690" s="84" t="s">
        <v>593</v>
      </c>
      <c r="G690" s="84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8" t="s">
        <v>433</v>
      </c>
      <c r="O690" s="90" t="s">
        <v>67</v>
      </c>
      <c r="P690" s="90" t="s">
        <v>68</v>
      </c>
      <c r="Q690" s="159">
        <v>46171.0</v>
      </c>
      <c r="R690" s="148" t="s">
        <v>66</v>
      </c>
      <c r="S690" s="152">
        <v>46173.0</v>
      </c>
      <c r="T690" s="103"/>
      <c r="U690" s="97" t="s">
        <v>31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1" t="s">
        <v>1258</v>
      </c>
      <c r="C691" s="82" t="str">
        <f>VLOOKUP($B$7:$B$5000,SUM!$L$6:$L$500,1,FALSE)</f>
        <v>#N/A</v>
      </c>
      <c r="D691" s="81" t="s">
        <v>1076</v>
      </c>
      <c r="E691" s="100" t="s">
        <v>58</v>
      </c>
      <c r="F691" s="84" t="s">
        <v>593</v>
      </c>
      <c r="G691" s="84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8" t="s">
        <v>433</v>
      </c>
      <c r="O691" s="90" t="s">
        <v>67</v>
      </c>
      <c r="P691" s="90" t="s">
        <v>68</v>
      </c>
      <c r="Q691" s="150">
        <v>46166.0</v>
      </c>
      <c r="R691" s="103" t="s">
        <v>597</v>
      </c>
      <c r="S691" s="150">
        <v>46167.0</v>
      </c>
      <c r="T691" s="103"/>
      <c r="U691" s="90" t="s">
        <v>31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1" t="s">
        <v>1259</v>
      </c>
      <c r="C692" s="82" t="str">
        <f>VLOOKUP($B$7:$B$5000,SUM!$L$6:$L$500,1,FALSE)</f>
        <v>#N/A</v>
      </c>
      <c r="D692" s="81" t="s">
        <v>1076</v>
      </c>
      <c r="E692" s="100" t="s">
        <v>58</v>
      </c>
      <c r="F692" s="84" t="s">
        <v>593</v>
      </c>
      <c r="G692" s="84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8" t="s">
        <v>433</v>
      </c>
      <c r="O692" s="90" t="s">
        <v>67</v>
      </c>
      <c r="P692" s="90" t="s">
        <v>68</v>
      </c>
      <c r="Q692" s="150">
        <v>46166.0</v>
      </c>
      <c r="R692" s="103" t="s">
        <v>597</v>
      </c>
      <c r="S692" s="150">
        <v>46167.0</v>
      </c>
      <c r="T692" s="103"/>
      <c r="U692" s="90" t="s">
        <v>31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1" t="s">
        <v>1260</v>
      </c>
      <c r="C693" s="82" t="str">
        <f>VLOOKUP($B$7:$B$5000,SUM!$L$6:$L$500,1,FALSE)</f>
        <v>#N/A</v>
      </c>
      <c r="D693" s="81" t="s">
        <v>1076</v>
      </c>
      <c r="E693" s="100" t="s">
        <v>58</v>
      </c>
      <c r="F693" s="84" t="s">
        <v>593</v>
      </c>
      <c r="G693" s="84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8" t="s">
        <v>433</v>
      </c>
      <c r="O693" s="90" t="s">
        <v>67</v>
      </c>
      <c r="P693" s="90" t="s">
        <v>68</v>
      </c>
      <c r="Q693" s="157">
        <v>46170.0</v>
      </c>
      <c r="R693" s="90" t="s">
        <v>66</v>
      </c>
      <c r="S693" s="152">
        <v>46171.0</v>
      </c>
      <c r="T693" s="103"/>
      <c r="U693" s="97" t="s">
        <v>31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1" t="s">
        <v>1261</v>
      </c>
      <c r="C694" s="82" t="str">
        <f>VLOOKUP($B$7:$B$5000,SUM!$L$6:$L$500,1,FALSE)</f>
        <v>#N/A</v>
      </c>
      <c r="D694" s="81" t="s">
        <v>1076</v>
      </c>
      <c r="E694" s="100" t="s">
        <v>58</v>
      </c>
      <c r="F694" s="84" t="s">
        <v>593</v>
      </c>
      <c r="G694" s="84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8" t="s">
        <v>433</v>
      </c>
      <c r="O694" s="90" t="s">
        <v>67</v>
      </c>
      <c r="P694" s="90" t="s">
        <v>68</v>
      </c>
      <c r="Q694" s="150">
        <v>46166.0</v>
      </c>
      <c r="R694" s="103" t="s">
        <v>597</v>
      </c>
      <c r="S694" s="150">
        <v>46167.0</v>
      </c>
      <c r="T694" s="103"/>
      <c r="U694" s="90" t="s">
        <v>31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1" t="s">
        <v>1262</v>
      </c>
      <c r="C695" s="82" t="str">
        <f>VLOOKUP($B$7:$B$5000,SUM!$L$6:$L$500,1,FALSE)</f>
        <v>#N/A</v>
      </c>
      <c r="D695" s="81" t="s">
        <v>1076</v>
      </c>
      <c r="E695" s="100" t="s">
        <v>58</v>
      </c>
      <c r="F695" s="84" t="s">
        <v>593</v>
      </c>
      <c r="G695" s="84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8" t="s">
        <v>433</v>
      </c>
      <c r="O695" s="90" t="s">
        <v>67</v>
      </c>
      <c r="P695" s="90" t="s">
        <v>68</v>
      </c>
      <c r="Q695" s="150">
        <v>46166.0</v>
      </c>
      <c r="R695" s="103" t="s">
        <v>597</v>
      </c>
      <c r="S695" s="150">
        <v>46167.0</v>
      </c>
      <c r="T695" s="103"/>
      <c r="U695" s="90" t="s">
        <v>31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1" t="s">
        <v>1263</v>
      </c>
      <c r="C696" s="82" t="str">
        <f>VLOOKUP($B$7:$B$5000,SUM!$L$6:$L$500,1,FALSE)</f>
        <v>#N/A</v>
      </c>
      <c r="D696" s="81" t="s">
        <v>1076</v>
      </c>
      <c r="E696" s="100" t="s">
        <v>58</v>
      </c>
      <c r="F696" s="84" t="s">
        <v>593</v>
      </c>
      <c r="G696" s="84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8" t="s">
        <v>433</v>
      </c>
      <c r="O696" s="90" t="s">
        <v>67</v>
      </c>
      <c r="P696" s="90" t="s">
        <v>68</v>
      </c>
      <c r="Q696" s="150">
        <v>46166.0</v>
      </c>
      <c r="R696" s="103" t="s">
        <v>597</v>
      </c>
      <c r="S696" s="150">
        <v>46167.0</v>
      </c>
      <c r="T696" s="103"/>
      <c r="U696" s="90" t="s">
        <v>31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1" t="s">
        <v>1264</v>
      </c>
      <c r="C697" s="82" t="str">
        <f>VLOOKUP($B$7:$B$5000,SUM!$L$6:$L$500,1,FALSE)</f>
        <v>#N/A</v>
      </c>
      <c r="D697" s="81" t="s">
        <v>1076</v>
      </c>
      <c r="E697" s="100" t="s">
        <v>58</v>
      </c>
      <c r="F697" s="84" t="s">
        <v>593</v>
      </c>
      <c r="G697" s="84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8" t="s">
        <v>433</v>
      </c>
      <c r="O697" s="90" t="s">
        <v>67</v>
      </c>
      <c r="P697" s="90" t="s">
        <v>68</v>
      </c>
      <c r="Q697" s="153">
        <v>46169.0</v>
      </c>
      <c r="R697" s="154" t="s">
        <v>66</v>
      </c>
      <c r="S697" s="155">
        <v>46188.0</v>
      </c>
      <c r="T697" s="156"/>
      <c r="U697" s="154" t="s">
        <v>31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1" t="s">
        <v>1265</v>
      </c>
      <c r="C698" s="82" t="str">
        <f>VLOOKUP($B$7:$B$5000,SUM!$L$6:$L$500,1,FALSE)</f>
        <v>#N/A</v>
      </c>
      <c r="D698" s="81" t="s">
        <v>1076</v>
      </c>
      <c r="E698" s="100" t="s">
        <v>58</v>
      </c>
      <c r="F698" s="84" t="s">
        <v>593</v>
      </c>
      <c r="G698" s="84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8" t="s">
        <v>433</v>
      </c>
      <c r="O698" s="90" t="s">
        <v>67</v>
      </c>
      <c r="P698" s="90" t="s">
        <v>68</v>
      </c>
      <c r="Q698" s="157">
        <v>46170.0</v>
      </c>
      <c r="R698" s="90" t="s">
        <v>66</v>
      </c>
      <c r="S698" s="152">
        <v>46171.0</v>
      </c>
      <c r="T698" s="103"/>
      <c r="U698" s="97" t="s">
        <v>31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1" t="s">
        <v>1266</v>
      </c>
      <c r="C699" s="82" t="str">
        <f>VLOOKUP($B$7:$B$5000,SUM!$L$6:$L$500,1,FALSE)</f>
        <v>#N/A</v>
      </c>
      <c r="D699" s="81" t="s">
        <v>1076</v>
      </c>
      <c r="E699" s="100" t="s">
        <v>58</v>
      </c>
      <c r="F699" s="84" t="s">
        <v>593</v>
      </c>
      <c r="G699" s="84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8" t="s">
        <v>433</v>
      </c>
      <c r="O699" s="90" t="s">
        <v>67</v>
      </c>
      <c r="P699" s="90" t="s">
        <v>68</v>
      </c>
      <c r="Q699" s="150">
        <v>46166.0</v>
      </c>
      <c r="R699" s="103" t="s">
        <v>597</v>
      </c>
      <c r="S699" s="150">
        <v>46167.0</v>
      </c>
      <c r="T699" s="103"/>
      <c r="U699" s="90" t="s">
        <v>31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1" t="s">
        <v>1267</v>
      </c>
      <c r="C700" s="82" t="str">
        <f>VLOOKUP($B$7:$B$5000,SUM!$L$6:$L$500,1,FALSE)</f>
        <v>#N/A</v>
      </c>
      <c r="D700" s="81" t="s">
        <v>1076</v>
      </c>
      <c r="E700" s="100" t="s">
        <v>58</v>
      </c>
      <c r="F700" s="84" t="s">
        <v>593</v>
      </c>
      <c r="G700" s="84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8" t="s">
        <v>433</v>
      </c>
      <c r="O700" s="90" t="s">
        <v>67</v>
      </c>
      <c r="P700" s="90" t="s">
        <v>68</v>
      </c>
      <c r="Q700" s="150">
        <v>46166.0</v>
      </c>
      <c r="R700" s="103" t="s">
        <v>597</v>
      </c>
      <c r="S700" s="150">
        <v>46167.0</v>
      </c>
      <c r="T700" s="103"/>
      <c r="U700" s="90" t="s">
        <v>31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1" t="s">
        <v>1268</v>
      </c>
      <c r="C701" s="82" t="str">
        <f>VLOOKUP($B$7:$B$5000,SUM!$L$6:$L$500,1,FALSE)</f>
        <v>#N/A</v>
      </c>
      <c r="D701" s="81" t="s">
        <v>1076</v>
      </c>
      <c r="E701" s="100" t="s">
        <v>58</v>
      </c>
      <c r="F701" s="84" t="s">
        <v>593</v>
      </c>
      <c r="G701" s="84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8" t="s">
        <v>433</v>
      </c>
      <c r="O701" s="90" t="s">
        <v>67</v>
      </c>
      <c r="P701" s="90" t="s">
        <v>68</v>
      </c>
      <c r="Q701" s="150">
        <v>46166.0</v>
      </c>
      <c r="R701" s="103" t="s">
        <v>597</v>
      </c>
      <c r="S701" s="150">
        <v>46167.0</v>
      </c>
      <c r="T701" s="103"/>
      <c r="U701" s="90" t="s">
        <v>31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1" t="s">
        <v>1269</v>
      </c>
      <c r="C702" s="82" t="str">
        <f>VLOOKUP($B$7:$B$5000,SUM!$L$6:$L$500,1,FALSE)</f>
        <v>#N/A</v>
      </c>
      <c r="D702" s="81" t="s">
        <v>1076</v>
      </c>
      <c r="E702" s="100" t="s">
        <v>58</v>
      </c>
      <c r="F702" s="84" t="s">
        <v>593</v>
      </c>
      <c r="G702" s="84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8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1" t="s">
        <v>1270</v>
      </c>
      <c r="C703" s="82" t="str">
        <f>VLOOKUP($B$7:$B$5000,SUM!$L$6:$L$500,1,FALSE)</f>
        <v>#N/A</v>
      </c>
      <c r="D703" s="81" t="s">
        <v>1076</v>
      </c>
      <c r="E703" s="100" t="s">
        <v>58</v>
      </c>
      <c r="F703" s="84" t="s">
        <v>593</v>
      </c>
      <c r="G703" s="84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8" t="s">
        <v>433</v>
      </c>
      <c r="O703" s="90" t="s">
        <v>67</v>
      </c>
      <c r="P703" s="90" t="s">
        <v>68</v>
      </c>
      <c r="Q703" s="150">
        <v>46166.0</v>
      </c>
      <c r="R703" s="103" t="s">
        <v>597</v>
      </c>
      <c r="S703" s="150">
        <v>46167.0</v>
      </c>
      <c r="T703" s="103"/>
      <c r="U703" s="90" t="s">
        <v>31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1" t="s">
        <v>1271</v>
      </c>
      <c r="C704" s="82" t="str">
        <f>VLOOKUP($B$7:$B$5000,SUM!$L$6:$L$500,1,FALSE)</f>
        <v>#N/A</v>
      </c>
      <c r="D704" s="81" t="s">
        <v>1076</v>
      </c>
      <c r="E704" s="100" t="s">
        <v>58</v>
      </c>
      <c r="F704" s="84" t="s">
        <v>593</v>
      </c>
      <c r="G704" s="84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8" t="s">
        <v>433</v>
      </c>
      <c r="O704" s="90" t="s">
        <v>67</v>
      </c>
      <c r="P704" s="90" t="s">
        <v>68</v>
      </c>
      <c r="Q704" s="150">
        <v>46166.0</v>
      </c>
      <c r="R704" s="103" t="s">
        <v>597</v>
      </c>
      <c r="S704" s="150">
        <v>46167.0</v>
      </c>
      <c r="T704" s="103"/>
      <c r="U704" s="90" t="s">
        <v>31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1" t="s">
        <v>1272</v>
      </c>
      <c r="C705" s="82" t="str">
        <f>VLOOKUP($B$7:$B$5000,SUM!$L$6:$L$500,1,FALSE)</f>
        <v>#N/A</v>
      </c>
      <c r="D705" s="81" t="s">
        <v>1076</v>
      </c>
      <c r="E705" s="100" t="s">
        <v>58</v>
      </c>
      <c r="F705" s="84" t="s">
        <v>593</v>
      </c>
      <c r="G705" s="84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8" t="s">
        <v>433</v>
      </c>
      <c r="O705" s="90" t="s">
        <v>67</v>
      </c>
      <c r="P705" s="90" t="s">
        <v>68</v>
      </c>
      <c r="Q705" s="150">
        <v>46166.0</v>
      </c>
      <c r="R705" s="103" t="s">
        <v>597</v>
      </c>
      <c r="S705" s="150">
        <v>46167.0</v>
      </c>
      <c r="T705" s="103"/>
      <c r="U705" s="90" t="s">
        <v>31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1" t="s">
        <v>1273</v>
      </c>
      <c r="C706" s="82" t="str">
        <f>VLOOKUP($B$7:$B$5000,SUM!$L$6:$L$500,1,FALSE)</f>
        <v>#N/A</v>
      </c>
      <c r="D706" s="81" t="s">
        <v>1076</v>
      </c>
      <c r="E706" s="100" t="s">
        <v>58</v>
      </c>
      <c r="F706" s="84" t="s">
        <v>593</v>
      </c>
      <c r="G706" s="84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8" t="s">
        <v>433</v>
      </c>
      <c r="O706" s="90" t="s">
        <v>67</v>
      </c>
      <c r="P706" s="90" t="s">
        <v>68</v>
      </c>
      <c r="Q706" s="150">
        <v>46166.0</v>
      </c>
      <c r="R706" s="103" t="s">
        <v>597</v>
      </c>
      <c r="S706" s="150">
        <v>46167.0</v>
      </c>
      <c r="T706" s="103"/>
      <c r="U706" s="90" t="s">
        <v>31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1" t="s">
        <v>1274</v>
      </c>
      <c r="C707" s="82" t="str">
        <f>VLOOKUP($B$7:$B$5000,SUM!$L$6:$L$500,1,FALSE)</f>
        <v>#N/A</v>
      </c>
      <c r="D707" s="81" t="s">
        <v>1076</v>
      </c>
      <c r="E707" s="100" t="s">
        <v>58</v>
      </c>
      <c r="F707" s="84" t="s">
        <v>593</v>
      </c>
      <c r="G707" s="84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8" t="s">
        <v>433</v>
      </c>
      <c r="O707" s="90" t="s">
        <v>67</v>
      </c>
      <c r="P707" s="90" t="s">
        <v>68</v>
      </c>
      <c r="Q707" s="150">
        <v>46166.0</v>
      </c>
      <c r="R707" s="103" t="s">
        <v>597</v>
      </c>
      <c r="S707" s="150">
        <v>46167.0</v>
      </c>
      <c r="T707" s="103"/>
      <c r="U707" s="90" t="s">
        <v>31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1" t="s">
        <v>1275</v>
      </c>
      <c r="C708" s="82" t="str">
        <f>VLOOKUP($B$7:$B$5000,SUM!$L$6:$L$500,1,FALSE)</f>
        <v>#N/A</v>
      </c>
      <c r="D708" s="81" t="s">
        <v>1076</v>
      </c>
      <c r="E708" s="100" t="s">
        <v>58</v>
      </c>
      <c r="F708" s="84" t="s">
        <v>593</v>
      </c>
      <c r="G708" s="84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8" t="s">
        <v>433</v>
      </c>
      <c r="O708" s="90" t="s">
        <v>67</v>
      </c>
      <c r="P708" s="90" t="s">
        <v>68</v>
      </c>
      <c r="Q708" s="150">
        <v>46166.0</v>
      </c>
      <c r="R708" s="103" t="s">
        <v>597</v>
      </c>
      <c r="S708" s="150">
        <v>46167.0</v>
      </c>
      <c r="T708" s="103"/>
      <c r="U708" s="90" t="s">
        <v>31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1" t="s">
        <v>1276</v>
      </c>
      <c r="C709" s="82" t="str">
        <f>VLOOKUP($B$7:$B$5000,SUM!$L$6:$L$500,1,FALSE)</f>
        <v>#N/A</v>
      </c>
      <c r="D709" s="81" t="s">
        <v>1076</v>
      </c>
      <c r="E709" s="100" t="s">
        <v>58</v>
      </c>
      <c r="F709" s="84" t="s">
        <v>593</v>
      </c>
      <c r="G709" s="84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8" t="s">
        <v>433</v>
      </c>
      <c r="O709" s="90" t="s">
        <v>67</v>
      </c>
      <c r="P709" s="90" t="s">
        <v>68</v>
      </c>
      <c r="Q709" s="150">
        <v>46166.0</v>
      </c>
      <c r="R709" s="103" t="s">
        <v>597</v>
      </c>
      <c r="S709" s="150">
        <v>46167.0</v>
      </c>
      <c r="T709" s="103"/>
      <c r="U709" s="90" t="s">
        <v>31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1" t="s">
        <v>1277</v>
      </c>
      <c r="C710" s="82" t="str">
        <f>VLOOKUP($B$7:$B$5000,SUM!$L$6:$L$500,1,FALSE)</f>
        <v>#N/A</v>
      </c>
      <c r="D710" s="81" t="s">
        <v>1076</v>
      </c>
      <c r="E710" s="100" t="s">
        <v>58</v>
      </c>
      <c r="F710" s="84" t="s">
        <v>593</v>
      </c>
      <c r="G710" s="84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8" t="s">
        <v>433</v>
      </c>
      <c r="O710" s="90" t="s">
        <v>67</v>
      </c>
      <c r="P710" s="90" t="s">
        <v>68</v>
      </c>
      <c r="Q710" s="150">
        <v>46166.0</v>
      </c>
      <c r="R710" s="103" t="s">
        <v>597</v>
      </c>
      <c r="S710" s="150">
        <v>46167.0</v>
      </c>
      <c r="T710" s="103"/>
      <c r="U710" s="90" t="s">
        <v>31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1" t="s">
        <v>1278</v>
      </c>
      <c r="C711" s="82" t="str">
        <f>VLOOKUP($B$7:$B$5000,SUM!$L$6:$L$500,1,FALSE)</f>
        <v>#N/A</v>
      </c>
      <c r="D711" s="81" t="s">
        <v>1076</v>
      </c>
      <c r="E711" s="100" t="s">
        <v>58</v>
      </c>
      <c r="F711" s="84" t="s">
        <v>593</v>
      </c>
      <c r="G711" s="84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8" t="s">
        <v>433</v>
      </c>
      <c r="O711" s="90" t="s">
        <v>67</v>
      </c>
      <c r="P711" s="90" t="s">
        <v>68</v>
      </c>
      <c r="Q711" s="154" t="s">
        <v>791</v>
      </c>
      <c r="R711" s="154" t="s">
        <v>66</v>
      </c>
      <c r="S711" s="155">
        <v>46189.0</v>
      </c>
      <c r="T711" s="156"/>
      <c r="U711" s="154" t="s">
        <v>31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1" t="s">
        <v>1279</v>
      </c>
      <c r="C712" s="82" t="str">
        <f>VLOOKUP($B$7:$B$5000,SUM!$L$6:$L$500,1,FALSE)</f>
        <v>#N/A</v>
      </c>
      <c r="D712" s="81" t="s">
        <v>1076</v>
      </c>
      <c r="E712" s="100" t="s">
        <v>58</v>
      </c>
      <c r="F712" s="84" t="s">
        <v>593</v>
      </c>
      <c r="G712" s="84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8" t="s">
        <v>433</v>
      </c>
      <c r="O712" s="90" t="s">
        <v>67</v>
      </c>
      <c r="P712" s="90" t="s">
        <v>68</v>
      </c>
      <c r="Q712" s="150">
        <v>46166.0</v>
      </c>
      <c r="R712" s="103" t="s">
        <v>597</v>
      </c>
      <c r="S712" s="150">
        <v>46167.0</v>
      </c>
      <c r="T712" s="103"/>
      <c r="U712" s="90" t="s">
        <v>31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1" t="s">
        <v>1280</v>
      </c>
      <c r="C713" s="82" t="str">
        <f>VLOOKUP($B$7:$B$5000,SUM!$L$6:$L$500,1,FALSE)</f>
        <v>#N/A</v>
      </c>
      <c r="D713" s="81" t="s">
        <v>1076</v>
      </c>
      <c r="E713" s="100" t="s">
        <v>58</v>
      </c>
      <c r="F713" s="84" t="s">
        <v>593</v>
      </c>
      <c r="G713" s="84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8" t="s">
        <v>433</v>
      </c>
      <c r="O713" s="90" t="s">
        <v>67</v>
      </c>
      <c r="P713" s="90" t="s">
        <v>68</v>
      </c>
      <c r="Q713" s="150">
        <v>46166.0</v>
      </c>
      <c r="R713" s="103" t="s">
        <v>597</v>
      </c>
      <c r="S713" s="150">
        <v>46167.0</v>
      </c>
      <c r="T713" s="103"/>
      <c r="U713" s="90" t="s">
        <v>31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1" t="s">
        <v>1281</v>
      </c>
      <c r="C714" s="82" t="str">
        <f>VLOOKUP($B$7:$B$5000,SUM!$L$6:$L$500,1,FALSE)</f>
        <v>#N/A</v>
      </c>
      <c r="D714" s="81" t="s">
        <v>1076</v>
      </c>
      <c r="E714" s="100" t="s">
        <v>58</v>
      </c>
      <c r="F714" s="84" t="s">
        <v>593</v>
      </c>
      <c r="G714" s="84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8" t="s">
        <v>433</v>
      </c>
      <c r="O714" s="90" t="s">
        <v>67</v>
      </c>
      <c r="P714" s="90" t="s">
        <v>68</v>
      </c>
      <c r="Q714" s="154" t="s">
        <v>791</v>
      </c>
      <c r="R714" s="154" t="s">
        <v>66</v>
      </c>
      <c r="S714" s="155">
        <v>46189.0</v>
      </c>
      <c r="T714" s="156"/>
      <c r="U714" s="154" t="s">
        <v>31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1" t="s">
        <v>1282</v>
      </c>
      <c r="C715" s="82" t="str">
        <f>VLOOKUP($B$7:$B$5000,SUM!$L$6:$L$500,1,FALSE)</f>
        <v>#N/A</v>
      </c>
      <c r="D715" s="81" t="s">
        <v>1076</v>
      </c>
      <c r="E715" s="100" t="s">
        <v>58</v>
      </c>
      <c r="F715" s="84" t="s">
        <v>593</v>
      </c>
      <c r="G715" s="84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8" t="s">
        <v>433</v>
      </c>
      <c r="O715" s="90" t="s">
        <v>67</v>
      </c>
      <c r="P715" s="90" t="s">
        <v>68</v>
      </c>
      <c r="Q715" s="153">
        <v>46169.0</v>
      </c>
      <c r="R715" s="154" t="s">
        <v>66</v>
      </c>
      <c r="S715" s="155">
        <v>46188.0</v>
      </c>
      <c r="T715" s="156"/>
      <c r="U715" s="154" t="s">
        <v>31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1" t="s">
        <v>1283</v>
      </c>
      <c r="C716" s="82" t="str">
        <f>VLOOKUP($B$7:$B$5000,SUM!$L$6:$L$500,1,FALSE)</f>
        <v>#N/A</v>
      </c>
      <c r="D716" s="81" t="s">
        <v>1076</v>
      </c>
      <c r="E716" s="100" t="s">
        <v>58</v>
      </c>
      <c r="F716" s="84" t="s">
        <v>593</v>
      </c>
      <c r="G716" s="84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8" t="s">
        <v>433</v>
      </c>
      <c r="O716" s="90" t="s">
        <v>67</v>
      </c>
      <c r="P716" s="90" t="s">
        <v>68</v>
      </c>
      <c r="Q716" s="154" t="s">
        <v>791</v>
      </c>
      <c r="R716" s="154" t="s">
        <v>66</v>
      </c>
      <c r="S716" s="155">
        <v>46189.0</v>
      </c>
      <c r="T716" s="156"/>
      <c r="U716" s="154" t="s">
        <v>31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1" t="s">
        <v>1284</v>
      </c>
      <c r="C717" s="82" t="str">
        <f>VLOOKUP($B$7:$B$5000,SUM!$L$6:$L$500,1,FALSE)</f>
        <v>#N/A</v>
      </c>
      <c r="D717" s="81" t="s">
        <v>1076</v>
      </c>
      <c r="E717" s="100" t="s">
        <v>58</v>
      </c>
      <c r="F717" s="84" t="s">
        <v>593</v>
      </c>
      <c r="G717" s="84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8" t="s">
        <v>433</v>
      </c>
      <c r="O717" s="90" t="s">
        <v>67</v>
      </c>
      <c r="P717" s="90" t="s">
        <v>68</v>
      </c>
      <c r="Q717" s="151">
        <v>46168.0</v>
      </c>
      <c r="R717" s="107" t="s">
        <v>66</v>
      </c>
      <c r="S717" s="152">
        <v>46171.0</v>
      </c>
      <c r="T717" s="103"/>
      <c r="U717" s="97" t="s">
        <v>31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1" t="s">
        <v>1285</v>
      </c>
      <c r="C718" s="82" t="str">
        <f>VLOOKUP($B$7:$B$5000,SUM!$L$6:$L$500,1,FALSE)</f>
        <v>#N/A</v>
      </c>
      <c r="D718" s="81" t="s">
        <v>1076</v>
      </c>
      <c r="E718" s="100" t="s">
        <v>58</v>
      </c>
      <c r="F718" s="84" t="s">
        <v>593</v>
      </c>
      <c r="G718" s="84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8" t="s">
        <v>433</v>
      </c>
      <c r="O718" s="90" t="s">
        <v>67</v>
      </c>
      <c r="P718" s="90" t="s">
        <v>68</v>
      </c>
      <c r="Q718" s="150">
        <v>46166.0</v>
      </c>
      <c r="R718" s="103" t="s">
        <v>597</v>
      </c>
      <c r="S718" s="150">
        <v>46167.0</v>
      </c>
      <c r="T718" s="103"/>
      <c r="U718" s="90" t="s">
        <v>31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1" t="s">
        <v>1286</v>
      </c>
      <c r="C719" s="82" t="str">
        <f>VLOOKUP($B$7:$B$5000,SUM!$L$6:$L$500,1,FALSE)</f>
        <v>#N/A</v>
      </c>
      <c r="D719" s="81" t="s">
        <v>1076</v>
      </c>
      <c r="E719" s="100" t="s">
        <v>58</v>
      </c>
      <c r="F719" s="84" t="s">
        <v>593</v>
      </c>
      <c r="G719" s="84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8" t="s">
        <v>433</v>
      </c>
      <c r="O719" s="90" t="s">
        <v>67</v>
      </c>
      <c r="P719" s="90" t="s">
        <v>68</v>
      </c>
      <c r="Q719" s="159">
        <v>46171.0</v>
      </c>
      <c r="R719" s="148" t="s">
        <v>66</v>
      </c>
      <c r="S719" s="152">
        <v>46173.0</v>
      </c>
      <c r="T719" s="103"/>
      <c r="U719" s="97" t="s">
        <v>31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1" t="s">
        <v>1287</v>
      </c>
      <c r="C720" s="82" t="str">
        <f>VLOOKUP($B$7:$B$5000,SUM!$L$6:$L$500,1,FALSE)</f>
        <v>#N/A</v>
      </c>
      <c r="D720" s="81" t="s">
        <v>1076</v>
      </c>
      <c r="E720" s="100" t="s">
        <v>58</v>
      </c>
      <c r="F720" s="84" t="s">
        <v>593</v>
      </c>
      <c r="G720" s="84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8" t="s">
        <v>433</v>
      </c>
      <c r="O720" s="90" t="s">
        <v>67</v>
      </c>
      <c r="P720" s="90" t="s">
        <v>68</v>
      </c>
      <c r="Q720" s="150">
        <v>46166.0</v>
      </c>
      <c r="R720" s="103" t="s">
        <v>597</v>
      </c>
      <c r="S720" s="150">
        <v>46167.0</v>
      </c>
      <c r="T720" s="103"/>
      <c r="U720" s="90" t="s">
        <v>31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1" t="s">
        <v>1288</v>
      </c>
      <c r="C721" s="82" t="str">
        <f>VLOOKUP($B$7:$B$5000,SUM!$L$6:$L$500,1,FALSE)</f>
        <v>#N/A</v>
      </c>
      <c r="D721" s="81" t="s">
        <v>1076</v>
      </c>
      <c r="E721" s="100" t="s">
        <v>58</v>
      </c>
      <c r="F721" s="84" t="s">
        <v>593</v>
      </c>
      <c r="G721" s="84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8" t="s">
        <v>433</v>
      </c>
      <c r="O721" s="90" t="s">
        <v>67</v>
      </c>
      <c r="P721" s="90" t="s">
        <v>68</v>
      </c>
      <c r="Q721" s="151">
        <v>46168.0</v>
      </c>
      <c r="R721" s="107" t="s">
        <v>66</v>
      </c>
      <c r="S721" s="152">
        <v>46171.0</v>
      </c>
      <c r="T721" s="103"/>
      <c r="U721" s="97" t="s">
        <v>31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1" t="s">
        <v>1289</v>
      </c>
      <c r="C722" s="82" t="str">
        <f>VLOOKUP($B$7:$B$5000,SUM!$L$6:$L$500,1,FALSE)</f>
        <v>#N/A</v>
      </c>
      <c r="D722" s="81" t="s">
        <v>1076</v>
      </c>
      <c r="E722" s="100" t="s">
        <v>58</v>
      </c>
      <c r="F722" s="84" t="s">
        <v>593</v>
      </c>
      <c r="G722" s="84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8" t="s">
        <v>433</v>
      </c>
      <c r="O722" s="90" t="s">
        <v>67</v>
      </c>
      <c r="P722" s="90" t="s">
        <v>68</v>
      </c>
      <c r="Q722" s="151">
        <v>46168.0</v>
      </c>
      <c r="R722" s="107" t="s">
        <v>66</v>
      </c>
      <c r="S722" s="152">
        <v>46171.0</v>
      </c>
      <c r="T722" s="103"/>
      <c r="U722" s="97" t="s">
        <v>31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1" t="s">
        <v>1290</v>
      </c>
      <c r="C723" s="82" t="str">
        <f>VLOOKUP($B$7:$B$5000,SUM!$L$6:$L$500,1,FALSE)</f>
        <v>#N/A</v>
      </c>
      <c r="D723" s="81" t="s">
        <v>1076</v>
      </c>
      <c r="E723" s="100" t="s">
        <v>58</v>
      </c>
      <c r="F723" s="84" t="s">
        <v>593</v>
      </c>
      <c r="G723" s="84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8" t="s">
        <v>433</v>
      </c>
      <c r="O723" s="90" t="s">
        <v>67</v>
      </c>
      <c r="P723" s="90" t="s">
        <v>68</v>
      </c>
      <c r="Q723" s="151">
        <v>46168.0</v>
      </c>
      <c r="R723" s="107" t="s">
        <v>66</v>
      </c>
      <c r="S723" s="152">
        <v>46171.0</v>
      </c>
      <c r="T723" s="103"/>
      <c r="U723" s="97" t="s">
        <v>31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1" t="s">
        <v>1291</v>
      </c>
      <c r="C724" s="82" t="str">
        <f>VLOOKUP($B$7:$B$5000,SUM!$L$6:$L$500,1,FALSE)</f>
        <v>#N/A</v>
      </c>
      <c r="D724" s="81" t="s">
        <v>1076</v>
      </c>
      <c r="E724" s="100" t="s">
        <v>58</v>
      </c>
      <c r="F724" s="84" t="s">
        <v>593</v>
      </c>
      <c r="G724" s="84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8" t="s">
        <v>433</v>
      </c>
      <c r="O724" s="90" t="s">
        <v>67</v>
      </c>
      <c r="P724" s="90" t="s">
        <v>68</v>
      </c>
      <c r="Q724" s="153">
        <v>46169.0</v>
      </c>
      <c r="R724" s="154" t="s">
        <v>66</v>
      </c>
      <c r="S724" s="155">
        <v>46188.0</v>
      </c>
      <c r="T724" s="156"/>
      <c r="U724" s="154" t="s">
        <v>31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1" t="s">
        <v>1292</v>
      </c>
      <c r="C725" s="82" t="str">
        <f>VLOOKUP($B$7:$B$5000,SUM!$L$6:$L$500,1,FALSE)</f>
        <v>#N/A</v>
      </c>
      <c r="D725" s="81" t="s">
        <v>1076</v>
      </c>
      <c r="E725" s="100" t="s">
        <v>58</v>
      </c>
      <c r="F725" s="84" t="s">
        <v>593</v>
      </c>
      <c r="G725" s="84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8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1" t="s">
        <v>1293</v>
      </c>
      <c r="C726" s="82" t="str">
        <f>VLOOKUP($B$7:$B$5000,SUM!$L$6:$L$500,1,FALSE)</f>
        <v>#N/A</v>
      </c>
      <c r="D726" s="81" t="s">
        <v>1076</v>
      </c>
      <c r="E726" s="100" t="s">
        <v>58</v>
      </c>
      <c r="F726" s="84" t="s">
        <v>593</v>
      </c>
      <c r="G726" s="84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8" t="s">
        <v>433</v>
      </c>
      <c r="O726" s="90" t="s">
        <v>67</v>
      </c>
      <c r="P726" s="90" t="s">
        <v>68</v>
      </c>
      <c r="Q726" s="150">
        <v>46166.0</v>
      </c>
      <c r="R726" s="103" t="s">
        <v>597</v>
      </c>
      <c r="S726" s="150">
        <v>46167.0</v>
      </c>
      <c r="T726" s="103"/>
      <c r="U726" s="90" t="s">
        <v>31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1" t="s">
        <v>1294</v>
      </c>
      <c r="C727" s="82" t="str">
        <f>VLOOKUP($B$7:$B$5000,SUM!$L$6:$L$500,1,FALSE)</f>
        <v>#N/A</v>
      </c>
      <c r="D727" s="81" t="s">
        <v>1076</v>
      </c>
      <c r="E727" s="100" t="s">
        <v>58</v>
      </c>
      <c r="F727" s="84" t="s">
        <v>593</v>
      </c>
      <c r="G727" s="84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8" t="s">
        <v>433</v>
      </c>
      <c r="O727" s="90" t="s">
        <v>67</v>
      </c>
      <c r="P727" s="90" t="s">
        <v>68</v>
      </c>
      <c r="Q727" s="150">
        <v>46166.0</v>
      </c>
      <c r="R727" s="103" t="s">
        <v>597</v>
      </c>
      <c r="S727" s="150">
        <v>46167.0</v>
      </c>
      <c r="T727" s="103"/>
      <c r="U727" s="90" t="s">
        <v>31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1" t="s">
        <v>1295</v>
      </c>
      <c r="C728" s="82" t="str">
        <f>VLOOKUP($B$7:$B$5000,SUM!$L$6:$L$500,1,FALSE)</f>
        <v>#N/A</v>
      </c>
      <c r="D728" s="81" t="s">
        <v>1076</v>
      </c>
      <c r="E728" s="100" t="s">
        <v>58</v>
      </c>
      <c r="F728" s="84" t="s">
        <v>593</v>
      </c>
      <c r="G728" s="84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8" t="s">
        <v>433</v>
      </c>
      <c r="O728" s="90" t="s">
        <v>67</v>
      </c>
      <c r="P728" s="90" t="s">
        <v>68</v>
      </c>
      <c r="Q728" s="151">
        <v>46168.0</v>
      </c>
      <c r="R728" s="107" t="s">
        <v>66</v>
      </c>
      <c r="S728" s="152">
        <v>46171.0</v>
      </c>
      <c r="T728" s="103"/>
      <c r="U728" s="97" t="s">
        <v>31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1" t="s">
        <v>1296</v>
      </c>
      <c r="C729" s="82" t="str">
        <f>VLOOKUP($B$7:$B$5000,SUM!$L$6:$L$500,1,FALSE)</f>
        <v>#N/A</v>
      </c>
      <c r="D729" s="81" t="s">
        <v>1076</v>
      </c>
      <c r="E729" s="100" t="s">
        <v>58</v>
      </c>
      <c r="F729" s="84" t="s">
        <v>593</v>
      </c>
      <c r="G729" s="84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8" t="s">
        <v>433</v>
      </c>
      <c r="O729" s="90" t="s">
        <v>67</v>
      </c>
      <c r="P729" s="90" t="s">
        <v>68</v>
      </c>
      <c r="Q729" s="153">
        <v>46169.0</v>
      </c>
      <c r="R729" s="154" t="s">
        <v>66</v>
      </c>
      <c r="S729" s="155">
        <v>46188.0</v>
      </c>
      <c r="T729" s="156"/>
      <c r="U729" s="154" t="s">
        <v>31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1" t="s">
        <v>1297</v>
      </c>
      <c r="C730" s="82" t="str">
        <f>VLOOKUP($B$7:$B$5000,SUM!$L$6:$L$500,1,FALSE)</f>
        <v>#N/A</v>
      </c>
      <c r="D730" s="81" t="s">
        <v>1076</v>
      </c>
      <c r="E730" s="100" t="s">
        <v>58</v>
      </c>
      <c r="F730" s="84" t="s">
        <v>593</v>
      </c>
      <c r="G730" s="84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8" t="s">
        <v>433</v>
      </c>
      <c r="O730" s="90" t="s">
        <v>67</v>
      </c>
      <c r="P730" s="90" t="s">
        <v>68</v>
      </c>
      <c r="Q730" s="150">
        <v>46167.0</v>
      </c>
      <c r="R730" s="103" t="s">
        <v>597</v>
      </c>
      <c r="S730" s="150">
        <v>46168.0</v>
      </c>
      <c r="T730" s="103"/>
      <c r="U730" s="90" t="s">
        <v>31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1" t="s">
        <v>1298</v>
      </c>
      <c r="C731" s="82" t="str">
        <f>VLOOKUP($B$7:$B$5000,SUM!$L$6:$L$500,1,FALSE)</f>
        <v>#N/A</v>
      </c>
      <c r="D731" s="81" t="s">
        <v>1076</v>
      </c>
      <c r="E731" s="100" t="s">
        <v>58</v>
      </c>
      <c r="F731" s="84" t="s">
        <v>593</v>
      </c>
      <c r="G731" s="84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8" t="s">
        <v>433</v>
      </c>
      <c r="O731" s="90" t="s">
        <v>67</v>
      </c>
      <c r="P731" s="90" t="s">
        <v>68</v>
      </c>
      <c r="Q731" s="150">
        <v>46167.0</v>
      </c>
      <c r="R731" s="103" t="s">
        <v>597</v>
      </c>
      <c r="S731" s="150">
        <v>46168.0</v>
      </c>
      <c r="T731" s="103"/>
      <c r="U731" s="90" t="s">
        <v>31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1" t="s">
        <v>1299</v>
      </c>
      <c r="C732" s="82" t="str">
        <f>VLOOKUP($B$7:$B$5000,SUM!$L$6:$L$500,1,FALSE)</f>
        <v>#N/A</v>
      </c>
      <c r="D732" s="81" t="s">
        <v>1076</v>
      </c>
      <c r="E732" s="100" t="s">
        <v>58</v>
      </c>
      <c r="F732" s="84" t="s">
        <v>593</v>
      </c>
      <c r="G732" s="84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8" t="s">
        <v>433</v>
      </c>
      <c r="O732" s="90" t="s">
        <v>67</v>
      </c>
      <c r="P732" s="90" t="s">
        <v>68</v>
      </c>
      <c r="Q732" s="153">
        <v>46169.0</v>
      </c>
      <c r="R732" s="154" t="s">
        <v>66</v>
      </c>
      <c r="S732" s="155">
        <v>46188.0</v>
      </c>
      <c r="T732" s="156"/>
      <c r="U732" s="154" t="s">
        <v>31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1" t="s">
        <v>1300</v>
      </c>
      <c r="C733" s="82" t="str">
        <f>VLOOKUP($B$7:$B$5000,SUM!$L$6:$L$500,1,FALSE)</f>
        <v>#N/A</v>
      </c>
      <c r="D733" s="81" t="s">
        <v>1076</v>
      </c>
      <c r="E733" s="100" t="s">
        <v>58</v>
      </c>
      <c r="F733" s="84" t="s">
        <v>593</v>
      </c>
      <c r="G733" s="84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8" t="s">
        <v>433</v>
      </c>
      <c r="O733" s="90" t="s">
        <v>67</v>
      </c>
      <c r="P733" s="90" t="s">
        <v>68</v>
      </c>
      <c r="Q733" s="153">
        <v>46169.0</v>
      </c>
      <c r="R733" s="154" t="s">
        <v>66</v>
      </c>
      <c r="S733" s="155">
        <v>46188.0</v>
      </c>
      <c r="T733" s="156"/>
      <c r="U733" s="154" t="s">
        <v>31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1" t="s">
        <v>1301</v>
      </c>
      <c r="C734" s="82" t="str">
        <f>VLOOKUP($B$7:$B$5000,SUM!$L$6:$L$500,1,FALSE)</f>
        <v>#N/A</v>
      </c>
      <c r="D734" s="81" t="s">
        <v>1076</v>
      </c>
      <c r="E734" s="100" t="s">
        <v>58</v>
      </c>
      <c r="F734" s="84" t="s">
        <v>593</v>
      </c>
      <c r="G734" s="84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8" t="s">
        <v>433</v>
      </c>
      <c r="O734" s="90" t="s">
        <v>67</v>
      </c>
      <c r="P734" s="90" t="s">
        <v>68</v>
      </c>
      <c r="Q734" s="153">
        <v>46169.0</v>
      </c>
      <c r="R734" s="154" t="s">
        <v>66</v>
      </c>
      <c r="S734" s="155">
        <v>46188.0</v>
      </c>
      <c r="T734" s="156"/>
      <c r="U734" s="154" t="s">
        <v>31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1" t="s">
        <v>1302</v>
      </c>
      <c r="C735" s="82" t="str">
        <f>VLOOKUP($B$7:$B$5000,SUM!$L$6:$L$500,1,FALSE)</f>
        <v>#N/A</v>
      </c>
      <c r="D735" s="81" t="s">
        <v>1076</v>
      </c>
      <c r="E735" s="100" t="s">
        <v>58</v>
      </c>
      <c r="F735" s="84" t="s">
        <v>593</v>
      </c>
      <c r="G735" s="84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8" t="s">
        <v>433</v>
      </c>
      <c r="O735" s="90" t="s">
        <v>67</v>
      </c>
      <c r="P735" s="90" t="s">
        <v>68</v>
      </c>
      <c r="Q735" s="150">
        <v>46167.0</v>
      </c>
      <c r="R735" s="103" t="s">
        <v>597</v>
      </c>
      <c r="S735" s="150">
        <v>46168.0</v>
      </c>
      <c r="T735" s="103"/>
      <c r="U735" s="90" t="s">
        <v>31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1" t="s">
        <v>1303</v>
      </c>
      <c r="C736" s="82" t="str">
        <f>VLOOKUP($B$7:$B$5000,SUM!$L$6:$L$500,1,FALSE)</f>
        <v>#N/A</v>
      </c>
      <c r="D736" s="81" t="s">
        <v>1076</v>
      </c>
      <c r="E736" s="100" t="s">
        <v>58</v>
      </c>
      <c r="F736" s="84" t="s">
        <v>593</v>
      </c>
      <c r="G736" s="84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8" t="s">
        <v>433</v>
      </c>
      <c r="O736" s="90" t="s">
        <v>67</v>
      </c>
      <c r="P736" s="90" t="s">
        <v>68</v>
      </c>
      <c r="Q736" s="153">
        <v>46169.0</v>
      </c>
      <c r="R736" s="154" t="s">
        <v>66</v>
      </c>
      <c r="S736" s="155">
        <v>46188.0</v>
      </c>
      <c r="T736" s="156"/>
      <c r="U736" s="154" t="s">
        <v>31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1" t="s">
        <v>1304</v>
      </c>
      <c r="C737" s="82" t="str">
        <f>VLOOKUP($B$7:$B$5000,SUM!$L$6:$L$500,1,FALSE)</f>
        <v>#N/A</v>
      </c>
      <c r="D737" s="81" t="s">
        <v>1076</v>
      </c>
      <c r="E737" s="100" t="s">
        <v>58</v>
      </c>
      <c r="F737" s="84" t="s">
        <v>593</v>
      </c>
      <c r="G737" s="84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8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1" t="s">
        <v>1305</v>
      </c>
      <c r="C738" s="82" t="str">
        <f>VLOOKUP($B$7:$B$5000,SUM!$L$6:$L$500,1,FALSE)</f>
        <v>#N/A</v>
      </c>
      <c r="D738" s="81" t="s">
        <v>1076</v>
      </c>
      <c r="E738" s="100" t="s">
        <v>58</v>
      </c>
      <c r="F738" s="84" t="s">
        <v>593</v>
      </c>
      <c r="G738" s="84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8" t="s">
        <v>433</v>
      </c>
      <c r="O738" s="90" t="s">
        <v>67</v>
      </c>
      <c r="P738" s="90" t="s">
        <v>68</v>
      </c>
      <c r="Q738" s="150">
        <v>46166.0</v>
      </c>
      <c r="R738" s="103" t="s">
        <v>597</v>
      </c>
      <c r="S738" s="150">
        <v>46167.0</v>
      </c>
      <c r="T738" s="103"/>
      <c r="U738" s="90" t="s">
        <v>31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1" t="s">
        <v>1306</v>
      </c>
      <c r="C739" s="82" t="str">
        <f>VLOOKUP($B$7:$B$5000,SUM!$L$6:$L$500,1,FALSE)</f>
        <v>#N/A</v>
      </c>
      <c r="D739" s="81" t="s">
        <v>1076</v>
      </c>
      <c r="E739" s="100" t="s">
        <v>58</v>
      </c>
      <c r="F739" s="84" t="s">
        <v>593</v>
      </c>
      <c r="G739" s="84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8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1" t="s">
        <v>1307</v>
      </c>
      <c r="C740" s="82" t="str">
        <f>VLOOKUP($B$7:$B$5000,SUM!$L$6:$L$500,1,FALSE)</f>
        <v>#N/A</v>
      </c>
      <c r="D740" s="81" t="s">
        <v>1076</v>
      </c>
      <c r="E740" s="100" t="s">
        <v>58</v>
      </c>
      <c r="F740" s="84" t="s">
        <v>593</v>
      </c>
      <c r="G740" s="84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8" t="s">
        <v>433</v>
      </c>
      <c r="O740" s="90" t="s">
        <v>67</v>
      </c>
      <c r="P740" s="90" t="s">
        <v>68</v>
      </c>
      <c r="Q740" s="150">
        <v>46166.0</v>
      </c>
      <c r="R740" s="103" t="s">
        <v>597</v>
      </c>
      <c r="S740" s="150">
        <v>46167.0</v>
      </c>
      <c r="T740" s="103"/>
      <c r="U740" s="90" t="s">
        <v>31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1" t="s">
        <v>1308</v>
      </c>
      <c r="C741" s="82" t="str">
        <f>VLOOKUP($B$7:$B$5000,SUM!$L$6:$L$500,1,FALSE)</f>
        <v>#N/A</v>
      </c>
      <c r="D741" s="81" t="s">
        <v>1076</v>
      </c>
      <c r="E741" s="100" t="s">
        <v>58</v>
      </c>
      <c r="F741" s="84" t="s">
        <v>593</v>
      </c>
      <c r="G741" s="84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8" t="s">
        <v>433</v>
      </c>
      <c r="O741" s="90" t="s">
        <v>67</v>
      </c>
      <c r="P741" s="90" t="s">
        <v>68</v>
      </c>
      <c r="Q741" s="150">
        <v>46166.0</v>
      </c>
      <c r="R741" s="103" t="s">
        <v>597</v>
      </c>
      <c r="S741" s="150">
        <v>46167.0</v>
      </c>
      <c r="T741" s="103"/>
      <c r="U741" s="90" t="s">
        <v>31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1" t="s">
        <v>1309</v>
      </c>
      <c r="C742" s="82" t="str">
        <f>VLOOKUP($B$7:$B$5000,SUM!$L$6:$L$500,1,FALSE)</f>
        <v>#N/A</v>
      </c>
      <c r="D742" s="81" t="s">
        <v>1076</v>
      </c>
      <c r="E742" s="100" t="s">
        <v>58</v>
      </c>
      <c r="F742" s="84" t="s">
        <v>593</v>
      </c>
      <c r="G742" s="84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8" t="s">
        <v>433</v>
      </c>
      <c r="O742" s="90" t="s">
        <v>67</v>
      </c>
      <c r="P742" s="90" t="s">
        <v>68</v>
      </c>
      <c r="Q742" s="150">
        <v>46166.0</v>
      </c>
      <c r="R742" s="103" t="s">
        <v>597</v>
      </c>
      <c r="S742" s="150">
        <v>46167.0</v>
      </c>
      <c r="T742" s="103"/>
      <c r="U742" s="90" t="s">
        <v>31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1" t="s">
        <v>1310</v>
      </c>
      <c r="C743" s="82" t="str">
        <f>VLOOKUP($B$7:$B$5000,SUM!$L$6:$L$500,1,FALSE)</f>
        <v>#N/A</v>
      </c>
      <c r="D743" s="81" t="s">
        <v>1076</v>
      </c>
      <c r="E743" s="100" t="s">
        <v>58</v>
      </c>
      <c r="F743" s="84" t="s">
        <v>593</v>
      </c>
      <c r="G743" s="84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8" t="s">
        <v>433</v>
      </c>
      <c r="O743" s="90" t="s">
        <v>67</v>
      </c>
      <c r="P743" s="90" t="s">
        <v>68</v>
      </c>
      <c r="Q743" s="150">
        <v>46166.0</v>
      </c>
      <c r="R743" s="103" t="s">
        <v>597</v>
      </c>
      <c r="S743" s="150">
        <v>46167.0</v>
      </c>
      <c r="T743" s="103"/>
      <c r="U743" s="90" t="s">
        <v>31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1" t="s">
        <v>1311</v>
      </c>
      <c r="C744" s="82" t="str">
        <f>VLOOKUP($B$7:$B$5000,SUM!$L$6:$L$500,1,FALSE)</f>
        <v>#N/A</v>
      </c>
      <c r="D744" s="81" t="s">
        <v>1076</v>
      </c>
      <c r="E744" s="100" t="s">
        <v>58</v>
      </c>
      <c r="F744" s="84" t="s">
        <v>593</v>
      </c>
      <c r="G744" s="84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8" t="s">
        <v>433</v>
      </c>
      <c r="O744" s="90" t="s">
        <v>67</v>
      </c>
      <c r="P744" s="90" t="s">
        <v>68</v>
      </c>
      <c r="Q744" s="150">
        <v>46166.0</v>
      </c>
      <c r="R744" s="103" t="s">
        <v>597</v>
      </c>
      <c r="S744" s="150">
        <v>46167.0</v>
      </c>
      <c r="T744" s="103"/>
      <c r="U744" s="90" t="s">
        <v>31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1" t="s">
        <v>1312</v>
      </c>
      <c r="C745" s="82" t="str">
        <f>VLOOKUP($B$7:$B$5000,SUM!$L$6:$L$500,1,FALSE)</f>
        <v>#N/A</v>
      </c>
      <c r="D745" s="81" t="s">
        <v>1076</v>
      </c>
      <c r="E745" s="100" t="s">
        <v>58</v>
      </c>
      <c r="F745" s="84" t="s">
        <v>593</v>
      </c>
      <c r="G745" s="84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8" t="s">
        <v>433</v>
      </c>
      <c r="O745" s="90" t="s">
        <v>67</v>
      </c>
      <c r="P745" s="90" t="s">
        <v>68</v>
      </c>
      <c r="Q745" s="150">
        <v>46166.0</v>
      </c>
      <c r="R745" s="103" t="s">
        <v>597</v>
      </c>
      <c r="S745" s="150">
        <v>46167.0</v>
      </c>
      <c r="T745" s="103"/>
      <c r="U745" s="90" t="s">
        <v>31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1" t="s">
        <v>1313</v>
      </c>
      <c r="C746" s="82" t="str">
        <f>VLOOKUP($B$7:$B$5000,SUM!$L$6:$L$500,1,FALSE)</f>
        <v>#N/A</v>
      </c>
      <c r="D746" s="81" t="s">
        <v>1076</v>
      </c>
      <c r="E746" s="100" t="s">
        <v>58</v>
      </c>
      <c r="F746" s="84" t="s">
        <v>593</v>
      </c>
      <c r="G746" s="84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8" t="s">
        <v>433</v>
      </c>
      <c r="O746" s="90" t="s">
        <v>67</v>
      </c>
      <c r="P746" s="90" t="s">
        <v>68</v>
      </c>
      <c r="Q746" s="150">
        <v>46166.0</v>
      </c>
      <c r="R746" s="103" t="s">
        <v>597</v>
      </c>
      <c r="S746" s="150">
        <v>46167.0</v>
      </c>
      <c r="T746" s="103"/>
      <c r="U746" s="90" t="s">
        <v>31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1" t="s">
        <v>1314</v>
      </c>
      <c r="C747" s="82" t="str">
        <f>VLOOKUP($B$7:$B$5000,SUM!$L$6:$L$500,1,FALSE)</f>
        <v>#N/A</v>
      </c>
      <c r="D747" s="81" t="s">
        <v>1076</v>
      </c>
      <c r="E747" s="100" t="s">
        <v>58</v>
      </c>
      <c r="F747" s="84" t="s">
        <v>593</v>
      </c>
      <c r="G747" s="84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8" t="s">
        <v>433</v>
      </c>
      <c r="O747" s="90" t="s">
        <v>67</v>
      </c>
      <c r="P747" s="90" t="s">
        <v>68</v>
      </c>
      <c r="Q747" s="154" t="s">
        <v>791</v>
      </c>
      <c r="R747" s="154" t="s">
        <v>66</v>
      </c>
      <c r="S747" s="155">
        <v>46189.0</v>
      </c>
      <c r="T747" s="156"/>
      <c r="U747" s="154" t="s">
        <v>31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1" t="s">
        <v>1315</v>
      </c>
      <c r="C748" s="82" t="str">
        <f>VLOOKUP($B$7:$B$5000,SUM!$L$6:$L$500,1,FALSE)</f>
        <v>#N/A</v>
      </c>
      <c r="D748" s="81" t="s">
        <v>1076</v>
      </c>
      <c r="E748" s="100" t="s">
        <v>58</v>
      </c>
      <c r="F748" s="84" t="s">
        <v>593</v>
      </c>
      <c r="G748" s="84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8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1" t="s">
        <v>1316</v>
      </c>
      <c r="C749" s="82" t="str">
        <f>VLOOKUP($B$7:$B$5000,SUM!$L$6:$L$500,1,FALSE)</f>
        <v>#N/A</v>
      </c>
      <c r="D749" s="81" t="s">
        <v>1076</v>
      </c>
      <c r="E749" s="100" t="s">
        <v>58</v>
      </c>
      <c r="F749" s="84" t="s">
        <v>593</v>
      </c>
      <c r="G749" s="84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8" t="s">
        <v>433</v>
      </c>
      <c r="O749" s="90" t="s">
        <v>67</v>
      </c>
      <c r="P749" s="90" t="s">
        <v>68</v>
      </c>
      <c r="Q749" s="151">
        <v>46168.0</v>
      </c>
      <c r="R749" s="107" t="s">
        <v>66</v>
      </c>
      <c r="S749" s="152">
        <v>46171.0</v>
      </c>
      <c r="T749" s="103"/>
      <c r="U749" s="97" t="s">
        <v>31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1" t="s">
        <v>1317</v>
      </c>
      <c r="C750" s="82" t="str">
        <f>VLOOKUP($B$7:$B$5000,SUM!$L$6:$L$500,1,FALSE)</f>
        <v>#N/A</v>
      </c>
      <c r="D750" s="160" t="s">
        <v>1318</v>
      </c>
      <c r="E750" s="100" t="s">
        <v>58</v>
      </c>
      <c r="F750" s="84" t="s">
        <v>105</v>
      </c>
      <c r="G750" s="161" t="s">
        <v>1319</v>
      </c>
      <c r="H750" s="162" t="s">
        <v>1320</v>
      </c>
      <c r="I750" s="163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8" t="s">
        <v>433</v>
      </c>
      <c r="O750" s="90" t="s">
        <v>67</v>
      </c>
      <c r="P750" s="90" t="s">
        <v>68</v>
      </c>
      <c r="Q750" s="150">
        <v>46161.0</v>
      </c>
      <c r="R750" s="103" t="s">
        <v>597</v>
      </c>
      <c r="S750" s="104">
        <v>46166.0</v>
      </c>
      <c r="T750" s="103"/>
      <c r="U750" s="90" t="s">
        <v>31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1" t="s">
        <v>1322</v>
      </c>
      <c r="C751" s="82" t="str">
        <f>VLOOKUP($B$7:$B$5000,SUM!$L$6:$L$500,1,FALSE)</f>
        <v>#N/A</v>
      </c>
      <c r="D751" s="160" t="s">
        <v>1318</v>
      </c>
      <c r="E751" s="100" t="s">
        <v>58</v>
      </c>
      <c r="F751" s="84" t="s">
        <v>105</v>
      </c>
      <c r="G751" s="161" t="s">
        <v>1319</v>
      </c>
      <c r="H751" s="162" t="s">
        <v>1323</v>
      </c>
      <c r="I751" s="163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8" t="s">
        <v>433</v>
      </c>
      <c r="O751" s="90" t="s">
        <v>67</v>
      </c>
      <c r="P751" s="90" t="s">
        <v>68</v>
      </c>
      <c r="Q751" s="150">
        <v>46161.0</v>
      </c>
      <c r="R751" s="103" t="s">
        <v>597</v>
      </c>
      <c r="S751" s="104">
        <v>46166.0</v>
      </c>
      <c r="T751" s="103"/>
      <c r="U751" s="90" t="s">
        <v>31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1" t="s">
        <v>1324</v>
      </c>
      <c r="C752" s="82" t="str">
        <f>VLOOKUP($B$7:$B$5000,SUM!$L$6:$L$500,1,FALSE)</f>
        <v>#N/A</v>
      </c>
      <c r="D752" s="160" t="s">
        <v>1318</v>
      </c>
      <c r="E752" s="100" t="s">
        <v>58</v>
      </c>
      <c r="F752" s="84" t="s">
        <v>105</v>
      </c>
      <c r="G752" s="161" t="s">
        <v>1319</v>
      </c>
      <c r="H752" s="162" t="s">
        <v>1325</v>
      </c>
      <c r="I752" s="163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8" t="s">
        <v>433</v>
      </c>
      <c r="O752" s="90" t="s">
        <v>67</v>
      </c>
      <c r="P752" s="90" t="s">
        <v>68</v>
      </c>
      <c r="Q752" s="150">
        <v>46161.0</v>
      </c>
      <c r="R752" s="103" t="s">
        <v>597</v>
      </c>
      <c r="S752" s="104">
        <v>46166.0</v>
      </c>
      <c r="T752" s="103"/>
      <c r="U752" s="90" t="s">
        <v>31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1" t="s">
        <v>1326</v>
      </c>
      <c r="C753" s="82" t="str">
        <f>VLOOKUP($B$7:$B$5000,SUM!$L$6:$L$500,1,FALSE)</f>
        <v>#N/A</v>
      </c>
      <c r="D753" s="160" t="s">
        <v>1318</v>
      </c>
      <c r="E753" s="100" t="s">
        <v>58</v>
      </c>
      <c r="F753" s="84" t="s">
        <v>105</v>
      </c>
      <c r="G753" s="161" t="s">
        <v>1319</v>
      </c>
      <c r="H753" s="162" t="s">
        <v>1327</v>
      </c>
      <c r="I753" s="163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8" t="s">
        <v>433</v>
      </c>
      <c r="O753" s="90" t="s">
        <v>67</v>
      </c>
      <c r="P753" s="90" t="s">
        <v>68</v>
      </c>
      <c r="Q753" s="150">
        <v>46165.0</v>
      </c>
      <c r="R753" s="103" t="s">
        <v>597</v>
      </c>
      <c r="S753" s="150">
        <v>46166.0</v>
      </c>
      <c r="T753" s="103"/>
      <c r="U753" s="90" t="s">
        <v>31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1" t="s">
        <v>1328</v>
      </c>
      <c r="C754" s="82" t="str">
        <f>VLOOKUP($B$7:$B$5000,SUM!$L$6:$L$500,1,FALSE)</f>
        <v>#N/A</v>
      </c>
      <c r="D754" s="160" t="s">
        <v>1318</v>
      </c>
      <c r="E754" s="100" t="s">
        <v>58</v>
      </c>
      <c r="F754" s="84" t="s">
        <v>105</v>
      </c>
      <c r="G754" s="161" t="s">
        <v>1329</v>
      </c>
      <c r="H754" s="162" t="s">
        <v>1330</v>
      </c>
      <c r="I754" s="163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8" t="s">
        <v>433</v>
      </c>
      <c r="O754" s="90" t="s">
        <v>67</v>
      </c>
      <c r="P754" s="90" t="s">
        <v>68</v>
      </c>
      <c r="Q754" s="150">
        <v>46165.0</v>
      </c>
      <c r="R754" s="103" t="s">
        <v>597</v>
      </c>
      <c r="S754" s="150">
        <v>46166.0</v>
      </c>
      <c r="T754" s="103"/>
      <c r="U754" s="90" t="s">
        <v>31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1" t="s">
        <v>1332</v>
      </c>
      <c r="C755" s="82" t="str">
        <f>VLOOKUP($B$7:$B$5000,SUM!$L$6:$L$500,1,FALSE)</f>
        <v>#N/A</v>
      </c>
      <c r="D755" s="160" t="s">
        <v>1318</v>
      </c>
      <c r="E755" s="100" t="s">
        <v>58</v>
      </c>
      <c r="F755" s="84" t="s">
        <v>105</v>
      </c>
      <c r="G755" s="161" t="s">
        <v>1329</v>
      </c>
      <c r="H755" s="162" t="s">
        <v>1333</v>
      </c>
      <c r="I755" s="163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8" t="s">
        <v>433</v>
      </c>
      <c r="O755" s="90" t="s">
        <v>67</v>
      </c>
      <c r="P755" s="90" t="s">
        <v>68</v>
      </c>
      <c r="Q755" s="150">
        <v>46165.0</v>
      </c>
      <c r="R755" s="103" t="s">
        <v>597</v>
      </c>
      <c r="S755" s="150">
        <v>46166.0</v>
      </c>
      <c r="T755" s="103"/>
      <c r="U755" s="90" t="s">
        <v>31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1" t="s">
        <v>1334</v>
      </c>
      <c r="C756" s="82" t="str">
        <f>VLOOKUP($B$7:$B$5000,SUM!$L$6:$L$500,1,FALSE)</f>
        <v>#N/A</v>
      </c>
      <c r="D756" s="160" t="s">
        <v>1318</v>
      </c>
      <c r="E756" s="100" t="s">
        <v>58</v>
      </c>
      <c r="F756" s="84" t="s">
        <v>105</v>
      </c>
      <c r="G756" s="161" t="s">
        <v>1329</v>
      </c>
      <c r="H756" s="162" t="s">
        <v>1335</v>
      </c>
      <c r="I756" s="163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8" t="s">
        <v>433</v>
      </c>
      <c r="O756" s="90" t="s">
        <v>67</v>
      </c>
      <c r="P756" s="90" t="s">
        <v>68</v>
      </c>
      <c r="Q756" s="150">
        <v>46165.0</v>
      </c>
      <c r="R756" s="103" t="s">
        <v>597</v>
      </c>
      <c r="S756" s="150">
        <v>46166.0</v>
      </c>
      <c r="T756" s="103"/>
      <c r="U756" s="90" t="s">
        <v>31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1" t="s">
        <v>1337</v>
      </c>
      <c r="C757" s="82" t="str">
        <f>VLOOKUP($B$7:$B$5000,SUM!$L$6:$L$500,1,FALSE)</f>
        <v>#N/A</v>
      </c>
      <c r="D757" s="160" t="s">
        <v>1318</v>
      </c>
      <c r="E757" s="100" t="s">
        <v>58</v>
      </c>
      <c r="F757" s="84" t="s">
        <v>105</v>
      </c>
      <c r="G757" s="161" t="s">
        <v>1329</v>
      </c>
      <c r="H757" s="162" t="s">
        <v>1338</v>
      </c>
      <c r="I757" s="163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8" t="s">
        <v>433</v>
      </c>
      <c r="O757" s="90" t="s">
        <v>67</v>
      </c>
      <c r="P757" s="90" t="s">
        <v>68</v>
      </c>
      <c r="Q757" s="150">
        <v>46165.0</v>
      </c>
      <c r="R757" s="103" t="s">
        <v>597</v>
      </c>
      <c r="S757" s="150">
        <v>46166.0</v>
      </c>
      <c r="T757" s="103"/>
      <c r="U757" s="90" t="s">
        <v>31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1" t="s">
        <v>1339</v>
      </c>
      <c r="C758" s="82" t="str">
        <f>VLOOKUP($B$7:$B$5000,SUM!$L$6:$L$500,1,FALSE)</f>
        <v>#N/A</v>
      </c>
      <c r="D758" s="160" t="s">
        <v>1318</v>
      </c>
      <c r="E758" s="100" t="s">
        <v>58</v>
      </c>
      <c r="F758" s="84" t="s">
        <v>105</v>
      </c>
      <c r="G758" s="161" t="s">
        <v>1329</v>
      </c>
      <c r="H758" s="162" t="s">
        <v>1340</v>
      </c>
      <c r="I758" s="163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8" t="s">
        <v>433</v>
      </c>
      <c r="O758" s="90" t="s">
        <v>67</v>
      </c>
      <c r="P758" s="90" t="s">
        <v>68</v>
      </c>
      <c r="Q758" s="150">
        <v>46165.0</v>
      </c>
      <c r="R758" s="103" t="s">
        <v>597</v>
      </c>
      <c r="S758" s="150">
        <v>46166.0</v>
      </c>
      <c r="T758" s="103"/>
      <c r="U758" s="90" t="s">
        <v>31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1" t="s">
        <v>1342</v>
      </c>
      <c r="C759" s="82" t="str">
        <f>VLOOKUP($B$7:$B$5000,SUM!$L$6:$L$500,1,FALSE)</f>
        <v>#N/A</v>
      </c>
      <c r="D759" s="160" t="s">
        <v>1318</v>
      </c>
      <c r="E759" s="100" t="s">
        <v>58</v>
      </c>
      <c r="F759" s="84" t="s">
        <v>105</v>
      </c>
      <c r="G759" s="161" t="s">
        <v>1329</v>
      </c>
      <c r="H759" s="162" t="s">
        <v>1343</v>
      </c>
      <c r="I759" s="163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8" t="s">
        <v>433</v>
      </c>
      <c r="O759" s="90" t="s">
        <v>67</v>
      </c>
      <c r="P759" s="90" t="s">
        <v>68</v>
      </c>
      <c r="Q759" s="150">
        <v>46165.0</v>
      </c>
      <c r="R759" s="103" t="s">
        <v>597</v>
      </c>
      <c r="S759" s="150">
        <v>46166.0</v>
      </c>
      <c r="T759" s="103"/>
      <c r="U759" s="90" t="s">
        <v>31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1" t="s">
        <v>1344</v>
      </c>
      <c r="C760" s="82" t="str">
        <f>VLOOKUP($B$7:$B$5000,SUM!$L$6:$L$500,1,FALSE)</f>
        <v>#N/A</v>
      </c>
      <c r="D760" s="160" t="s">
        <v>1318</v>
      </c>
      <c r="E760" s="100" t="s">
        <v>58</v>
      </c>
      <c r="F760" s="84" t="s">
        <v>105</v>
      </c>
      <c r="G760" s="161" t="s">
        <v>1329</v>
      </c>
      <c r="H760" s="162" t="s">
        <v>1345</v>
      </c>
      <c r="I760" s="163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8" t="s">
        <v>433</v>
      </c>
      <c r="O760" s="90" t="s">
        <v>67</v>
      </c>
      <c r="P760" s="90" t="s">
        <v>68</v>
      </c>
      <c r="Q760" s="150">
        <v>46165.0</v>
      </c>
      <c r="R760" s="103" t="s">
        <v>597</v>
      </c>
      <c r="S760" s="150">
        <v>46166.0</v>
      </c>
      <c r="T760" s="103"/>
      <c r="U760" s="90" t="s">
        <v>31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1" t="s">
        <v>1347</v>
      </c>
      <c r="C761" s="82" t="str">
        <f>VLOOKUP($B$7:$B$5000,SUM!$L$6:$L$500,1,FALSE)</f>
        <v>#N/A</v>
      </c>
      <c r="D761" s="160" t="s">
        <v>1318</v>
      </c>
      <c r="E761" s="100" t="s">
        <v>58</v>
      </c>
      <c r="F761" s="84" t="s">
        <v>105</v>
      </c>
      <c r="G761" s="161" t="s">
        <v>1329</v>
      </c>
      <c r="H761" s="162" t="s">
        <v>1348</v>
      </c>
      <c r="I761" s="163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8" t="s">
        <v>433</v>
      </c>
      <c r="O761" s="90" t="s">
        <v>67</v>
      </c>
      <c r="P761" s="90" t="s">
        <v>68</v>
      </c>
      <c r="Q761" s="150">
        <v>46165.0</v>
      </c>
      <c r="R761" s="103" t="s">
        <v>597</v>
      </c>
      <c r="S761" s="150">
        <v>46166.0</v>
      </c>
      <c r="T761" s="103"/>
      <c r="U761" s="90" t="s">
        <v>31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1" t="s">
        <v>1349</v>
      </c>
      <c r="C762" s="82" t="str">
        <f>VLOOKUP($B$7:$B$5000,SUM!$L$6:$L$500,1,FALSE)</f>
        <v>#N/A</v>
      </c>
      <c r="D762" s="160" t="s">
        <v>1318</v>
      </c>
      <c r="E762" s="100" t="s">
        <v>58</v>
      </c>
      <c r="F762" s="84" t="s">
        <v>105</v>
      </c>
      <c r="G762" s="161" t="s">
        <v>1329</v>
      </c>
      <c r="H762" s="162" t="s">
        <v>1350</v>
      </c>
      <c r="I762" s="163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8" t="s">
        <v>433</v>
      </c>
      <c r="O762" s="90" t="s">
        <v>67</v>
      </c>
      <c r="P762" s="90" t="s">
        <v>68</v>
      </c>
      <c r="Q762" s="150">
        <v>46165.0</v>
      </c>
      <c r="R762" s="103" t="s">
        <v>597</v>
      </c>
      <c r="S762" s="150">
        <v>46166.0</v>
      </c>
      <c r="T762" s="103"/>
      <c r="U762" s="90" t="s">
        <v>31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1" t="s">
        <v>1351</v>
      </c>
      <c r="C763" s="82" t="str">
        <f>VLOOKUP($B$7:$B$5000,SUM!$L$6:$L$500,1,FALSE)</f>
        <v>#N/A</v>
      </c>
      <c r="D763" s="160" t="s">
        <v>1318</v>
      </c>
      <c r="E763" s="100" t="s">
        <v>58</v>
      </c>
      <c r="F763" s="84" t="s">
        <v>105</v>
      </c>
      <c r="G763" s="161" t="s">
        <v>1329</v>
      </c>
      <c r="H763" s="162" t="s">
        <v>1352</v>
      </c>
      <c r="I763" s="163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8" t="s">
        <v>433</v>
      </c>
      <c r="O763" s="90" t="s">
        <v>67</v>
      </c>
      <c r="P763" s="90" t="s">
        <v>68</v>
      </c>
      <c r="Q763" s="150">
        <v>46165.0</v>
      </c>
      <c r="R763" s="103" t="s">
        <v>597</v>
      </c>
      <c r="S763" s="150">
        <v>46166.0</v>
      </c>
      <c r="T763" s="103"/>
      <c r="U763" s="90" t="s">
        <v>31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1" t="s">
        <v>1353</v>
      </c>
      <c r="C764" s="82" t="str">
        <f>VLOOKUP($B$7:$B$5000,SUM!$L$6:$L$500,1,FALSE)</f>
        <v>#N/A</v>
      </c>
      <c r="D764" s="160" t="s">
        <v>1318</v>
      </c>
      <c r="E764" s="100" t="s">
        <v>58</v>
      </c>
      <c r="F764" s="84" t="s">
        <v>105</v>
      </c>
      <c r="G764" s="161" t="s">
        <v>1329</v>
      </c>
      <c r="H764" s="162" t="s">
        <v>1354</v>
      </c>
      <c r="I764" s="163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8" t="s">
        <v>433</v>
      </c>
      <c r="O764" s="90" t="s">
        <v>67</v>
      </c>
      <c r="P764" s="90" t="s">
        <v>68</v>
      </c>
      <c r="Q764" s="150">
        <v>46165.0</v>
      </c>
      <c r="R764" s="103" t="s">
        <v>597</v>
      </c>
      <c r="S764" s="150">
        <v>46166.0</v>
      </c>
      <c r="T764" s="103"/>
      <c r="U764" s="90" t="s">
        <v>31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1" t="s">
        <v>1356</v>
      </c>
      <c r="C765" s="82" t="str">
        <f>VLOOKUP($B$7:$B$5000,SUM!$L$6:$L$500,1,FALSE)</f>
        <v>#N/A</v>
      </c>
      <c r="D765" s="160" t="s">
        <v>1318</v>
      </c>
      <c r="E765" s="100" t="s">
        <v>58</v>
      </c>
      <c r="F765" s="84" t="s">
        <v>105</v>
      </c>
      <c r="G765" s="161" t="s">
        <v>1329</v>
      </c>
      <c r="H765" s="162" t="s">
        <v>1357</v>
      </c>
      <c r="I765" s="163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8" t="s">
        <v>433</v>
      </c>
      <c r="O765" s="90" t="s">
        <v>67</v>
      </c>
      <c r="P765" s="90" t="s">
        <v>68</v>
      </c>
      <c r="Q765" s="150">
        <v>46165.0</v>
      </c>
      <c r="R765" s="103" t="s">
        <v>597</v>
      </c>
      <c r="S765" s="150">
        <v>46166.0</v>
      </c>
      <c r="T765" s="103"/>
      <c r="U765" s="90" t="s">
        <v>31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1" t="s">
        <v>1359</v>
      </c>
      <c r="C766" s="82" t="str">
        <f>VLOOKUP($B$7:$B$5000,SUM!$L$6:$L$500,1,FALSE)</f>
        <v>#N/A</v>
      </c>
      <c r="D766" s="160" t="s">
        <v>1318</v>
      </c>
      <c r="E766" s="100" t="s">
        <v>58</v>
      </c>
      <c r="F766" s="84" t="s">
        <v>105</v>
      </c>
      <c r="G766" s="161" t="s">
        <v>1329</v>
      </c>
      <c r="H766" s="162" t="s">
        <v>1360</v>
      </c>
      <c r="I766" s="163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8" t="s">
        <v>433</v>
      </c>
      <c r="O766" s="90" t="s">
        <v>67</v>
      </c>
      <c r="P766" s="90" t="s">
        <v>68</v>
      </c>
      <c r="Q766" s="150">
        <v>46165.0</v>
      </c>
      <c r="R766" s="103" t="s">
        <v>597</v>
      </c>
      <c r="S766" s="150">
        <v>46166.0</v>
      </c>
      <c r="T766" s="103"/>
      <c r="U766" s="90" t="s">
        <v>31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1" t="s">
        <v>1361</v>
      </c>
      <c r="C767" s="82" t="str">
        <f>VLOOKUP($B$7:$B$5000,SUM!$L$6:$L$500,1,FALSE)</f>
        <v>#N/A</v>
      </c>
      <c r="D767" s="160" t="s">
        <v>1318</v>
      </c>
      <c r="E767" s="100" t="s">
        <v>58</v>
      </c>
      <c r="F767" s="84" t="s">
        <v>105</v>
      </c>
      <c r="G767" s="161" t="s">
        <v>1362</v>
      </c>
      <c r="H767" s="162" t="s">
        <v>1363</v>
      </c>
      <c r="I767" s="163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8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1" t="s">
        <v>1365</v>
      </c>
      <c r="C768" s="82" t="str">
        <f>VLOOKUP($B$7:$B$5000,SUM!$L$6:$L$500,1,FALSE)</f>
        <v>#N/A</v>
      </c>
      <c r="D768" s="160" t="s">
        <v>1318</v>
      </c>
      <c r="E768" s="100" t="s">
        <v>58</v>
      </c>
      <c r="F768" s="84" t="s">
        <v>105</v>
      </c>
      <c r="G768" s="161" t="s">
        <v>1362</v>
      </c>
      <c r="H768" s="162" t="s">
        <v>1366</v>
      </c>
      <c r="I768" s="163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8" t="s">
        <v>433</v>
      </c>
      <c r="O768" s="90" t="s">
        <v>67</v>
      </c>
      <c r="P768" s="90" t="s">
        <v>68</v>
      </c>
      <c r="Q768" s="150">
        <v>46165.0</v>
      </c>
      <c r="R768" s="103" t="s">
        <v>597</v>
      </c>
      <c r="S768" s="150">
        <v>46166.0</v>
      </c>
      <c r="T768" s="103"/>
      <c r="U768" s="90" t="s">
        <v>31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1" t="s">
        <v>1367</v>
      </c>
      <c r="C769" s="82" t="str">
        <f>VLOOKUP($B$7:$B$5000,SUM!$L$6:$L$500,1,FALSE)</f>
        <v>#N/A</v>
      </c>
      <c r="D769" s="160" t="s">
        <v>1318</v>
      </c>
      <c r="E769" s="100" t="s">
        <v>58</v>
      </c>
      <c r="F769" s="84" t="s">
        <v>105</v>
      </c>
      <c r="G769" s="161" t="s">
        <v>1329</v>
      </c>
      <c r="H769" s="162" t="s">
        <v>1368</v>
      </c>
      <c r="I769" s="163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8" t="s">
        <v>433</v>
      </c>
      <c r="O769" s="90" t="s">
        <v>67</v>
      </c>
      <c r="P769" s="90" t="s">
        <v>68</v>
      </c>
      <c r="Q769" s="150">
        <v>46161.0</v>
      </c>
      <c r="R769" s="103" t="s">
        <v>597</v>
      </c>
      <c r="S769" s="104">
        <v>46166.0</v>
      </c>
      <c r="T769" s="103"/>
      <c r="U769" s="90" t="s">
        <v>31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1" t="s">
        <v>1370</v>
      </c>
      <c r="C770" s="82" t="str">
        <f>VLOOKUP($B$7:$B$5000,SUM!$L$6:$L$500,1,FALSE)</f>
        <v>#N/A</v>
      </c>
      <c r="D770" s="160" t="s">
        <v>1318</v>
      </c>
      <c r="E770" s="100" t="s">
        <v>58</v>
      </c>
      <c r="F770" s="84" t="s">
        <v>105</v>
      </c>
      <c r="G770" s="161" t="s">
        <v>1329</v>
      </c>
      <c r="H770" s="162" t="s">
        <v>1371</v>
      </c>
      <c r="I770" s="163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8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1" t="s">
        <v>1372</v>
      </c>
      <c r="C771" s="82" t="str">
        <f>VLOOKUP($B$7:$B$5000,SUM!$L$6:$L$500,1,FALSE)</f>
        <v>#N/A</v>
      </c>
      <c r="D771" s="160" t="s">
        <v>1318</v>
      </c>
      <c r="E771" s="100" t="s">
        <v>58</v>
      </c>
      <c r="F771" s="84" t="s">
        <v>105</v>
      </c>
      <c r="G771" s="161" t="s">
        <v>1329</v>
      </c>
      <c r="H771" s="162" t="s">
        <v>1373</v>
      </c>
      <c r="I771" s="163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8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1" t="s">
        <v>1374</v>
      </c>
      <c r="C772" s="82" t="str">
        <f>VLOOKUP($B$7:$B$5000,SUM!$L$6:$L$500,1,FALSE)</f>
        <v>#N/A</v>
      </c>
      <c r="D772" s="160" t="s">
        <v>1318</v>
      </c>
      <c r="E772" s="100" t="s">
        <v>58</v>
      </c>
      <c r="F772" s="84" t="s">
        <v>105</v>
      </c>
      <c r="G772" s="161" t="s">
        <v>1329</v>
      </c>
      <c r="H772" s="162" t="s">
        <v>1375</v>
      </c>
      <c r="I772" s="163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8" t="s">
        <v>433</v>
      </c>
      <c r="O772" s="90" t="s">
        <v>67</v>
      </c>
      <c r="P772" s="90" t="s">
        <v>68</v>
      </c>
      <c r="Q772" s="150">
        <v>46161.0</v>
      </c>
      <c r="R772" s="103" t="s">
        <v>597</v>
      </c>
      <c r="S772" s="104">
        <v>46166.0</v>
      </c>
      <c r="T772" s="103"/>
      <c r="U772" s="90" t="s">
        <v>31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1" t="s">
        <v>1376</v>
      </c>
      <c r="C773" s="82" t="str">
        <f>VLOOKUP($B$7:$B$5000,SUM!$L$6:$L$500,1,FALSE)</f>
        <v>#N/A</v>
      </c>
      <c r="D773" s="160" t="s">
        <v>1318</v>
      </c>
      <c r="E773" s="100" t="s">
        <v>58</v>
      </c>
      <c r="F773" s="84" t="s">
        <v>105</v>
      </c>
      <c r="G773" s="161" t="s">
        <v>1329</v>
      </c>
      <c r="H773" s="162" t="s">
        <v>1377</v>
      </c>
      <c r="I773" s="163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8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1" t="s">
        <v>1378</v>
      </c>
      <c r="C774" s="82" t="str">
        <f>VLOOKUP($B$7:$B$5000,SUM!$L$6:$L$500,1,FALSE)</f>
        <v>#N/A</v>
      </c>
      <c r="D774" s="160" t="s">
        <v>1318</v>
      </c>
      <c r="E774" s="100" t="s">
        <v>58</v>
      </c>
      <c r="F774" s="84" t="s">
        <v>105</v>
      </c>
      <c r="G774" s="161" t="s">
        <v>1329</v>
      </c>
      <c r="H774" s="162" t="s">
        <v>1379</v>
      </c>
      <c r="I774" s="163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8" t="s">
        <v>433</v>
      </c>
      <c r="O774" s="90" t="s">
        <v>67</v>
      </c>
      <c r="P774" s="90" t="s">
        <v>68</v>
      </c>
      <c r="Q774" s="150">
        <v>46161.0</v>
      </c>
      <c r="R774" s="103" t="s">
        <v>597</v>
      </c>
      <c r="S774" s="104">
        <v>46166.0</v>
      </c>
      <c r="T774" s="103"/>
      <c r="U774" s="90" t="s">
        <v>31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1" t="s">
        <v>1381</v>
      </c>
      <c r="C775" s="82" t="str">
        <f>VLOOKUP($B$7:$B$5000,SUM!$L$6:$L$500,1,FALSE)</f>
        <v>#N/A</v>
      </c>
      <c r="D775" s="160" t="s">
        <v>1318</v>
      </c>
      <c r="E775" s="100" t="s">
        <v>58</v>
      </c>
      <c r="F775" s="84" t="s">
        <v>105</v>
      </c>
      <c r="G775" s="161" t="s">
        <v>1329</v>
      </c>
      <c r="H775" s="162" t="s">
        <v>1382</v>
      </c>
      <c r="I775" s="163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8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1" t="s">
        <v>1384</v>
      </c>
      <c r="C776" s="82" t="str">
        <f>VLOOKUP($B$7:$B$5000,SUM!$L$6:$L$500,1,FALSE)</f>
        <v>#N/A</v>
      </c>
      <c r="D776" s="160" t="s">
        <v>1318</v>
      </c>
      <c r="E776" s="100" t="s">
        <v>58</v>
      </c>
      <c r="F776" s="84" t="s">
        <v>105</v>
      </c>
      <c r="G776" s="161" t="s">
        <v>1329</v>
      </c>
      <c r="H776" s="162" t="s">
        <v>1385</v>
      </c>
      <c r="I776" s="163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8" t="s">
        <v>433</v>
      </c>
      <c r="O776" s="90" t="s">
        <v>67</v>
      </c>
      <c r="P776" s="90" t="s">
        <v>68</v>
      </c>
      <c r="Q776" s="150">
        <v>46161.0</v>
      </c>
      <c r="R776" s="103" t="s">
        <v>597</v>
      </c>
      <c r="S776" s="104">
        <v>46166.0</v>
      </c>
      <c r="T776" s="103"/>
      <c r="U776" s="90" t="s">
        <v>31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1" t="s">
        <v>1387</v>
      </c>
      <c r="C777" s="82" t="str">
        <f>VLOOKUP($B$7:$B$5000,SUM!$L$6:$L$500,1,FALSE)</f>
        <v>#N/A</v>
      </c>
      <c r="D777" s="160" t="s">
        <v>1318</v>
      </c>
      <c r="E777" s="100" t="s">
        <v>58</v>
      </c>
      <c r="F777" s="84" t="s">
        <v>105</v>
      </c>
      <c r="G777" s="161" t="s">
        <v>1388</v>
      </c>
      <c r="H777" s="162" t="s">
        <v>1389</v>
      </c>
      <c r="I777" s="163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8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1" t="s">
        <v>1391</v>
      </c>
      <c r="C778" s="82" t="str">
        <f>VLOOKUP($B$7:$B$5000,SUM!$L$6:$L$500,1,FALSE)</f>
        <v>#N/A</v>
      </c>
      <c r="D778" s="160" t="s">
        <v>1318</v>
      </c>
      <c r="E778" s="100" t="s">
        <v>58</v>
      </c>
      <c r="F778" s="84" t="s">
        <v>105</v>
      </c>
      <c r="G778" s="161" t="s">
        <v>1329</v>
      </c>
      <c r="H778" s="162" t="s">
        <v>1392</v>
      </c>
      <c r="I778" s="163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8" t="s">
        <v>433</v>
      </c>
      <c r="O778" s="90" t="s">
        <v>67</v>
      </c>
      <c r="P778" s="90" t="s">
        <v>68</v>
      </c>
      <c r="Q778" s="150">
        <v>46161.0</v>
      </c>
      <c r="R778" s="103" t="s">
        <v>597</v>
      </c>
      <c r="S778" s="104">
        <v>46166.0</v>
      </c>
      <c r="T778" s="103"/>
      <c r="U778" s="90" t="s">
        <v>31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1" t="s">
        <v>1393</v>
      </c>
      <c r="C779" s="82" t="str">
        <f>VLOOKUP($B$7:$B$5000,SUM!$L$6:$L$500,1,FALSE)</f>
        <v>#N/A</v>
      </c>
      <c r="D779" s="160" t="s">
        <v>1318</v>
      </c>
      <c r="E779" s="100" t="s">
        <v>58</v>
      </c>
      <c r="F779" s="84" t="s">
        <v>105</v>
      </c>
      <c r="G779" s="161" t="s">
        <v>1329</v>
      </c>
      <c r="H779" s="162" t="s">
        <v>1394</v>
      </c>
      <c r="I779" s="163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8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1" t="s">
        <v>1395</v>
      </c>
      <c r="C780" s="82" t="str">
        <f>VLOOKUP($B$7:$B$5000,SUM!$L$6:$L$500,1,FALSE)</f>
        <v>#N/A</v>
      </c>
      <c r="D780" s="160" t="s">
        <v>1318</v>
      </c>
      <c r="E780" s="100" t="s">
        <v>58</v>
      </c>
      <c r="F780" s="84" t="s">
        <v>105</v>
      </c>
      <c r="G780" s="161" t="s">
        <v>1329</v>
      </c>
      <c r="H780" s="162" t="s">
        <v>1396</v>
      </c>
      <c r="I780" s="163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8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1" t="s">
        <v>1398</v>
      </c>
      <c r="C781" s="82" t="str">
        <f>VLOOKUP($B$7:$B$5000,SUM!$L$6:$L$500,1,FALSE)</f>
        <v>#N/A</v>
      </c>
      <c r="D781" s="160" t="s">
        <v>1318</v>
      </c>
      <c r="E781" s="100" t="s">
        <v>58</v>
      </c>
      <c r="F781" s="84" t="s">
        <v>105</v>
      </c>
      <c r="G781" s="161" t="s">
        <v>1329</v>
      </c>
      <c r="H781" s="162" t="s">
        <v>1399</v>
      </c>
      <c r="I781" s="163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8" t="s">
        <v>433</v>
      </c>
      <c r="O781" s="90" t="s">
        <v>67</v>
      </c>
      <c r="P781" s="90" t="s">
        <v>68</v>
      </c>
      <c r="Q781" s="150">
        <v>46161.0</v>
      </c>
      <c r="R781" s="103" t="s">
        <v>597</v>
      </c>
      <c r="S781" s="104">
        <v>46166.0</v>
      </c>
      <c r="T781" s="103"/>
      <c r="U781" s="90" t="s">
        <v>31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1" t="s">
        <v>1401</v>
      </c>
      <c r="C782" s="82" t="str">
        <f>VLOOKUP($B$7:$B$5000,SUM!$L$6:$L$500,1,FALSE)</f>
        <v>#N/A</v>
      </c>
      <c r="D782" s="160" t="s">
        <v>1318</v>
      </c>
      <c r="E782" s="100" t="s">
        <v>58</v>
      </c>
      <c r="F782" s="84" t="s">
        <v>105</v>
      </c>
      <c r="G782" s="161" t="s">
        <v>1329</v>
      </c>
      <c r="H782" s="162" t="s">
        <v>1402</v>
      </c>
      <c r="I782" s="163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8" t="s">
        <v>433</v>
      </c>
      <c r="O782" s="90" t="s">
        <v>67</v>
      </c>
      <c r="P782" s="90" t="s">
        <v>68</v>
      </c>
      <c r="Q782" s="150">
        <v>46161.0</v>
      </c>
      <c r="R782" s="103" t="s">
        <v>597</v>
      </c>
      <c r="S782" s="104">
        <v>46166.0</v>
      </c>
      <c r="T782" s="103"/>
      <c r="U782" s="90" t="s">
        <v>31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1" t="s">
        <v>1404</v>
      </c>
      <c r="C783" s="82" t="str">
        <f>VLOOKUP($B$7:$B$5000,SUM!$L$6:$L$500,1,FALSE)</f>
        <v>#N/A</v>
      </c>
      <c r="D783" s="160" t="s">
        <v>1318</v>
      </c>
      <c r="E783" s="100" t="s">
        <v>58</v>
      </c>
      <c r="F783" s="84" t="s">
        <v>105</v>
      </c>
      <c r="G783" s="161" t="s">
        <v>1329</v>
      </c>
      <c r="H783" s="162" t="s">
        <v>1405</v>
      </c>
      <c r="I783" s="163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8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1" t="s">
        <v>1406</v>
      </c>
      <c r="C784" s="82" t="str">
        <f>VLOOKUP($B$7:$B$5000,SUM!$L$6:$L$500,1,FALSE)</f>
        <v>#N/A</v>
      </c>
      <c r="D784" s="160" t="s">
        <v>1318</v>
      </c>
      <c r="E784" s="100" t="s">
        <v>58</v>
      </c>
      <c r="F784" s="84" t="s">
        <v>105</v>
      </c>
      <c r="G784" s="161" t="s">
        <v>1329</v>
      </c>
      <c r="H784" s="162" t="s">
        <v>1407</v>
      </c>
      <c r="I784" s="163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8" t="s">
        <v>433</v>
      </c>
      <c r="O784" s="90" t="s">
        <v>67</v>
      </c>
      <c r="P784" s="90" t="s">
        <v>68</v>
      </c>
      <c r="Q784" s="150">
        <v>46161.0</v>
      </c>
      <c r="R784" s="103" t="s">
        <v>597</v>
      </c>
      <c r="S784" s="104">
        <v>46166.0</v>
      </c>
      <c r="T784" s="103"/>
      <c r="U784" s="90" t="s">
        <v>31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1" t="s">
        <v>1409</v>
      </c>
      <c r="C785" s="82" t="str">
        <f>VLOOKUP($B$7:$B$5000,SUM!$L$6:$L$500,1,FALSE)</f>
        <v>#N/A</v>
      </c>
      <c r="D785" s="160" t="s">
        <v>1318</v>
      </c>
      <c r="E785" s="100" t="s">
        <v>58</v>
      </c>
      <c r="F785" s="84" t="s">
        <v>105</v>
      </c>
      <c r="G785" s="161" t="s">
        <v>1329</v>
      </c>
      <c r="H785" s="162" t="s">
        <v>1410</v>
      </c>
      <c r="I785" s="163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8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1" t="s">
        <v>1412</v>
      </c>
      <c r="C786" s="82" t="str">
        <f>VLOOKUP($B$7:$B$5000,SUM!$L$6:$L$500,1,FALSE)</f>
        <v>#N/A</v>
      </c>
      <c r="D786" s="160" t="s">
        <v>1318</v>
      </c>
      <c r="E786" s="100" t="s">
        <v>58</v>
      </c>
      <c r="F786" s="84" t="s">
        <v>105</v>
      </c>
      <c r="G786" s="161" t="s">
        <v>1329</v>
      </c>
      <c r="H786" s="162" t="s">
        <v>1413</v>
      </c>
      <c r="I786" s="163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8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1" t="s">
        <v>1414</v>
      </c>
      <c r="C787" s="82" t="str">
        <f>VLOOKUP($B$7:$B$5000,SUM!$L$6:$L$500,1,FALSE)</f>
        <v>#N/A</v>
      </c>
      <c r="D787" s="160" t="s">
        <v>1318</v>
      </c>
      <c r="E787" s="100" t="s">
        <v>58</v>
      </c>
      <c r="F787" s="84" t="s">
        <v>105</v>
      </c>
      <c r="G787" s="161" t="s">
        <v>1415</v>
      </c>
      <c r="H787" s="162" t="s">
        <v>1416</v>
      </c>
      <c r="I787" s="163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8" t="s">
        <v>433</v>
      </c>
      <c r="O787" s="90" t="s">
        <v>67</v>
      </c>
      <c r="P787" s="90" t="s">
        <v>68</v>
      </c>
      <c r="Q787" s="150">
        <v>46161.0</v>
      </c>
      <c r="R787" s="103" t="s">
        <v>597</v>
      </c>
      <c r="S787" s="104">
        <v>46166.0</v>
      </c>
      <c r="T787" s="103"/>
      <c r="U787" s="90" t="s">
        <v>31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1" t="s">
        <v>1418</v>
      </c>
      <c r="C788" s="82" t="str">
        <f>VLOOKUP($B$7:$B$5000,SUM!$L$6:$L$500,1,FALSE)</f>
        <v>#N/A</v>
      </c>
      <c r="D788" s="160" t="s">
        <v>1318</v>
      </c>
      <c r="E788" s="100" t="s">
        <v>58</v>
      </c>
      <c r="F788" s="84" t="s">
        <v>105</v>
      </c>
      <c r="G788" s="161" t="s">
        <v>1419</v>
      </c>
      <c r="H788" s="162" t="s">
        <v>1420</v>
      </c>
      <c r="I788" s="163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8" t="s">
        <v>433</v>
      </c>
      <c r="O788" s="90" t="s">
        <v>67</v>
      </c>
      <c r="P788" s="90" t="s">
        <v>68</v>
      </c>
      <c r="Q788" s="150">
        <v>46161.0</v>
      </c>
      <c r="R788" s="103" t="s">
        <v>597</v>
      </c>
      <c r="S788" s="104">
        <v>46166.0</v>
      </c>
      <c r="T788" s="103"/>
      <c r="U788" s="90" t="s">
        <v>31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1" t="s">
        <v>1422</v>
      </c>
      <c r="C789" s="82" t="str">
        <f>VLOOKUP($B$7:$B$5000,SUM!$L$6:$L$500,1,FALSE)</f>
        <v>#N/A</v>
      </c>
      <c r="D789" s="160" t="s">
        <v>1318</v>
      </c>
      <c r="E789" s="100" t="s">
        <v>58</v>
      </c>
      <c r="F789" s="84" t="s">
        <v>105</v>
      </c>
      <c r="G789" s="161" t="s">
        <v>1415</v>
      </c>
      <c r="H789" s="162" t="s">
        <v>1423</v>
      </c>
      <c r="I789" s="163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8" t="s">
        <v>433</v>
      </c>
      <c r="O789" s="90" t="s">
        <v>67</v>
      </c>
      <c r="P789" s="90" t="s">
        <v>68</v>
      </c>
      <c r="Q789" s="150">
        <v>46161.0</v>
      </c>
      <c r="R789" s="103" t="s">
        <v>597</v>
      </c>
      <c r="S789" s="104">
        <v>46166.0</v>
      </c>
      <c r="T789" s="103"/>
      <c r="U789" s="90" t="s">
        <v>31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1" t="s">
        <v>1424</v>
      </c>
      <c r="C790" s="82" t="str">
        <f>VLOOKUP($B$7:$B$5000,SUM!$L$6:$L$500,1,FALSE)</f>
        <v>#N/A</v>
      </c>
      <c r="D790" s="160" t="s">
        <v>1318</v>
      </c>
      <c r="E790" s="100" t="s">
        <v>58</v>
      </c>
      <c r="F790" s="84" t="s">
        <v>105</v>
      </c>
      <c r="G790" s="161" t="s">
        <v>1419</v>
      </c>
      <c r="H790" s="162" t="s">
        <v>1425</v>
      </c>
      <c r="I790" s="163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8" t="s">
        <v>433</v>
      </c>
      <c r="O790" s="90" t="s">
        <v>67</v>
      </c>
      <c r="P790" s="90" t="s">
        <v>68</v>
      </c>
      <c r="Q790" s="150">
        <v>46161.0</v>
      </c>
      <c r="R790" s="103" t="s">
        <v>597</v>
      </c>
      <c r="S790" s="104">
        <v>46166.0</v>
      </c>
      <c r="T790" s="103"/>
      <c r="U790" s="90" t="s">
        <v>31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1" t="s">
        <v>1426</v>
      </c>
      <c r="C791" s="82" t="str">
        <f>VLOOKUP($B$7:$B$5000,SUM!$L$6:$L$500,1,FALSE)</f>
        <v>#N/A</v>
      </c>
      <c r="D791" s="160" t="s">
        <v>1318</v>
      </c>
      <c r="E791" s="100" t="s">
        <v>58</v>
      </c>
      <c r="F791" s="84" t="s">
        <v>105</v>
      </c>
      <c r="G791" s="161" t="s">
        <v>1415</v>
      </c>
      <c r="H791" s="162" t="s">
        <v>1427</v>
      </c>
      <c r="I791" s="163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8" t="s">
        <v>433</v>
      </c>
      <c r="O791" s="90" t="s">
        <v>67</v>
      </c>
      <c r="P791" s="90" t="s">
        <v>68</v>
      </c>
      <c r="Q791" s="150">
        <v>46161.0</v>
      </c>
      <c r="R791" s="103" t="s">
        <v>597</v>
      </c>
      <c r="S791" s="104">
        <v>46166.0</v>
      </c>
      <c r="T791" s="103"/>
      <c r="U791" s="90" t="s">
        <v>31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1" t="s">
        <v>1428</v>
      </c>
      <c r="C792" s="82" t="str">
        <f>VLOOKUP($B$7:$B$5000,SUM!$L$6:$L$500,1,FALSE)</f>
        <v>#N/A</v>
      </c>
      <c r="D792" s="160" t="s">
        <v>1318</v>
      </c>
      <c r="E792" s="100" t="s">
        <v>58</v>
      </c>
      <c r="F792" s="84" t="s">
        <v>105</v>
      </c>
      <c r="G792" s="161" t="s">
        <v>1419</v>
      </c>
      <c r="H792" s="162" t="s">
        <v>1429</v>
      </c>
      <c r="I792" s="163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8" t="s">
        <v>433</v>
      </c>
      <c r="O792" s="90" t="s">
        <v>67</v>
      </c>
      <c r="P792" s="90" t="s">
        <v>68</v>
      </c>
      <c r="Q792" s="150">
        <v>46162.0</v>
      </c>
      <c r="R792" s="103" t="s">
        <v>597</v>
      </c>
      <c r="S792" s="150">
        <v>46166.0</v>
      </c>
      <c r="T792" s="103"/>
      <c r="U792" s="90" t="s">
        <v>31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1" t="s">
        <v>1430</v>
      </c>
      <c r="C793" s="82" t="str">
        <f>VLOOKUP($B$7:$B$5000,SUM!$L$6:$L$500,1,FALSE)</f>
        <v>#N/A</v>
      </c>
      <c r="D793" s="160" t="s">
        <v>1318</v>
      </c>
      <c r="E793" s="100" t="s">
        <v>58</v>
      </c>
      <c r="F793" s="84" t="s">
        <v>105</v>
      </c>
      <c r="G793" s="161" t="s">
        <v>1329</v>
      </c>
      <c r="H793" s="162" t="s">
        <v>1431</v>
      </c>
      <c r="I793" s="163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8" t="s">
        <v>433</v>
      </c>
      <c r="O793" s="90" t="s">
        <v>67</v>
      </c>
      <c r="P793" s="90" t="s">
        <v>68</v>
      </c>
      <c r="Q793" s="150">
        <v>46162.0</v>
      </c>
      <c r="R793" s="103" t="s">
        <v>597</v>
      </c>
      <c r="S793" s="150">
        <v>46166.0</v>
      </c>
      <c r="T793" s="103"/>
      <c r="U793" s="90" t="s">
        <v>31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1" t="s">
        <v>1433</v>
      </c>
      <c r="C794" s="82" t="str">
        <f>VLOOKUP($B$7:$B$5000,SUM!$L$6:$L$500,1,FALSE)</f>
        <v>#N/A</v>
      </c>
      <c r="D794" s="160" t="s">
        <v>1318</v>
      </c>
      <c r="E794" s="100" t="s">
        <v>58</v>
      </c>
      <c r="F794" s="84" t="s">
        <v>105</v>
      </c>
      <c r="G794" s="161" t="s">
        <v>1329</v>
      </c>
      <c r="H794" s="162" t="s">
        <v>1434</v>
      </c>
      <c r="I794" s="163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8" t="s">
        <v>433</v>
      </c>
      <c r="O794" s="90" t="s">
        <v>67</v>
      </c>
      <c r="P794" s="90" t="s">
        <v>68</v>
      </c>
      <c r="Q794" s="150">
        <v>46162.0</v>
      </c>
      <c r="R794" s="103" t="s">
        <v>597</v>
      </c>
      <c r="S794" s="150">
        <v>46166.0</v>
      </c>
      <c r="T794" s="103"/>
      <c r="U794" s="90" t="s">
        <v>31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1" t="s">
        <v>1435</v>
      </c>
      <c r="C795" s="82" t="str">
        <f>VLOOKUP($B$7:$B$5000,SUM!$L$6:$L$500,1,FALSE)</f>
        <v>#N/A</v>
      </c>
      <c r="D795" s="160" t="s">
        <v>1318</v>
      </c>
      <c r="E795" s="100" t="s">
        <v>58</v>
      </c>
      <c r="F795" s="84" t="s">
        <v>105</v>
      </c>
      <c r="G795" s="161" t="s">
        <v>1329</v>
      </c>
      <c r="H795" s="162" t="s">
        <v>1436</v>
      </c>
      <c r="I795" s="163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8" t="s">
        <v>433</v>
      </c>
      <c r="O795" s="90" t="s">
        <v>67</v>
      </c>
      <c r="P795" s="90" t="s">
        <v>68</v>
      </c>
      <c r="Q795" s="150">
        <v>46162.0</v>
      </c>
      <c r="R795" s="103" t="s">
        <v>597</v>
      </c>
      <c r="S795" s="150">
        <v>46166.0</v>
      </c>
      <c r="T795" s="103"/>
      <c r="U795" s="90" t="s">
        <v>31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1" t="s">
        <v>1437</v>
      </c>
      <c r="C796" s="82" t="str">
        <f>VLOOKUP($B$7:$B$5000,SUM!$L$6:$L$500,1,FALSE)</f>
        <v>#N/A</v>
      </c>
      <c r="D796" s="160" t="s">
        <v>1318</v>
      </c>
      <c r="E796" s="100" t="s">
        <v>58</v>
      </c>
      <c r="F796" s="84" t="s">
        <v>105</v>
      </c>
      <c r="G796" s="161" t="s">
        <v>1329</v>
      </c>
      <c r="H796" s="162" t="s">
        <v>1438</v>
      </c>
      <c r="I796" s="163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8" t="s">
        <v>433</v>
      </c>
      <c r="O796" s="90" t="s">
        <v>67</v>
      </c>
      <c r="P796" s="90" t="s">
        <v>68</v>
      </c>
      <c r="Q796" s="150">
        <v>46162.0</v>
      </c>
      <c r="R796" s="103" t="s">
        <v>597</v>
      </c>
      <c r="S796" s="150">
        <v>46166.0</v>
      </c>
      <c r="T796" s="103"/>
      <c r="U796" s="90" t="s">
        <v>31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1" t="s">
        <v>1439</v>
      </c>
      <c r="C797" s="82" t="str">
        <f>VLOOKUP($B$7:$B$5000,SUM!$L$6:$L$500,1,FALSE)</f>
        <v>#N/A</v>
      </c>
      <c r="D797" s="160" t="s">
        <v>1318</v>
      </c>
      <c r="E797" s="100" t="s">
        <v>58</v>
      </c>
      <c r="F797" s="84" t="s">
        <v>105</v>
      </c>
      <c r="G797" s="161" t="s">
        <v>1329</v>
      </c>
      <c r="H797" s="162" t="s">
        <v>1440</v>
      </c>
      <c r="I797" s="163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8" t="s">
        <v>433</v>
      </c>
      <c r="O797" s="90" t="s">
        <v>67</v>
      </c>
      <c r="P797" s="90" t="s">
        <v>68</v>
      </c>
      <c r="Q797" s="150">
        <v>46162.0</v>
      </c>
      <c r="R797" s="103" t="s">
        <v>597</v>
      </c>
      <c r="S797" s="150">
        <v>46166.0</v>
      </c>
      <c r="T797" s="103"/>
      <c r="U797" s="90" t="s">
        <v>31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1" t="s">
        <v>1441</v>
      </c>
      <c r="C798" s="82" t="str">
        <f>VLOOKUP($B$7:$B$5000,SUM!$L$6:$L$500,1,FALSE)</f>
        <v>#N/A</v>
      </c>
      <c r="D798" s="160" t="s">
        <v>1318</v>
      </c>
      <c r="E798" s="100" t="s">
        <v>58</v>
      </c>
      <c r="F798" s="84" t="s">
        <v>105</v>
      </c>
      <c r="G798" s="161" t="s">
        <v>1329</v>
      </c>
      <c r="H798" s="162" t="s">
        <v>1442</v>
      </c>
      <c r="I798" s="163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8" t="s">
        <v>433</v>
      </c>
      <c r="O798" s="90" t="s">
        <v>67</v>
      </c>
      <c r="P798" s="90" t="s">
        <v>68</v>
      </c>
      <c r="Q798" s="150">
        <v>46162.0</v>
      </c>
      <c r="R798" s="103" t="s">
        <v>597</v>
      </c>
      <c r="S798" s="150">
        <v>46166.0</v>
      </c>
      <c r="T798" s="103"/>
      <c r="U798" s="90" t="s">
        <v>31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1" t="s">
        <v>1443</v>
      </c>
      <c r="C799" s="82" t="str">
        <f>VLOOKUP($B$7:$B$5000,SUM!$L$6:$L$500,1,FALSE)</f>
        <v>#N/A</v>
      </c>
      <c r="D799" s="160" t="s">
        <v>1318</v>
      </c>
      <c r="E799" s="100" t="s">
        <v>58</v>
      </c>
      <c r="F799" s="84" t="s">
        <v>105</v>
      </c>
      <c r="G799" s="161" t="s">
        <v>1329</v>
      </c>
      <c r="H799" s="162" t="s">
        <v>1444</v>
      </c>
      <c r="I799" s="163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8" t="s">
        <v>433</v>
      </c>
      <c r="O799" s="90" t="s">
        <v>67</v>
      </c>
      <c r="P799" s="90" t="s">
        <v>68</v>
      </c>
      <c r="Q799" s="150">
        <v>46162.0</v>
      </c>
      <c r="R799" s="103" t="s">
        <v>597</v>
      </c>
      <c r="S799" s="150">
        <v>46166.0</v>
      </c>
      <c r="T799" s="103"/>
      <c r="U799" s="90" t="s">
        <v>31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1" t="s">
        <v>1445</v>
      </c>
      <c r="C800" s="82" t="str">
        <f>VLOOKUP($B$7:$B$5000,SUM!$L$6:$L$500,1,FALSE)</f>
        <v>#N/A</v>
      </c>
      <c r="D800" s="160" t="s">
        <v>1318</v>
      </c>
      <c r="E800" s="100" t="s">
        <v>58</v>
      </c>
      <c r="F800" s="84" t="s">
        <v>105</v>
      </c>
      <c r="G800" s="161" t="s">
        <v>1329</v>
      </c>
      <c r="H800" s="162" t="s">
        <v>1446</v>
      </c>
      <c r="I800" s="163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8" t="s">
        <v>433</v>
      </c>
      <c r="O800" s="90" t="s">
        <v>67</v>
      </c>
      <c r="P800" s="90" t="s">
        <v>68</v>
      </c>
      <c r="Q800" s="150">
        <v>46162.0</v>
      </c>
      <c r="R800" s="103" t="s">
        <v>597</v>
      </c>
      <c r="S800" s="150">
        <v>46166.0</v>
      </c>
      <c r="T800" s="103"/>
      <c r="U800" s="90" t="s">
        <v>31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1" t="s">
        <v>1447</v>
      </c>
      <c r="C801" s="82" t="str">
        <f>VLOOKUP($B$7:$B$5000,SUM!$L$6:$L$500,1,FALSE)</f>
        <v>#N/A</v>
      </c>
      <c r="D801" s="160" t="s">
        <v>1318</v>
      </c>
      <c r="E801" s="100" t="s">
        <v>58</v>
      </c>
      <c r="F801" s="84" t="s">
        <v>105</v>
      </c>
      <c r="G801" s="161" t="s">
        <v>1329</v>
      </c>
      <c r="H801" s="162" t="s">
        <v>1448</v>
      </c>
      <c r="I801" s="163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8" t="s">
        <v>433</v>
      </c>
      <c r="O801" s="90" t="s">
        <v>67</v>
      </c>
      <c r="P801" s="90" t="s">
        <v>68</v>
      </c>
      <c r="Q801" s="150">
        <v>46162.0</v>
      </c>
      <c r="R801" s="103" t="s">
        <v>597</v>
      </c>
      <c r="S801" s="150">
        <v>46166.0</v>
      </c>
      <c r="T801" s="103"/>
      <c r="U801" s="90" t="s">
        <v>31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1" t="s">
        <v>1449</v>
      </c>
      <c r="C802" s="82" t="str">
        <f>VLOOKUP($B$7:$B$5000,SUM!$L$6:$L$500,1,FALSE)</f>
        <v>#N/A</v>
      </c>
      <c r="D802" s="160" t="s">
        <v>1318</v>
      </c>
      <c r="E802" s="100" t="s">
        <v>58</v>
      </c>
      <c r="F802" s="84" t="s">
        <v>105</v>
      </c>
      <c r="G802" s="161" t="s">
        <v>1329</v>
      </c>
      <c r="H802" s="162" t="s">
        <v>1450</v>
      </c>
      <c r="I802" s="163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8" t="s">
        <v>433</v>
      </c>
      <c r="O802" s="90" t="s">
        <v>67</v>
      </c>
      <c r="P802" s="90" t="s">
        <v>68</v>
      </c>
      <c r="Q802" s="150">
        <v>46162.0</v>
      </c>
      <c r="R802" s="103" t="s">
        <v>597</v>
      </c>
      <c r="S802" s="150">
        <v>46166.0</v>
      </c>
      <c r="T802" s="103"/>
      <c r="U802" s="90" t="s">
        <v>31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1" t="s">
        <v>1451</v>
      </c>
      <c r="C803" s="82" t="str">
        <f>VLOOKUP($B$7:$B$5000,SUM!$L$6:$L$500,1,FALSE)</f>
        <v>#N/A</v>
      </c>
      <c r="D803" s="160" t="s">
        <v>1318</v>
      </c>
      <c r="E803" s="100" t="s">
        <v>58</v>
      </c>
      <c r="F803" s="84" t="s">
        <v>105</v>
      </c>
      <c r="G803" s="161" t="s">
        <v>1329</v>
      </c>
      <c r="H803" s="162" t="s">
        <v>1452</v>
      </c>
      <c r="I803" s="163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8" t="s">
        <v>433</v>
      </c>
      <c r="O803" s="90" t="s">
        <v>67</v>
      </c>
      <c r="P803" s="90" t="s">
        <v>68</v>
      </c>
      <c r="Q803" s="150">
        <v>46165.0</v>
      </c>
      <c r="R803" s="103" t="s">
        <v>597</v>
      </c>
      <c r="S803" s="150">
        <v>46166.0</v>
      </c>
      <c r="T803" s="103"/>
      <c r="U803" s="90" t="s">
        <v>31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1" t="s">
        <v>1453</v>
      </c>
      <c r="C804" s="82" t="str">
        <f>VLOOKUP($B$7:$B$5000,SUM!$L$6:$L$500,1,FALSE)</f>
        <v>#N/A</v>
      </c>
      <c r="D804" s="160" t="s">
        <v>1318</v>
      </c>
      <c r="E804" s="100" t="s">
        <v>58</v>
      </c>
      <c r="F804" s="84" t="s">
        <v>105</v>
      </c>
      <c r="G804" s="161" t="s">
        <v>1329</v>
      </c>
      <c r="H804" s="162" t="s">
        <v>1454</v>
      </c>
      <c r="I804" s="163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8" t="s">
        <v>433</v>
      </c>
      <c r="O804" s="90" t="s">
        <v>67</v>
      </c>
      <c r="P804" s="90" t="s">
        <v>68</v>
      </c>
      <c r="Q804" s="150">
        <v>46165.0</v>
      </c>
      <c r="R804" s="103" t="s">
        <v>597</v>
      </c>
      <c r="S804" s="150">
        <v>46166.0</v>
      </c>
      <c r="T804" s="103"/>
      <c r="U804" s="90" t="s">
        <v>31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1" t="s">
        <v>1455</v>
      </c>
      <c r="C805" s="82" t="str">
        <f>VLOOKUP($B$7:$B$5000,SUM!$L$6:$L$500,1,FALSE)</f>
        <v>#N/A</v>
      </c>
      <c r="D805" s="160" t="s">
        <v>1318</v>
      </c>
      <c r="E805" s="100" t="s">
        <v>58</v>
      </c>
      <c r="F805" s="84" t="s">
        <v>105</v>
      </c>
      <c r="G805" s="161" t="s">
        <v>1329</v>
      </c>
      <c r="H805" s="162" t="s">
        <v>1456</v>
      </c>
      <c r="I805" s="163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8" t="s">
        <v>433</v>
      </c>
      <c r="O805" s="90" t="s">
        <v>67</v>
      </c>
      <c r="P805" s="90" t="s">
        <v>68</v>
      </c>
      <c r="Q805" s="150">
        <v>46161.0</v>
      </c>
      <c r="R805" s="103" t="s">
        <v>597</v>
      </c>
      <c r="S805" s="104">
        <v>46166.0</v>
      </c>
      <c r="T805" s="103"/>
      <c r="U805" s="90" t="s">
        <v>31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1" t="s">
        <v>1458</v>
      </c>
      <c r="C806" s="82" t="str">
        <f>VLOOKUP($B$7:$B$5000,SUM!$L$6:$L$500,1,FALSE)</f>
        <v>#N/A</v>
      </c>
      <c r="D806" s="160" t="s">
        <v>1318</v>
      </c>
      <c r="E806" s="100" t="s">
        <v>58</v>
      </c>
      <c r="F806" s="84" t="s">
        <v>105</v>
      </c>
      <c r="G806" s="161" t="s">
        <v>1329</v>
      </c>
      <c r="H806" s="162" t="s">
        <v>1459</v>
      </c>
      <c r="I806" s="163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8" t="s">
        <v>433</v>
      </c>
      <c r="O806" s="90" t="s">
        <v>67</v>
      </c>
      <c r="P806" s="90" t="s">
        <v>68</v>
      </c>
      <c r="Q806" s="150">
        <v>46165.0</v>
      </c>
      <c r="R806" s="103" t="s">
        <v>597</v>
      </c>
      <c r="S806" s="150">
        <v>46166.0</v>
      </c>
      <c r="T806" s="103"/>
      <c r="U806" s="90" t="s">
        <v>31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1" t="s">
        <v>1460</v>
      </c>
      <c r="C807" s="82" t="str">
        <f>VLOOKUP($B$7:$B$5000,SUM!$L$6:$L$500,1,FALSE)</f>
        <v>#N/A</v>
      </c>
      <c r="D807" s="160" t="s">
        <v>1318</v>
      </c>
      <c r="E807" s="100" t="s">
        <v>58</v>
      </c>
      <c r="F807" s="84" t="s">
        <v>105</v>
      </c>
      <c r="G807" s="161" t="s">
        <v>1329</v>
      </c>
      <c r="H807" s="162" t="s">
        <v>1461</v>
      </c>
      <c r="I807" s="163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8" t="s">
        <v>433</v>
      </c>
      <c r="O807" s="90" t="s">
        <v>67</v>
      </c>
      <c r="P807" s="90" t="s">
        <v>68</v>
      </c>
      <c r="Q807" s="150">
        <v>46165.0</v>
      </c>
      <c r="R807" s="103" t="s">
        <v>597</v>
      </c>
      <c r="S807" s="150">
        <v>46166.0</v>
      </c>
      <c r="T807" s="103"/>
      <c r="U807" s="90" t="s">
        <v>31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1" t="s">
        <v>1462</v>
      </c>
      <c r="C808" s="82" t="str">
        <f>VLOOKUP($B$7:$B$5000,SUM!$L$6:$L$500,1,FALSE)</f>
        <v>#N/A</v>
      </c>
      <c r="D808" s="160" t="s">
        <v>1318</v>
      </c>
      <c r="E808" s="100" t="s">
        <v>58</v>
      </c>
      <c r="F808" s="84" t="s">
        <v>105</v>
      </c>
      <c r="G808" s="161" t="s">
        <v>1329</v>
      </c>
      <c r="H808" s="162" t="s">
        <v>1463</v>
      </c>
      <c r="I808" s="163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8" t="s">
        <v>433</v>
      </c>
      <c r="O808" s="90" t="s">
        <v>67</v>
      </c>
      <c r="P808" s="90" t="s">
        <v>68</v>
      </c>
      <c r="Q808" s="150">
        <v>46165.0</v>
      </c>
      <c r="R808" s="103" t="s">
        <v>597</v>
      </c>
      <c r="S808" s="150">
        <v>46166.0</v>
      </c>
      <c r="T808" s="103"/>
      <c r="U808" s="90" t="s">
        <v>31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1" t="s">
        <v>1464</v>
      </c>
      <c r="C809" s="82" t="str">
        <f>VLOOKUP($B$7:$B$5000,SUM!$L$6:$L$500,1,FALSE)</f>
        <v>#N/A</v>
      </c>
      <c r="D809" s="160" t="s">
        <v>1318</v>
      </c>
      <c r="E809" s="100" t="s">
        <v>58</v>
      </c>
      <c r="F809" s="84" t="s">
        <v>105</v>
      </c>
      <c r="G809" s="161" t="s">
        <v>1329</v>
      </c>
      <c r="H809" s="162" t="s">
        <v>1465</v>
      </c>
      <c r="I809" s="163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8" t="s">
        <v>433</v>
      </c>
      <c r="O809" s="90" t="s">
        <v>67</v>
      </c>
      <c r="P809" s="90" t="s">
        <v>68</v>
      </c>
      <c r="Q809" s="150">
        <v>46165.0</v>
      </c>
      <c r="R809" s="103" t="s">
        <v>597</v>
      </c>
      <c r="S809" s="150">
        <v>46166.0</v>
      </c>
      <c r="T809" s="103"/>
      <c r="U809" s="90" t="s">
        <v>31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1" t="s">
        <v>1466</v>
      </c>
      <c r="C810" s="82" t="str">
        <f>VLOOKUP($B$7:$B$5000,SUM!$L$6:$L$500,1,FALSE)</f>
        <v>#N/A</v>
      </c>
      <c r="D810" s="160" t="s">
        <v>1318</v>
      </c>
      <c r="E810" s="100" t="s">
        <v>58</v>
      </c>
      <c r="F810" s="84" t="s">
        <v>105</v>
      </c>
      <c r="G810" s="161" t="s">
        <v>1329</v>
      </c>
      <c r="H810" s="162" t="s">
        <v>1467</v>
      </c>
      <c r="I810" s="163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8" t="s">
        <v>433</v>
      </c>
      <c r="O810" s="90" t="s">
        <v>67</v>
      </c>
      <c r="P810" s="90" t="s">
        <v>68</v>
      </c>
      <c r="Q810" s="150">
        <v>46165.0</v>
      </c>
      <c r="R810" s="103" t="s">
        <v>597</v>
      </c>
      <c r="S810" s="150">
        <v>46166.0</v>
      </c>
      <c r="T810" s="103"/>
      <c r="U810" s="90" t="s">
        <v>31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1" t="s">
        <v>1468</v>
      </c>
      <c r="C811" s="82" t="str">
        <f>VLOOKUP($B$7:$B$5000,SUM!$L$6:$L$500,1,FALSE)</f>
        <v>#N/A</v>
      </c>
      <c r="D811" s="160" t="s">
        <v>1318</v>
      </c>
      <c r="E811" s="100" t="s">
        <v>58</v>
      </c>
      <c r="F811" s="84" t="s">
        <v>105</v>
      </c>
      <c r="G811" s="161" t="s">
        <v>1329</v>
      </c>
      <c r="H811" s="162" t="s">
        <v>1469</v>
      </c>
      <c r="I811" s="163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8" t="s">
        <v>433</v>
      </c>
      <c r="O811" s="90" t="s">
        <v>67</v>
      </c>
      <c r="P811" s="90" t="s">
        <v>68</v>
      </c>
      <c r="Q811" s="150">
        <v>46165.0</v>
      </c>
      <c r="R811" s="103" t="s">
        <v>597</v>
      </c>
      <c r="S811" s="150">
        <v>46166.0</v>
      </c>
      <c r="T811" s="103"/>
      <c r="U811" s="90" t="s">
        <v>31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1" t="s">
        <v>1470</v>
      </c>
      <c r="C812" s="82" t="str">
        <f>VLOOKUP($B$7:$B$5000,SUM!$L$6:$L$500,1,FALSE)</f>
        <v>#N/A</v>
      </c>
      <c r="D812" s="160" t="s">
        <v>1318</v>
      </c>
      <c r="E812" s="100" t="s">
        <v>58</v>
      </c>
      <c r="F812" s="84" t="s">
        <v>105</v>
      </c>
      <c r="G812" s="161" t="s">
        <v>1329</v>
      </c>
      <c r="H812" s="162" t="s">
        <v>1471</v>
      </c>
      <c r="I812" s="163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8" t="s">
        <v>433</v>
      </c>
      <c r="O812" s="90" t="s">
        <v>67</v>
      </c>
      <c r="P812" s="90" t="s">
        <v>68</v>
      </c>
      <c r="Q812" s="150">
        <v>46165.0</v>
      </c>
      <c r="R812" s="103" t="s">
        <v>597</v>
      </c>
      <c r="S812" s="150">
        <v>46166.0</v>
      </c>
      <c r="T812" s="103"/>
      <c r="U812" s="90" t="s">
        <v>31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1" t="s">
        <v>1472</v>
      </c>
      <c r="C813" s="82" t="str">
        <f>VLOOKUP($B$7:$B$5000,SUM!$L$6:$L$500,1,FALSE)</f>
        <v>#N/A</v>
      </c>
      <c r="D813" s="160" t="s">
        <v>1318</v>
      </c>
      <c r="E813" s="100" t="s">
        <v>58</v>
      </c>
      <c r="F813" s="84" t="s">
        <v>105</v>
      </c>
      <c r="G813" s="161" t="s">
        <v>1329</v>
      </c>
      <c r="H813" s="162" t="s">
        <v>1473</v>
      </c>
      <c r="I813" s="163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8" t="s">
        <v>433</v>
      </c>
      <c r="O813" s="90" t="s">
        <v>67</v>
      </c>
      <c r="P813" s="90" t="s">
        <v>68</v>
      </c>
      <c r="Q813" s="150">
        <v>46165.0</v>
      </c>
      <c r="R813" s="103" t="s">
        <v>597</v>
      </c>
      <c r="S813" s="150">
        <v>46166.0</v>
      </c>
      <c r="T813" s="103"/>
      <c r="U813" s="90" t="s">
        <v>31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1" t="s">
        <v>1474</v>
      </c>
      <c r="C814" s="82" t="str">
        <f>VLOOKUP($B$7:$B$5000,SUM!$L$6:$L$500,1,FALSE)</f>
        <v>#N/A</v>
      </c>
      <c r="D814" s="160" t="s">
        <v>1318</v>
      </c>
      <c r="E814" s="100" t="s">
        <v>58</v>
      </c>
      <c r="F814" s="84" t="s">
        <v>105</v>
      </c>
      <c r="G814" s="161" t="s">
        <v>1329</v>
      </c>
      <c r="H814" s="162" t="s">
        <v>1475</v>
      </c>
      <c r="I814" s="163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8" t="s">
        <v>433</v>
      </c>
      <c r="O814" s="90" t="s">
        <v>67</v>
      </c>
      <c r="P814" s="90" t="s">
        <v>68</v>
      </c>
      <c r="Q814" s="150">
        <v>46165.0</v>
      </c>
      <c r="R814" s="103" t="s">
        <v>597</v>
      </c>
      <c r="S814" s="150">
        <v>46166.0</v>
      </c>
      <c r="T814" s="103"/>
      <c r="U814" s="90" t="s">
        <v>31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1" t="s">
        <v>1476</v>
      </c>
      <c r="C815" s="82" t="str">
        <f>VLOOKUP($B$7:$B$5000,SUM!$L$6:$L$500,1,FALSE)</f>
        <v>#N/A</v>
      </c>
      <c r="D815" s="160" t="s">
        <v>1318</v>
      </c>
      <c r="E815" s="100" t="s">
        <v>58</v>
      </c>
      <c r="F815" s="84" t="s">
        <v>105</v>
      </c>
      <c r="G815" s="161" t="s">
        <v>1329</v>
      </c>
      <c r="H815" s="162" t="s">
        <v>1477</v>
      </c>
      <c r="I815" s="163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8" t="s">
        <v>433</v>
      </c>
      <c r="O815" s="90" t="s">
        <v>67</v>
      </c>
      <c r="P815" s="90" t="s">
        <v>68</v>
      </c>
      <c r="Q815" s="150">
        <v>46165.0</v>
      </c>
      <c r="R815" s="103" t="s">
        <v>597</v>
      </c>
      <c r="S815" s="150">
        <v>46166.0</v>
      </c>
      <c r="T815" s="103"/>
      <c r="U815" s="90" t="s">
        <v>31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1" t="s">
        <v>1478</v>
      </c>
      <c r="C816" s="82" t="str">
        <f>VLOOKUP($B$7:$B$5000,SUM!$L$6:$L$500,1,FALSE)</f>
        <v>#N/A</v>
      </c>
      <c r="D816" s="160" t="s">
        <v>1318</v>
      </c>
      <c r="E816" s="100" t="s">
        <v>58</v>
      </c>
      <c r="F816" s="84" t="s">
        <v>105</v>
      </c>
      <c r="G816" s="161" t="s">
        <v>1415</v>
      </c>
      <c r="H816" s="162" t="s">
        <v>1479</v>
      </c>
      <c r="I816" s="163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8" t="s">
        <v>433</v>
      </c>
      <c r="O816" s="90" t="s">
        <v>67</v>
      </c>
      <c r="P816" s="90" t="s">
        <v>68</v>
      </c>
      <c r="Q816" s="150">
        <v>46165.0</v>
      </c>
      <c r="R816" s="103" t="s">
        <v>597</v>
      </c>
      <c r="S816" s="150">
        <v>46166.0</v>
      </c>
      <c r="T816" s="103"/>
      <c r="U816" s="90" t="s">
        <v>31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1" t="s">
        <v>1480</v>
      </c>
      <c r="C817" s="82" t="str">
        <f>VLOOKUP($B$7:$B$5000,SUM!$L$6:$L$500,1,FALSE)</f>
        <v>#N/A</v>
      </c>
      <c r="D817" s="160" t="s">
        <v>1318</v>
      </c>
      <c r="E817" s="100" t="s">
        <v>58</v>
      </c>
      <c r="F817" s="84" t="s">
        <v>105</v>
      </c>
      <c r="G817" s="161" t="s">
        <v>1415</v>
      </c>
      <c r="H817" s="162" t="s">
        <v>1481</v>
      </c>
      <c r="I817" s="163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8" t="s">
        <v>433</v>
      </c>
      <c r="O817" s="90" t="s">
        <v>67</v>
      </c>
      <c r="P817" s="90" t="s">
        <v>68</v>
      </c>
      <c r="Q817" s="150">
        <v>46165.0</v>
      </c>
      <c r="R817" s="103" t="s">
        <v>597</v>
      </c>
      <c r="S817" s="150">
        <v>46166.0</v>
      </c>
      <c r="T817" s="103"/>
      <c r="U817" s="90" t="s">
        <v>31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1" t="s">
        <v>1482</v>
      </c>
      <c r="C818" s="82" t="str">
        <f>VLOOKUP($B$7:$B$5000,SUM!$L$6:$L$500,1,FALSE)</f>
        <v>#N/A</v>
      </c>
      <c r="D818" s="160" t="s">
        <v>1318</v>
      </c>
      <c r="E818" s="100" t="s">
        <v>58</v>
      </c>
      <c r="F818" s="84" t="s">
        <v>105</v>
      </c>
      <c r="G818" s="161" t="s">
        <v>1415</v>
      </c>
      <c r="H818" s="162" t="s">
        <v>1483</v>
      </c>
      <c r="I818" s="163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8" t="s">
        <v>433</v>
      </c>
      <c r="O818" s="90" t="s">
        <v>67</v>
      </c>
      <c r="P818" s="90" t="s">
        <v>68</v>
      </c>
      <c r="Q818" s="150">
        <v>46165.0</v>
      </c>
      <c r="R818" s="103" t="s">
        <v>597</v>
      </c>
      <c r="S818" s="150">
        <v>46166.0</v>
      </c>
      <c r="T818" s="103"/>
      <c r="U818" s="90" t="s">
        <v>31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1" t="s">
        <v>1484</v>
      </c>
      <c r="C819" s="82" t="str">
        <f>VLOOKUP($B$7:$B$5000,SUM!$L$6:$L$500,1,FALSE)</f>
        <v>#N/A</v>
      </c>
      <c r="D819" s="160" t="s">
        <v>1318</v>
      </c>
      <c r="E819" s="100" t="s">
        <v>58</v>
      </c>
      <c r="F819" s="84" t="s">
        <v>105</v>
      </c>
      <c r="G819" s="161" t="s">
        <v>1329</v>
      </c>
      <c r="H819" s="162" t="s">
        <v>1485</v>
      </c>
      <c r="I819" s="163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8" t="s">
        <v>433</v>
      </c>
      <c r="O819" s="90" t="s">
        <v>67</v>
      </c>
      <c r="P819" s="90" t="s">
        <v>68</v>
      </c>
      <c r="Q819" s="150">
        <v>46165.0</v>
      </c>
      <c r="R819" s="103" t="s">
        <v>597</v>
      </c>
      <c r="S819" s="150">
        <v>46166.0</v>
      </c>
      <c r="T819" s="103"/>
      <c r="U819" s="90" t="s">
        <v>31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1" t="s">
        <v>1486</v>
      </c>
      <c r="C820" s="82" t="str">
        <f>VLOOKUP($B$7:$B$5000,SUM!$L$6:$L$500,1,FALSE)</f>
        <v>#N/A</v>
      </c>
      <c r="D820" s="160" t="s">
        <v>1318</v>
      </c>
      <c r="E820" s="100" t="s">
        <v>58</v>
      </c>
      <c r="F820" s="84" t="s">
        <v>105</v>
      </c>
      <c r="G820" s="161" t="s">
        <v>1329</v>
      </c>
      <c r="H820" s="162" t="s">
        <v>1487</v>
      </c>
      <c r="I820" s="163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8" t="s">
        <v>433</v>
      </c>
      <c r="O820" s="90" t="s">
        <v>67</v>
      </c>
      <c r="P820" s="90" t="s">
        <v>68</v>
      </c>
      <c r="Q820" s="150">
        <v>46165.0</v>
      </c>
      <c r="R820" s="103" t="s">
        <v>597</v>
      </c>
      <c r="S820" s="150">
        <v>46166.0</v>
      </c>
      <c r="T820" s="103"/>
      <c r="U820" s="90" t="s">
        <v>31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1" t="s">
        <v>1488</v>
      </c>
      <c r="C821" s="82" t="str">
        <f>VLOOKUP($B$7:$B$5000,SUM!$L$6:$L$500,1,FALSE)</f>
        <v>#N/A</v>
      </c>
      <c r="D821" s="160" t="s">
        <v>1318</v>
      </c>
      <c r="E821" s="100" t="s">
        <v>58</v>
      </c>
      <c r="F821" s="84" t="s">
        <v>105</v>
      </c>
      <c r="G821" s="161" t="s">
        <v>1329</v>
      </c>
      <c r="H821" s="162" t="s">
        <v>1489</v>
      </c>
      <c r="I821" s="163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8" t="s">
        <v>433</v>
      </c>
      <c r="O821" s="90" t="s">
        <v>67</v>
      </c>
      <c r="P821" s="90" t="s">
        <v>68</v>
      </c>
      <c r="Q821" s="150">
        <v>46165.0</v>
      </c>
      <c r="R821" s="103" t="s">
        <v>597</v>
      </c>
      <c r="S821" s="150">
        <v>46166.0</v>
      </c>
      <c r="T821" s="103"/>
      <c r="U821" s="90" t="s">
        <v>31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1" t="s">
        <v>1490</v>
      </c>
      <c r="C822" s="82" t="str">
        <f>VLOOKUP($B$7:$B$5000,SUM!$L$6:$L$500,1,FALSE)</f>
        <v>#N/A</v>
      </c>
      <c r="D822" s="160" t="s">
        <v>1318</v>
      </c>
      <c r="E822" s="100" t="s">
        <v>58</v>
      </c>
      <c r="F822" s="84" t="s">
        <v>105</v>
      </c>
      <c r="G822" s="161" t="s">
        <v>1329</v>
      </c>
      <c r="H822" s="162" t="s">
        <v>1491</v>
      </c>
      <c r="I822" s="163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8" t="s">
        <v>433</v>
      </c>
      <c r="O822" s="90" t="s">
        <v>67</v>
      </c>
      <c r="P822" s="90" t="s">
        <v>68</v>
      </c>
      <c r="Q822" s="150">
        <v>46162.0</v>
      </c>
      <c r="R822" s="103" t="s">
        <v>597</v>
      </c>
      <c r="S822" s="150">
        <v>46166.0</v>
      </c>
      <c r="T822" s="103"/>
      <c r="U822" s="90" t="s">
        <v>31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1" t="s">
        <v>1492</v>
      </c>
      <c r="C823" s="82" t="str">
        <f>VLOOKUP($B$7:$B$5000,SUM!$L$6:$L$500,1,FALSE)</f>
        <v>#N/A</v>
      </c>
      <c r="D823" s="160" t="s">
        <v>1318</v>
      </c>
      <c r="E823" s="100" t="s">
        <v>58</v>
      </c>
      <c r="F823" s="84" t="s">
        <v>105</v>
      </c>
      <c r="G823" s="161" t="s">
        <v>1329</v>
      </c>
      <c r="H823" s="162" t="s">
        <v>1493</v>
      </c>
      <c r="I823" s="163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8" t="s">
        <v>433</v>
      </c>
      <c r="O823" s="90" t="s">
        <v>67</v>
      </c>
      <c r="P823" s="90" t="s">
        <v>68</v>
      </c>
      <c r="Q823" s="150">
        <v>46165.0</v>
      </c>
      <c r="R823" s="103" t="s">
        <v>597</v>
      </c>
      <c r="S823" s="150">
        <v>46166.0</v>
      </c>
      <c r="T823" s="103"/>
      <c r="U823" s="90" t="s">
        <v>31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1" t="s">
        <v>1494</v>
      </c>
      <c r="C824" s="82" t="str">
        <f>VLOOKUP($B$7:$B$5000,SUM!$L$6:$L$500,1,FALSE)</f>
        <v>#N/A</v>
      </c>
      <c r="D824" s="160" t="s">
        <v>1318</v>
      </c>
      <c r="E824" s="100" t="s">
        <v>58</v>
      </c>
      <c r="F824" s="84" t="s">
        <v>105</v>
      </c>
      <c r="G824" s="161" t="s">
        <v>1329</v>
      </c>
      <c r="H824" s="162" t="s">
        <v>1495</v>
      </c>
      <c r="I824" s="163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8" t="s">
        <v>433</v>
      </c>
      <c r="O824" s="90" t="s">
        <v>67</v>
      </c>
      <c r="P824" s="90" t="s">
        <v>68</v>
      </c>
      <c r="Q824" s="150">
        <v>46162.0</v>
      </c>
      <c r="R824" s="103" t="s">
        <v>597</v>
      </c>
      <c r="S824" s="150">
        <v>46166.0</v>
      </c>
      <c r="T824" s="103"/>
      <c r="U824" s="90" t="s">
        <v>31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1" t="s">
        <v>1496</v>
      </c>
      <c r="C825" s="82" t="str">
        <f>VLOOKUP($B$7:$B$5000,SUM!$L$6:$L$500,1,FALSE)</f>
        <v>#N/A</v>
      </c>
      <c r="D825" s="160" t="s">
        <v>1318</v>
      </c>
      <c r="E825" s="100" t="s">
        <v>58</v>
      </c>
      <c r="F825" s="84" t="s">
        <v>105</v>
      </c>
      <c r="G825" s="161" t="s">
        <v>1329</v>
      </c>
      <c r="H825" s="162" t="s">
        <v>1497</v>
      </c>
      <c r="I825" s="163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8" t="s">
        <v>433</v>
      </c>
      <c r="O825" s="90" t="s">
        <v>67</v>
      </c>
      <c r="P825" s="90" t="s">
        <v>68</v>
      </c>
      <c r="Q825" s="150">
        <v>46162.0</v>
      </c>
      <c r="R825" s="103" t="s">
        <v>597</v>
      </c>
      <c r="S825" s="150">
        <v>46166.0</v>
      </c>
      <c r="T825" s="103"/>
      <c r="U825" s="90" t="s">
        <v>31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1" t="s">
        <v>1498</v>
      </c>
      <c r="C826" s="82" t="str">
        <f>VLOOKUP($B$7:$B$5000,SUM!$L$6:$L$500,1,FALSE)</f>
        <v>#N/A</v>
      </c>
      <c r="D826" s="160" t="s">
        <v>1318</v>
      </c>
      <c r="E826" s="100" t="s">
        <v>58</v>
      </c>
      <c r="F826" s="84" t="s">
        <v>105</v>
      </c>
      <c r="G826" s="161" t="s">
        <v>1329</v>
      </c>
      <c r="H826" s="162" t="s">
        <v>1499</v>
      </c>
      <c r="I826" s="163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8" t="s">
        <v>433</v>
      </c>
      <c r="O826" s="90" t="s">
        <v>67</v>
      </c>
      <c r="P826" s="90" t="s">
        <v>68</v>
      </c>
      <c r="Q826" s="150">
        <v>46165.0</v>
      </c>
      <c r="R826" s="103" t="s">
        <v>597</v>
      </c>
      <c r="S826" s="150">
        <v>46166.0</v>
      </c>
      <c r="T826" s="103"/>
      <c r="U826" s="90" t="s">
        <v>31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1" t="s">
        <v>1500</v>
      </c>
      <c r="C827" s="82" t="str">
        <f>VLOOKUP($B$7:$B$5000,SUM!$L$6:$L$500,1,FALSE)</f>
        <v>#N/A</v>
      </c>
      <c r="D827" s="160" t="s">
        <v>1318</v>
      </c>
      <c r="E827" s="100" t="s">
        <v>58</v>
      </c>
      <c r="F827" s="84" t="s">
        <v>105</v>
      </c>
      <c r="G827" s="161" t="s">
        <v>1329</v>
      </c>
      <c r="H827" s="162" t="s">
        <v>1501</v>
      </c>
      <c r="I827" s="163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8" t="s">
        <v>433</v>
      </c>
      <c r="O827" s="90" t="s">
        <v>67</v>
      </c>
      <c r="P827" s="90" t="s">
        <v>68</v>
      </c>
      <c r="Q827" s="150">
        <v>46165.0</v>
      </c>
      <c r="R827" s="103" t="s">
        <v>597</v>
      </c>
      <c r="S827" s="150">
        <v>46166.0</v>
      </c>
      <c r="T827" s="103"/>
      <c r="U827" s="90" t="s">
        <v>31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1" t="s">
        <v>1502</v>
      </c>
      <c r="C828" s="82" t="str">
        <f>VLOOKUP($B$7:$B$5000,SUM!$L$6:$L$500,1,FALSE)</f>
        <v>#N/A</v>
      </c>
      <c r="D828" s="160" t="s">
        <v>1318</v>
      </c>
      <c r="E828" s="100" t="s">
        <v>58</v>
      </c>
      <c r="F828" s="84" t="s">
        <v>105</v>
      </c>
      <c r="G828" s="161" t="s">
        <v>1329</v>
      </c>
      <c r="H828" s="162" t="s">
        <v>1503</v>
      </c>
      <c r="I828" s="163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8" t="s">
        <v>433</v>
      </c>
      <c r="O828" s="90" t="s">
        <v>67</v>
      </c>
      <c r="P828" s="90" t="s">
        <v>68</v>
      </c>
      <c r="Q828" s="150">
        <v>46165.0</v>
      </c>
      <c r="R828" s="103" t="s">
        <v>597</v>
      </c>
      <c r="S828" s="150">
        <v>46166.0</v>
      </c>
      <c r="T828" s="103"/>
      <c r="U828" s="90" t="s">
        <v>31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1" t="s">
        <v>1504</v>
      </c>
      <c r="C829" s="82" t="str">
        <f>VLOOKUP($B$7:$B$5000,SUM!$L$6:$L$500,1,FALSE)</f>
        <v>#N/A</v>
      </c>
      <c r="D829" s="160" t="s">
        <v>1318</v>
      </c>
      <c r="E829" s="100" t="s">
        <v>58</v>
      </c>
      <c r="F829" s="84" t="s">
        <v>105</v>
      </c>
      <c r="G829" s="161" t="s">
        <v>1329</v>
      </c>
      <c r="H829" s="162" t="s">
        <v>1505</v>
      </c>
      <c r="I829" s="163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8" t="s">
        <v>433</v>
      </c>
      <c r="O829" s="90" t="s">
        <v>67</v>
      </c>
      <c r="P829" s="90" t="s">
        <v>68</v>
      </c>
      <c r="Q829" s="150">
        <v>46165.0</v>
      </c>
      <c r="R829" s="103" t="s">
        <v>597</v>
      </c>
      <c r="S829" s="150">
        <v>46166.0</v>
      </c>
      <c r="T829" s="103"/>
      <c r="U829" s="90" t="s">
        <v>31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1" t="s">
        <v>1506</v>
      </c>
      <c r="C830" s="82" t="str">
        <f>VLOOKUP($B$7:$B$5000,SUM!$L$6:$L$500,1,FALSE)</f>
        <v>#N/A</v>
      </c>
      <c r="D830" s="160" t="s">
        <v>1318</v>
      </c>
      <c r="E830" s="100" t="s">
        <v>58</v>
      </c>
      <c r="F830" s="84" t="s">
        <v>105</v>
      </c>
      <c r="G830" s="161" t="s">
        <v>1329</v>
      </c>
      <c r="H830" s="162" t="s">
        <v>1507</v>
      </c>
      <c r="I830" s="163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8" t="s">
        <v>433</v>
      </c>
      <c r="O830" s="90" t="s">
        <v>67</v>
      </c>
      <c r="P830" s="90" t="s">
        <v>68</v>
      </c>
      <c r="Q830" s="150">
        <v>46161.0</v>
      </c>
      <c r="R830" s="103" t="s">
        <v>597</v>
      </c>
      <c r="S830" s="104">
        <v>46166.0</v>
      </c>
      <c r="T830" s="103"/>
      <c r="U830" s="90" t="s">
        <v>31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1" t="s">
        <v>1508</v>
      </c>
      <c r="C831" s="82" t="str">
        <f>VLOOKUP($B$7:$B$5000,SUM!$L$6:$L$500,1,FALSE)</f>
        <v>#N/A</v>
      </c>
      <c r="D831" s="160" t="s">
        <v>1318</v>
      </c>
      <c r="E831" s="100" t="s">
        <v>58</v>
      </c>
      <c r="F831" s="84" t="s">
        <v>105</v>
      </c>
      <c r="G831" s="161" t="s">
        <v>1319</v>
      </c>
      <c r="H831" s="162" t="s">
        <v>1509</v>
      </c>
      <c r="I831" s="163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8" t="s">
        <v>433</v>
      </c>
      <c r="O831" s="90" t="s">
        <v>67</v>
      </c>
      <c r="P831" s="90" t="s">
        <v>68</v>
      </c>
      <c r="Q831" s="150">
        <v>46161.0</v>
      </c>
      <c r="R831" s="103" t="s">
        <v>597</v>
      </c>
      <c r="S831" s="104">
        <v>46166.0</v>
      </c>
      <c r="T831" s="103"/>
      <c r="U831" s="90" t="s">
        <v>31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1" t="s">
        <v>1511</v>
      </c>
      <c r="C832" s="82" t="str">
        <f>VLOOKUP($B$7:$B$5000,SUM!$L$6:$L$500,1,FALSE)</f>
        <v>#N/A</v>
      </c>
      <c r="D832" s="160" t="s">
        <v>1318</v>
      </c>
      <c r="E832" s="100" t="s">
        <v>58</v>
      </c>
      <c r="F832" s="84" t="s">
        <v>105</v>
      </c>
      <c r="G832" s="161" t="s">
        <v>1319</v>
      </c>
      <c r="H832" s="162" t="s">
        <v>1512</v>
      </c>
      <c r="I832" s="163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8" t="s">
        <v>433</v>
      </c>
      <c r="O832" s="90" t="s">
        <v>67</v>
      </c>
      <c r="P832" s="90" t="s">
        <v>68</v>
      </c>
      <c r="Q832" s="150">
        <v>46161.0</v>
      </c>
      <c r="R832" s="103" t="s">
        <v>597</v>
      </c>
      <c r="S832" s="104">
        <v>46166.0</v>
      </c>
      <c r="T832" s="103"/>
      <c r="U832" s="90" t="s">
        <v>31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1" t="s">
        <v>1513</v>
      </c>
      <c r="C833" s="82" t="str">
        <f>VLOOKUP($B$7:$B$5000,SUM!$L$6:$L$500,1,FALSE)</f>
        <v>#N/A</v>
      </c>
      <c r="D833" s="160" t="s">
        <v>1318</v>
      </c>
      <c r="E833" s="100" t="s">
        <v>58</v>
      </c>
      <c r="F833" s="84" t="s">
        <v>105</v>
      </c>
      <c r="G833" s="161" t="s">
        <v>1319</v>
      </c>
      <c r="H833" s="162" t="s">
        <v>1514</v>
      </c>
      <c r="I833" s="163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8" t="s">
        <v>433</v>
      </c>
      <c r="O833" s="90" t="s">
        <v>67</v>
      </c>
      <c r="P833" s="90" t="s">
        <v>68</v>
      </c>
      <c r="Q833" s="150">
        <v>46161.0</v>
      </c>
      <c r="R833" s="103" t="s">
        <v>597</v>
      </c>
      <c r="S833" s="104">
        <v>46166.0</v>
      </c>
      <c r="T833" s="103"/>
      <c r="U833" s="90" t="s">
        <v>31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1" t="s">
        <v>1515</v>
      </c>
      <c r="C834" s="82" t="str">
        <f>VLOOKUP($B$7:$B$5000,SUM!$L$6:$L$500,1,FALSE)</f>
        <v>#N/A</v>
      </c>
      <c r="D834" s="160" t="s">
        <v>1318</v>
      </c>
      <c r="E834" s="100" t="s">
        <v>58</v>
      </c>
      <c r="F834" s="84" t="s">
        <v>105</v>
      </c>
      <c r="G834" s="161" t="s">
        <v>1319</v>
      </c>
      <c r="H834" s="162" t="s">
        <v>1516</v>
      </c>
      <c r="I834" s="163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8" t="s">
        <v>433</v>
      </c>
      <c r="O834" s="90" t="s">
        <v>67</v>
      </c>
      <c r="P834" s="90" t="s">
        <v>68</v>
      </c>
      <c r="Q834" s="150">
        <v>46161.0</v>
      </c>
      <c r="R834" s="103" t="s">
        <v>597</v>
      </c>
      <c r="S834" s="104">
        <v>46166.0</v>
      </c>
      <c r="T834" s="103"/>
      <c r="U834" s="90" t="s">
        <v>31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1" t="s">
        <v>1517</v>
      </c>
      <c r="C835" s="82" t="str">
        <f>VLOOKUP($B$7:$B$5000,SUM!$L$6:$L$500,1,FALSE)</f>
        <v>#N/A</v>
      </c>
      <c r="D835" s="160" t="s">
        <v>1318</v>
      </c>
      <c r="E835" s="100" t="s">
        <v>58</v>
      </c>
      <c r="F835" s="84" t="s">
        <v>105</v>
      </c>
      <c r="G835" s="161" t="s">
        <v>1319</v>
      </c>
      <c r="H835" s="162" t="s">
        <v>1518</v>
      </c>
      <c r="I835" s="163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8" t="s">
        <v>433</v>
      </c>
      <c r="O835" s="90" t="s">
        <v>67</v>
      </c>
      <c r="P835" s="90" t="s">
        <v>68</v>
      </c>
      <c r="Q835" s="150">
        <v>46161.0</v>
      </c>
      <c r="R835" s="103" t="s">
        <v>597</v>
      </c>
      <c r="S835" s="104">
        <v>46166.0</v>
      </c>
      <c r="T835" s="103"/>
      <c r="U835" s="90" t="s">
        <v>31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1" t="s">
        <v>1519</v>
      </c>
      <c r="C836" s="82" t="str">
        <f>VLOOKUP($B$7:$B$5000,SUM!$L$6:$L$500,1,FALSE)</f>
        <v>#N/A</v>
      </c>
      <c r="D836" s="160" t="s">
        <v>1318</v>
      </c>
      <c r="E836" s="100" t="s">
        <v>58</v>
      </c>
      <c r="F836" s="84" t="s">
        <v>105</v>
      </c>
      <c r="G836" s="161" t="s">
        <v>1319</v>
      </c>
      <c r="H836" s="162" t="s">
        <v>1520</v>
      </c>
      <c r="I836" s="163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8" t="s">
        <v>433</v>
      </c>
      <c r="O836" s="90" t="s">
        <v>67</v>
      </c>
      <c r="P836" s="90" t="s">
        <v>68</v>
      </c>
      <c r="Q836" s="150">
        <v>46161.0</v>
      </c>
      <c r="R836" s="103" t="s">
        <v>597</v>
      </c>
      <c r="S836" s="104">
        <v>46166.0</v>
      </c>
      <c r="T836" s="103"/>
      <c r="U836" s="90" t="s">
        <v>31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1" t="s">
        <v>1521</v>
      </c>
      <c r="C837" s="82" t="str">
        <f>VLOOKUP($B$7:$B$5000,SUM!$L$6:$L$500,1,FALSE)</f>
        <v>#N/A</v>
      </c>
      <c r="D837" s="160" t="s">
        <v>1318</v>
      </c>
      <c r="E837" s="100" t="s">
        <v>58</v>
      </c>
      <c r="F837" s="84" t="s">
        <v>105</v>
      </c>
      <c r="G837" s="161" t="s">
        <v>1319</v>
      </c>
      <c r="H837" s="162" t="s">
        <v>1522</v>
      </c>
      <c r="I837" s="163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8" t="s">
        <v>433</v>
      </c>
      <c r="O837" s="90" t="s">
        <v>67</v>
      </c>
      <c r="P837" s="90" t="s">
        <v>68</v>
      </c>
      <c r="Q837" s="150">
        <v>46161.0</v>
      </c>
      <c r="R837" s="103" t="s">
        <v>597</v>
      </c>
      <c r="S837" s="104">
        <v>46166.0</v>
      </c>
      <c r="T837" s="103"/>
      <c r="U837" s="90" t="s">
        <v>31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1" t="s">
        <v>1523</v>
      </c>
      <c r="C838" s="82" t="str">
        <f>VLOOKUP($B$7:$B$5000,SUM!$L$6:$L$500,1,FALSE)</f>
        <v>#N/A</v>
      </c>
      <c r="D838" s="160" t="s">
        <v>1318</v>
      </c>
      <c r="E838" s="100" t="s">
        <v>58</v>
      </c>
      <c r="F838" s="84" t="s">
        <v>105</v>
      </c>
      <c r="G838" s="161" t="s">
        <v>1319</v>
      </c>
      <c r="H838" s="162" t="s">
        <v>1524</v>
      </c>
      <c r="I838" s="163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8" t="s">
        <v>433</v>
      </c>
      <c r="O838" s="90" t="s">
        <v>67</v>
      </c>
      <c r="P838" s="90" t="s">
        <v>68</v>
      </c>
      <c r="Q838" s="150">
        <v>46165.0</v>
      </c>
      <c r="R838" s="103" t="s">
        <v>597</v>
      </c>
      <c r="S838" s="150">
        <v>46166.0</v>
      </c>
      <c r="T838" s="103"/>
      <c r="U838" s="90" t="s">
        <v>31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1" t="s">
        <v>1525</v>
      </c>
      <c r="C839" s="82" t="str">
        <f>VLOOKUP($B$7:$B$5000,SUM!$L$6:$L$500,1,FALSE)</f>
        <v>#N/A</v>
      </c>
      <c r="D839" s="160" t="s">
        <v>1318</v>
      </c>
      <c r="E839" s="100" t="s">
        <v>58</v>
      </c>
      <c r="F839" s="84" t="s">
        <v>105</v>
      </c>
      <c r="G839" s="161" t="s">
        <v>1319</v>
      </c>
      <c r="H839" s="162" t="s">
        <v>1526</v>
      </c>
      <c r="I839" s="163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8" t="s">
        <v>433</v>
      </c>
      <c r="O839" s="90" t="s">
        <v>67</v>
      </c>
      <c r="P839" s="90" t="s">
        <v>68</v>
      </c>
      <c r="Q839" s="150">
        <v>46161.0</v>
      </c>
      <c r="R839" s="103" t="s">
        <v>597</v>
      </c>
      <c r="S839" s="104">
        <v>46166.0</v>
      </c>
      <c r="T839" s="103"/>
      <c r="U839" s="90" t="s">
        <v>31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1" t="s">
        <v>1528</v>
      </c>
      <c r="C840" s="82" t="str">
        <f>VLOOKUP($B$7:$B$5000,SUM!$L$6:$L$500,1,FALSE)</f>
        <v>#N/A</v>
      </c>
      <c r="D840" s="160" t="s">
        <v>1318</v>
      </c>
      <c r="E840" s="100" t="s">
        <v>58</v>
      </c>
      <c r="F840" s="84" t="s">
        <v>105</v>
      </c>
      <c r="G840" s="161" t="s">
        <v>1319</v>
      </c>
      <c r="H840" s="162" t="s">
        <v>1529</v>
      </c>
      <c r="I840" s="163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8" t="s">
        <v>433</v>
      </c>
      <c r="O840" s="90" t="s">
        <v>67</v>
      </c>
      <c r="P840" s="90" t="s">
        <v>68</v>
      </c>
      <c r="Q840" s="150">
        <v>46161.0</v>
      </c>
      <c r="R840" s="103" t="s">
        <v>597</v>
      </c>
      <c r="S840" s="104">
        <v>46166.0</v>
      </c>
      <c r="T840" s="103"/>
      <c r="U840" s="90" t="s">
        <v>31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1" t="s">
        <v>1530</v>
      </c>
      <c r="C841" s="82" t="str">
        <f>VLOOKUP($B$7:$B$5000,SUM!$L$6:$L$500,1,FALSE)</f>
        <v>#N/A</v>
      </c>
      <c r="D841" s="160" t="s">
        <v>1318</v>
      </c>
      <c r="E841" s="100" t="s">
        <v>58</v>
      </c>
      <c r="F841" s="84" t="s">
        <v>105</v>
      </c>
      <c r="G841" s="161" t="s">
        <v>1319</v>
      </c>
      <c r="H841" s="162" t="s">
        <v>1531</v>
      </c>
      <c r="I841" s="163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8" t="s">
        <v>433</v>
      </c>
      <c r="O841" s="90" t="s">
        <v>67</v>
      </c>
      <c r="P841" s="90" t="s">
        <v>68</v>
      </c>
      <c r="Q841" s="150">
        <v>46165.0</v>
      </c>
      <c r="R841" s="103" t="s">
        <v>597</v>
      </c>
      <c r="S841" s="150">
        <v>46166.0</v>
      </c>
      <c r="T841" s="103"/>
      <c r="U841" s="90" t="s">
        <v>31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1" t="s">
        <v>1532</v>
      </c>
      <c r="C842" s="82" t="str">
        <f>VLOOKUP($B$7:$B$5000,SUM!$L$6:$L$500,1,FALSE)</f>
        <v>#N/A</v>
      </c>
      <c r="D842" s="160" t="s">
        <v>1318</v>
      </c>
      <c r="E842" s="100" t="s">
        <v>58</v>
      </c>
      <c r="F842" s="84" t="s">
        <v>105</v>
      </c>
      <c r="G842" s="161" t="s">
        <v>1319</v>
      </c>
      <c r="H842" s="162" t="s">
        <v>1533</v>
      </c>
      <c r="I842" s="163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8" t="s">
        <v>433</v>
      </c>
      <c r="O842" s="90" t="s">
        <v>67</v>
      </c>
      <c r="P842" s="90" t="s">
        <v>68</v>
      </c>
      <c r="Q842" s="150">
        <v>46161.0</v>
      </c>
      <c r="R842" s="103" t="s">
        <v>597</v>
      </c>
      <c r="S842" s="104">
        <v>46166.0</v>
      </c>
      <c r="T842" s="103"/>
      <c r="U842" s="90" t="s">
        <v>31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1" t="s">
        <v>1534</v>
      </c>
      <c r="C843" s="82" t="str">
        <f>VLOOKUP($B$7:$B$5000,SUM!$L$6:$L$500,1,FALSE)</f>
        <v>#N/A</v>
      </c>
      <c r="D843" s="160" t="s">
        <v>1318</v>
      </c>
      <c r="E843" s="100" t="s">
        <v>58</v>
      </c>
      <c r="F843" s="84" t="s">
        <v>105</v>
      </c>
      <c r="G843" s="161" t="s">
        <v>1319</v>
      </c>
      <c r="H843" s="162" t="s">
        <v>1535</v>
      </c>
      <c r="I843" s="163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8" t="s">
        <v>433</v>
      </c>
      <c r="O843" s="90" t="s">
        <v>67</v>
      </c>
      <c r="P843" s="90" t="s">
        <v>68</v>
      </c>
      <c r="Q843" s="150">
        <v>46161.0</v>
      </c>
      <c r="R843" s="103" t="s">
        <v>597</v>
      </c>
      <c r="S843" s="104">
        <v>46166.0</v>
      </c>
      <c r="T843" s="103"/>
      <c r="U843" s="90" t="s">
        <v>31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1" t="s">
        <v>1536</v>
      </c>
      <c r="C844" s="82" t="str">
        <f>VLOOKUP($B$7:$B$5000,SUM!$L$6:$L$500,1,FALSE)</f>
        <v>#N/A</v>
      </c>
      <c r="D844" s="160" t="s">
        <v>1318</v>
      </c>
      <c r="E844" s="100" t="s">
        <v>58</v>
      </c>
      <c r="F844" s="84" t="s">
        <v>105</v>
      </c>
      <c r="G844" s="161" t="s">
        <v>1319</v>
      </c>
      <c r="H844" s="162" t="s">
        <v>1537</v>
      </c>
      <c r="I844" s="163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8" t="s">
        <v>433</v>
      </c>
      <c r="O844" s="90" t="s">
        <v>67</v>
      </c>
      <c r="P844" s="90" t="s">
        <v>68</v>
      </c>
      <c r="Q844" s="150">
        <v>46161.0</v>
      </c>
      <c r="R844" s="103" t="s">
        <v>597</v>
      </c>
      <c r="S844" s="104">
        <v>46166.0</v>
      </c>
      <c r="T844" s="103"/>
      <c r="U844" s="90" t="s">
        <v>31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1" t="s">
        <v>1538</v>
      </c>
      <c r="C845" s="82" t="str">
        <f>VLOOKUP($B$7:$B$5000,SUM!$L$6:$L$500,1,FALSE)</f>
        <v>#N/A</v>
      </c>
      <c r="D845" s="160" t="s">
        <v>1318</v>
      </c>
      <c r="E845" s="100" t="s">
        <v>58</v>
      </c>
      <c r="F845" s="84" t="s">
        <v>105</v>
      </c>
      <c r="G845" s="161" t="s">
        <v>1319</v>
      </c>
      <c r="H845" s="162" t="s">
        <v>1539</v>
      </c>
      <c r="I845" s="163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8" t="s">
        <v>433</v>
      </c>
      <c r="O845" s="90" t="s">
        <v>67</v>
      </c>
      <c r="P845" s="90" t="s">
        <v>68</v>
      </c>
      <c r="Q845" s="150">
        <v>46161.0</v>
      </c>
      <c r="R845" s="103" t="s">
        <v>597</v>
      </c>
      <c r="S845" s="104">
        <v>46166.0</v>
      </c>
      <c r="T845" s="103"/>
      <c r="U845" s="90" t="s">
        <v>31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1" t="s">
        <v>1540</v>
      </c>
      <c r="C846" s="82" t="str">
        <f>VLOOKUP($B$7:$B$5000,SUM!$L$6:$L$500,1,FALSE)</f>
        <v>#N/A</v>
      </c>
      <c r="D846" s="160" t="s">
        <v>1318</v>
      </c>
      <c r="E846" s="100" t="s">
        <v>58</v>
      </c>
      <c r="F846" s="84" t="s">
        <v>105</v>
      </c>
      <c r="G846" s="161" t="s">
        <v>1329</v>
      </c>
      <c r="H846" s="162" t="s">
        <v>1541</v>
      </c>
      <c r="I846" s="163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8" t="s">
        <v>433</v>
      </c>
      <c r="O846" s="90" t="s">
        <v>67</v>
      </c>
      <c r="P846" s="90" t="s">
        <v>68</v>
      </c>
      <c r="Q846" s="150">
        <v>46161.0</v>
      </c>
      <c r="R846" s="103" t="s">
        <v>597</v>
      </c>
      <c r="S846" s="104">
        <v>46166.0</v>
      </c>
      <c r="T846" s="103"/>
      <c r="U846" s="90" t="s">
        <v>31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1" t="s">
        <v>1542</v>
      </c>
      <c r="C847" s="82" t="str">
        <f>VLOOKUP($B$7:$B$5000,SUM!$L$6:$L$500,1,FALSE)</f>
        <v>#N/A</v>
      </c>
      <c r="D847" s="160" t="s">
        <v>1318</v>
      </c>
      <c r="E847" s="100" t="s">
        <v>58</v>
      </c>
      <c r="F847" s="84" t="s">
        <v>105</v>
      </c>
      <c r="G847" s="161" t="s">
        <v>1329</v>
      </c>
      <c r="H847" s="162" t="s">
        <v>1543</v>
      </c>
      <c r="I847" s="163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8" t="s">
        <v>433</v>
      </c>
      <c r="O847" s="90" t="s">
        <v>67</v>
      </c>
      <c r="P847" s="90" t="s">
        <v>68</v>
      </c>
      <c r="Q847" s="150">
        <v>46161.0</v>
      </c>
      <c r="R847" s="103" t="s">
        <v>597</v>
      </c>
      <c r="S847" s="104">
        <v>46166.0</v>
      </c>
      <c r="T847" s="103"/>
      <c r="U847" s="90" t="s">
        <v>31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1" t="s">
        <v>1545</v>
      </c>
      <c r="C848" s="82" t="str">
        <f>VLOOKUP($B$7:$B$5000,SUM!$L$6:$L$500,1,FALSE)</f>
        <v>#N/A</v>
      </c>
      <c r="D848" s="160" t="s">
        <v>1318</v>
      </c>
      <c r="E848" s="100" t="s">
        <v>58</v>
      </c>
      <c r="F848" s="84" t="s">
        <v>105</v>
      </c>
      <c r="G848" s="161" t="s">
        <v>1329</v>
      </c>
      <c r="H848" s="162" t="s">
        <v>1546</v>
      </c>
      <c r="I848" s="163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8" t="s">
        <v>433</v>
      </c>
      <c r="O848" s="90" t="s">
        <v>67</v>
      </c>
      <c r="P848" s="90" t="s">
        <v>68</v>
      </c>
      <c r="Q848" s="150">
        <v>46161.0</v>
      </c>
      <c r="R848" s="103" t="s">
        <v>597</v>
      </c>
      <c r="S848" s="104">
        <v>46166.0</v>
      </c>
      <c r="T848" s="103"/>
      <c r="U848" s="90" t="s">
        <v>31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1" t="s">
        <v>1547</v>
      </c>
      <c r="C849" s="82" t="str">
        <f>VLOOKUP($B$7:$B$5000,SUM!$L$6:$L$500,1,FALSE)</f>
        <v>#N/A</v>
      </c>
      <c r="D849" s="160" t="s">
        <v>1318</v>
      </c>
      <c r="E849" s="100" t="s">
        <v>58</v>
      </c>
      <c r="F849" s="84" t="s">
        <v>105</v>
      </c>
      <c r="G849" s="161" t="s">
        <v>1329</v>
      </c>
      <c r="H849" s="162" t="s">
        <v>1548</v>
      </c>
      <c r="I849" s="163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8" t="s">
        <v>433</v>
      </c>
      <c r="O849" s="90" t="s">
        <v>67</v>
      </c>
      <c r="P849" s="90" t="s">
        <v>68</v>
      </c>
      <c r="Q849" s="150">
        <v>46161.0</v>
      </c>
      <c r="R849" s="103" t="s">
        <v>597</v>
      </c>
      <c r="S849" s="104">
        <v>46166.0</v>
      </c>
      <c r="T849" s="103"/>
      <c r="U849" s="90" t="s">
        <v>31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1" t="s">
        <v>1549</v>
      </c>
      <c r="C850" s="82" t="str">
        <f>VLOOKUP($B$7:$B$5000,SUM!$L$6:$L$500,1,FALSE)</f>
        <v>#N/A</v>
      </c>
      <c r="D850" s="160" t="s">
        <v>1318</v>
      </c>
      <c r="E850" s="100" t="s">
        <v>58</v>
      </c>
      <c r="F850" s="84" t="s">
        <v>105</v>
      </c>
      <c r="G850" s="161" t="s">
        <v>1329</v>
      </c>
      <c r="H850" s="162" t="s">
        <v>1550</v>
      </c>
      <c r="I850" s="163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8" t="s">
        <v>433</v>
      </c>
      <c r="O850" s="90" t="s">
        <v>67</v>
      </c>
      <c r="P850" s="90" t="s">
        <v>68</v>
      </c>
      <c r="Q850" s="150">
        <v>46161.0</v>
      </c>
      <c r="R850" s="103" t="s">
        <v>597</v>
      </c>
      <c r="S850" s="104">
        <v>46166.0</v>
      </c>
      <c r="T850" s="103"/>
      <c r="U850" s="90" t="s">
        <v>31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1" t="s">
        <v>1551</v>
      </c>
      <c r="C851" s="82" t="str">
        <f>VLOOKUP($B$7:$B$5000,SUM!$L$6:$L$500,1,FALSE)</f>
        <v>#N/A</v>
      </c>
      <c r="D851" s="160" t="s">
        <v>1318</v>
      </c>
      <c r="E851" s="100" t="s">
        <v>58</v>
      </c>
      <c r="F851" s="84" t="s">
        <v>105</v>
      </c>
      <c r="G851" s="161" t="s">
        <v>1329</v>
      </c>
      <c r="H851" s="162" t="s">
        <v>1552</v>
      </c>
      <c r="I851" s="163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8" t="s">
        <v>433</v>
      </c>
      <c r="O851" s="90" t="s">
        <v>67</v>
      </c>
      <c r="P851" s="90" t="s">
        <v>68</v>
      </c>
      <c r="Q851" s="150">
        <v>46161.0</v>
      </c>
      <c r="R851" s="103" t="s">
        <v>597</v>
      </c>
      <c r="S851" s="104">
        <v>46166.0</v>
      </c>
      <c r="T851" s="103"/>
      <c r="U851" s="90" t="s">
        <v>31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1" t="s">
        <v>1553</v>
      </c>
      <c r="C852" s="82" t="str">
        <f>VLOOKUP($B$7:$B$5000,SUM!$L$6:$L$500,1,FALSE)</f>
        <v>#N/A</v>
      </c>
      <c r="D852" s="160" t="s">
        <v>1318</v>
      </c>
      <c r="E852" s="100" t="s">
        <v>58</v>
      </c>
      <c r="F852" s="84" t="s">
        <v>105</v>
      </c>
      <c r="G852" s="161" t="s">
        <v>1329</v>
      </c>
      <c r="H852" s="162" t="s">
        <v>1554</v>
      </c>
      <c r="I852" s="163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8" t="s">
        <v>433</v>
      </c>
      <c r="O852" s="90" t="s">
        <v>67</v>
      </c>
      <c r="P852" s="90" t="s">
        <v>68</v>
      </c>
      <c r="Q852" s="150">
        <v>46161.0</v>
      </c>
      <c r="R852" s="103" t="s">
        <v>597</v>
      </c>
      <c r="S852" s="104">
        <v>46166.0</v>
      </c>
      <c r="T852" s="103"/>
      <c r="U852" s="90" t="s">
        <v>31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1" t="s">
        <v>1555</v>
      </c>
      <c r="C853" s="82" t="str">
        <f>VLOOKUP($B$7:$B$5000,SUM!$L$6:$L$500,1,FALSE)</f>
        <v>#N/A</v>
      </c>
      <c r="D853" s="160" t="s">
        <v>1318</v>
      </c>
      <c r="E853" s="100" t="s">
        <v>58</v>
      </c>
      <c r="F853" s="84" t="s">
        <v>105</v>
      </c>
      <c r="G853" s="161" t="s">
        <v>1329</v>
      </c>
      <c r="H853" s="162" t="s">
        <v>1556</v>
      </c>
      <c r="I853" s="163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8" t="s">
        <v>433</v>
      </c>
      <c r="O853" s="90" t="s">
        <v>67</v>
      </c>
      <c r="P853" s="90" t="s">
        <v>68</v>
      </c>
      <c r="Q853" s="150">
        <v>46161.0</v>
      </c>
      <c r="R853" s="103" t="s">
        <v>597</v>
      </c>
      <c r="S853" s="104">
        <v>46166.0</v>
      </c>
      <c r="T853" s="103"/>
      <c r="U853" s="90" t="s">
        <v>31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1" t="s">
        <v>1557</v>
      </c>
      <c r="C854" s="82" t="str">
        <f>VLOOKUP($B$7:$B$5000,SUM!$L$6:$L$500,1,FALSE)</f>
        <v>#N/A</v>
      </c>
      <c r="D854" s="160" t="s">
        <v>1318</v>
      </c>
      <c r="E854" s="100" t="s">
        <v>58</v>
      </c>
      <c r="F854" s="84" t="s">
        <v>105</v>
      </c>
      <c r="G854" s="161" t="s">
        <v>1329</v>
      </c>
      <c r="H854" s="162" t="s">
        <v>1558</v>
      </c>
      <c r="I854" s="163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8" t="s">
        <v>433</v>
      </c>
      <c r="O854" s="90" t="s">
        <v>67</v>
      </c>
      <c r="P854" s="90" t="s">
        <v>68</v>
      </c>
      <c r="Q854" s="150">
        <v>46161.0</v>
      </c>
      <c r="R854" s="103" t="s">
        <v>597</v>
      </c>
      <c r="S854" s="104">
        <v>46166.0</v>
      </c>
      <c r="T854" s="103"/>
      <c r="U854" s="90" t="s">
        <v>31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1" t="s">
        <v>1559</v>
      </c>
      <c r="C855" s="82" t="str">
        <f>VLOOKUP($B$7:$B$5000,SUM!$L$6:$L$500,1,FALSE)</f>
        <v>#N/A</v>
      </c>
      <c r="D855" s="160" t="s">
        <v>1318</v>
      </c>
      <c r="E855" s="100" t="s">
        <v>58</v>
      </c>
      <c r="F855" s="84" t="s">
        <v>105</v>
      </c>
      <c r="G855" s="161" t="s">
        <v>1415</v>
      </c>
      <c r="H855" s="162" t="s">
        <v>1560</v>
      </c>
      <c r="I855" s="163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8" t="s">
        <v>433</v>
      </c>
      <c r="O855" s="90" t="s">
        <v>67</v>
      </c>
      <c r="P855" s="90" t="s">
        <v>68</v>
      </c>
      <c r="Q855" s="150">
        <v>46161.0</v>
      </c>
      <c r="R855" s="103" t="s">
        <v>597</v>
      </c>
      <c r="S855" s="104">
        <v>46166.0</v>
      </c>
      <c r="T855" s="103"/>
      <c r="U855" s="90" t="s">
        <v>31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1" t="s">
        <v>1562</v>
      </c>
      <c r="C856" s="82" t="str">
        <f>VLOOKUP($B$7:$B$5000,SUM!$L$6:$L$500,1,FALSE)</f>
        <v>#N/A</v>
      </c>
      <c r="D856" s="160" t="s">
        <v>1318</v>
      </c>
      <c r="E856" s="100" t="s">
        <v>58</v>
      </c>
      <c r="F856" s="84" t="s">
        <v>105</v>
      </c>
      <c r="G856" s="161" t="s">
        <v>1415</v>
      </c>
      <c r="H856" s="162" t="s">
        <v>1563</v>
      </c>
      <c r="I856" s="163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8" t="s">
        <v>433</v>
      </c>
      <c r="O856" s="90" t="s">
        <v>67</v>
      </c>
      <c r="P856" s="90" t="s">
        <v>68</v>
      </c>
      <c r="Q856" s="150">
        <v>46161.0</v>
      </c>
      <c r="R856" s="103" t="s">
        <v>597</v>
      </c>
      <c r="S856" s="104">
        <v>46166.0</v>
      </c>
      <c r="T856" s="103"/>
      <c r="U856" s="90" t="s">
        <v>31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1" t="s">
        <v>1564</v>
      </c>
      <c r="C857" s="82" t="str">
        <f>VLOOKUP($B$7:$B$5000,SUM!$L$6:$L$500,1,FALSE)</f>
        <v>#N/A</v>
      </c>
      <c r="D857" s="160" t="s">
        <v>1318</v>
      </c>
      <c r="E857" s="100" t="s">
        <v>58</v>
      </c>
      <c r="F857" s="84" t="s">
        <v>105</v>
      </c>
      <c r="G857" s="161" t="s">
        <v>1415</v>
      </c>
      <c r="H857" s="162" t="s">
        <v>1565</v>
      </c>
      <c r="I857" s="163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8" t="s">
        <v>433</v>
      </c>
      <c r="O857" s="90" t="s">
        <v>67</v>
      </c>
      <c r="P857" s="90" t="s">
        <v>68</v>
      </c>
      <c r="Q857" s="150">
        <v>46161.0</v>
      </c>
      <c r="R857" s="103" t="s">
        <v>597</v>
      </c>
      <c r="S857" s="104">
        <v>46166.0</v>
      </c>
      <c r="T857" s="103"/>
      <c r="U857" s="90" t="s">
        <v>31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1" t="s">
        <v>1566</v>
      </c>
      <c r="C858" s="82" t="str">
        <f>VLOOKUP($B$7:$B$5000,SUM!$L$6:$L$500,1,FALSE)</f>
        <v>#N/A</v>
      </c>
      <c r="D858" s="160" t="s">
        <v>1318</v>
      </c>
      <c r="E858" s="100" t="s">
        <v>58</v>
      </c>
      <c r="F858" s="84" t="s">
        <v>105</v>
      </c>
      <c r="G858" s="161" t="s">
        <v>1567</v>
      </c>
      <c r="H858" s="162" t="s">
        <v>1568</v>
      </c>
      <c r="I858" s="163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8" t="s">
        <v>433</v>
      </c>
      <c r="O858" s="90" t="s">
        <v>67</v>
      </c>
      <c r="P858" s="90" t="s">
        <v>68</v>
      </c>
      <c r="Q858" s="150">
        <v>46161.0</v>
      </c>
      <c r="R858" s="103" t="s">
        <v>597</v>
      </c>
      <c r="S858" s="104">
        <v>46166.0</v>
      </c>
      <c r="T858" s="103"/>
      <c r="U858" s="90" t="s">
        <v>31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1" t="s">
        <v>1570</v>
      </c>
      <c r="C859" s="82" t="str">
        <f>VLOOKUP($B$7:$B$5000,SUM!$L$6:$L$500,1,FALSE)</f>
        <v>#N/A</v>
      </c>
      <c r="D859" s="160" t="s">
        <v>1318</v>
      </c>
      <c r="E859" s="100" t="s">
        <v>58</v>
      </c>
      <c r="F859" s="84" t="s">
        <v>105</v>
      </c>
      <c r="G859" s="161" t="s">
        <v>1567</v>
      </c>
      <c r="H859" s="162" t="s">
        <v>1571</v>
      </c>
      <c r="I859" s="163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8" t="s">
        <v>433</v>
      </c>
      <c r="O859" s="90" t="s">
        <v>67</v>
      </c>
      <c r="P859" s="90" t="s">
        <v>68</v>
      </c>
      <c r="Q859" s="150">
        <v>46161.0</v>
      </c>
      <c r="R859" s="103" t="s">
        <v>597</v>
      </c>
      <c r="S859" s="104">
        <v>46166.0</v>
      </c>
      <c r="T859" s="103"/>
      <c r="U859" s="90" t="s">
        <v>31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1" t="s">
        <v>1572</v>
      </c>
      <c r="C860" s="82" t="str">
        <f>VLOOKUP($B$7:$B$5000,SUM!$L$6:$L$500,1,FALSE)</f>
        <v>#N/A</v>
      </c>
      <c r="D860" s="160" t="s">
        <v>1318</v>
      </c>
      <c r="E860" s="100" t="s">
        <v>58</v>
      </c>
      <c r="F860" s="84" t="s">
        <v>105</v>
      </c>
      <c r="G860" s="161" t="s">
        <v>1567</v>
      </c>
      <c r="H860" s="162" t="s">
        <v>1573</v>
      </c>
      <c r="I860" s="163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8" t="s">
        <v>433</v>
      </c>
      <c r="O860" s="90" t="s">
        <v>67</v>
      </c>
      <c r="P860" s="90" t="s">
        <v>68</v>
      </c>
      <c r="Q860" s="150">
        <v>46161.0</v>
      </c>
      <c r="R860" s="103" t="s">
        <v>597</v>
      </c>
      <c r="S860" s="104">
        <v>46166.0</v>
      </c>
      <c r="T860" s="103"/>
      <c r="U860" s="90" t="s">
        <v>31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1" t="s">
        <v>1574</v>
      </c>
      <c r="C861" s="82" t="str">
        <f>VLOOKUP($B$7:$B$5000,SUM!$L$6:$L$500,1,FALSE)</f>
        <v>#N/A</v>
      </c>
      <c r="D861" s="160" t="s">
        <v>1318</v>
      </c>
      <c r="E861" s="100" t="s">
        <v>58</v>
      </c>
      <c r="F861" s="84" t="s">
        <v>105</v>
      </c>
      <c r="G861" s="161" t="s">
        <v>1567</v>
      </c>
      <c r="H861" s="162" t="s">
        <v>1575</v>
      </c>
      <c r="I861" s="163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8" t="s">
        <v>433</v>
      </c>
      <c r="O861" s="90" t="s">
        <v>67</v>
      </c>
      <c r="P861" s="90" t="s">
        <v>68</v>
      </c>
      <c r="Q861" s="150">
        <v>46161.0</v>
      </c>
      <c r="R861" s="103" t="s">
        <v>597</v>
      </c>
      <c r="S861" s="104">
        <v>46166.0</v>
      </c>
      <c r="T861" s="103"/>
      <c r="U861" s="90" t="s">
        <v>31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1" t="s">
        <v>1576</v>
      </c>
      <c r="C862" s="82" t="str">
        <f>VLOOKUP($B$7:$B$5000,SUM!$L$6:$L$500,1,FALSE)</f>
        <v>#N/A</v>
      </c>
      <c r="D862" s="160" t="s">
        <v>1318</v>
      </c>
      <c r="E862" s="100" t="s">
        <v>58</v>
      </c>
      <c r="F862" s="84" t="s">
        <v>105</v>
      </c>
      <c r="G862" s="161" t="s">
        <v>1567</v>
      </c>
      <c r="H862" s="162" t="s">
        <v>1577</v>
      </c>
      <c r="I862" s="163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8" t="s">
        <v>433</v>
      </c>
      <c r="O862" s="90" t="s">
        <v>67</v>
      </c>
      <c r="P862" s="90" t="s">
        <v>68</v>
      </c>
      <c r="Q862" s="150">
        <v>46161.0</v>
      </c>
      <c r="R862" s="103" t="s">
        <v>597</v>
      </c>
      <c r="S862" s="104">
        <v>46166.0</v>
      </c>
      <c r="T862" s="103"/>
      <c r="U862" s="90" t="s">
        <v>31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1" t="s">
        <v>1578</v>
      </c>
      <c r="C863" s="82" t="str">
        <f>VLOOKUP($B$7:$B$5000,SUM!$L$6:$L$500,1,FALSE)</f>
        <v>#N/A</v>
      </c>
      <c r="D863" s="160" t="s">
        <v>1318</v>
      </c>
      <c r="E863" s="100" t="s">
        <v>58</v>
      </c>
      <c r="F863" s="84" t="s">
        <v>105</v>
      </c>
      <c r="G863" s="161" t="s">
        <v>1329</v>
      </c>
      <c r="H863" s="162" t="s">
        <v>1579</v>
      </c>
      <c r="I863" s="163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8" t="s">
        <v>433</v>
      </c>
      <c r="O863" s="90" t="s">
        <v>67</v>
      </c>
      <c r="P863" s="90" t="s">
        <v>68</v>
      </c>
      <c r="Q863" s="150">
        <v>46162.0</v>
      </c>
      <c r="R863" s="103" t="s">
        <v>597</v>
      </c>
      <c r="S863" s="150">
        <v>46166.0</v>
      </c>
      <c r="T863" s="103"/>
      <c r="U863" s="90" t="s">
        <v>31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1" t="s">
        <v>1580</v>
      </c>
      <c r="C864" s="82" t="str">
        <f>VLOOKUP($B$7:$B$5000,SUM!$L$6:$L$500,1,FALSE)</f>
        <v>#N/A</v>
      </c>
      <c r="D864" s="160" t="s">
        <v>1318</v>
      </c>
      <c r="E864" s="100" t="s">
        <v>58</v>
      </c>
      <c r="F864" s="84" t="s">
        <v>105</v>
      </c>
      <c r="G864" s="161" t="s">
        <v>1329</v>
      </c>
      <c r="H864" s="162" t="s">
        <v>1581</v>
      </c>
      <c r="I864" s="163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8" t="s">
        <v>433</v>
      </c>
      <c r="O864" s="90" t="s">
        <v>67</v>
      </c>
      <c r="P864" s="90" t="s">
        <v>68</v>
      </c>
      <c r="Q864" s="150">
        <v>46162.0</v>
      </c>
      <c r="R864" s="103" t="s">
        <v>597</v>
      </c>
      <c r="S864" s="150">
        <v>46166.0</v>
      </c>
      <c r="T864" s="103"/>
      <c r="U864" s="90" t="s">
        <v>31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1" t="s">
        <v>1582</v>
      </c>
      <c r="C865" s="82" t="str">
        <f>VLOOKUP($B$7:$B$5000,SUM!$L$6:$L$500,1,FALSE)</f>
        <v>#N/A</v>
      </c>
      <c r="D865" s="160" t="s">
        <v>1318</v>
      </c>
      <c r="E865" s="100" t="s">
        <v>58</v>
      </c>
      <c r="F865" s="84" t="s">
        <v>105</v>
      </c>
      <c r="G865" s="161" t="s">
        <v>1319</v>
      </c>
      <c r="H865" s="162" t="s">
        <v>1320</v>
      </c>
      <c r="I865" s="163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8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1" t="s">
        <v>1584</v>
      </c>
      <c r="C866" s="82" t="str">
        <f>VLOOKUP($B$7:$B$5000,SUM!$L$6:$L$500,1,FALSE)</f>
        <v>#N/A</v>
      </c>
      <c r="D866" s="160" t="s">
        <v>1318</v>
      </c>
      <c r="E866" s="100" t="s">
        <v>58</v>
      </c>
      <c r="F866" s="84" t="s">
        <v>105</v>
      </c>
      <c r="G866" s="161" t="s">
        <v>1319</v>
      </c>
      <c r="H866" s="162" t="s">
        <v>1323</v>
      </c>
      <c r="I866" s="163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8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1" t="s">
        <v>1585</v>
      </c>
      <c r="C867" s="82" t="str">
        <f>VLOOKUP($B$7:$B$5000,SUM!$L$6:$L$500,1,FALSE)</f>
        <v>#N/A</v>
      </c>
      <c r="D867" s="160" t="s">
        <v>1318</v>
      </c>
      <c r="E867" s="100" t="s">
        <v>58</v>
      </c>
      <c r="F867" s="84" t="s">
        <v>105</v>
      </c>
      <c r="G867" s="161" t="s">
        <v>1319</v>
      </c>
      <c r="H867" s="162" t="s">
        <v>1325</v>
      </c>
      <c r="I867" s="163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8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1" t="s">
        <v>1586</v>
      </c>
      <c r="C868" s="82" t="str">
        <f>VLOOKUP($B$7:$B$5000,SUM!$L$6:$L$500,1,FALSE)</f>
        <v>#N/A</v>
      </c>
      <c r="D868" s="160" t="s">
        <v>1318</v>
      </c>
      <c r="E868" s="100" t="s">
        <v>58</v>
      </c>
      <c r="F868" s="84" t="s">
        <v>105</v>
      </c>
      <c r="G868" s="161" t="s">
        <v>1319</v>
      </c>
      <c r="H868" s="162" t="s">
        <v>1327</v>
      </c>
      <c r="I868" s="163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8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1" t="s">
        <v>1587</v>
      </c>
      <c r="C869" s="82" t="str">
        <f>VLOOKUP($B$7:$B$5000,SUM!$L$6:$L$500,1,FALSE)</f>
        <v>#N/A</v>
      </c>
      <c r="D869" s="160" t="s">
        <v>1318</v>
      </c>
      <c r="E869" s="100" t="s">
        <v>58</v>
      </c>
      <c r="F869" s="84" t="s">
        <v>105</v>
      </c>
      <c r="G869" s="161" t="s">
        <v>1329</v>
      </c>
      <c r="H869" s="162" t="s">
        <v>1330</v>
      </c>
      <c r="I869" s="163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8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1" t="s">
        <v>1589</v>
      </c>
      <c r="C870" s="82" t="str">
        <f>VLOOKUP($B$7:$B$5000,SUM!$L$6:$L$500,1,FALSE)</f>
        <v>#N/A</v>
      </c>
      <c r="D870" s="160" t="s">
        <v>1318</v>
      </c>
      <c r="E870" s="100" t="s">
        <v>58</v>
      </c>
      <c r="F870" s="84" t="s">
        <v>105</v>
      </c>
      <c r="G870" s="161" t="s">
        <v>1329</v>
      </c>
      <c r="H870" s="162" t="s">
        <v>1333</v>
      </c>
      <c r="I870" s="163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8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1" t="s">
        <v>1590</v>
      </c>
      <c r="C871" s="82" t="str">
        <f>VLOOKUP($B$7:$B$5000,SUM!$L$6:$L$500,1,FALSE)</f>
        <v>#N/A</v>
      </c>
      <c r="D871" s="160" t="s">
        <v>1318</v>
      </c>
      <c r="E871" s="100" t="s">
        <v>58</v>
      </c>
      <c r="F871" s="84" t="s">
        <v>105</v>
      </c>
      <c r="G871" s="161" t="s">
        <v>1329</v>
      </c>
      <c r="H871" s="162" t="s">
        <v>1335</v>
      </c>
      <c r="I871" s="163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8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1" t="s">
        <v>1592</v>
      </c>
      <c r="C872" s="82" t="str">
        <f>VLOOKUP($B$7:$B$5000,SUM!$L$6:$L$500,1,FALSE)</f>
        <v>#N/A</v>
      </c>
      <c r="D872" s="160" t="s">
        <v>1318</v>
      </c>
      <c r="E872" s="100" t="s">
        <v>58</v>
      </c>
      <c r="F872" s="84" t="s">
        <v>105</v>
      </c>
      <c r="G872" s="161" t="s">
        <v>1329</v>
      </c>
      <c r="H872" s="162" t="s">
        <v>1338</v>
      </c>
      <c r="I872" s="163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8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1" t="s">
        <v>1593</v>
      </c>
      <c r="C873" s="82" t="str">
        <f>VLOOKUP($B$7:$B$5000,SUM!$L$6:$L$500,1,FALSE)</f>
        <v>#N/A</v>
      </c>
      <c r="D873" s="160" t="s">
        <v>1318</v>
      </c>
      <c r="E873" s="100" t="s">
        <v>58</v>
      </c>
      <c r="F873" s="84" t="s">
        <v>105</v>
      </c>
      <c r="G873" s="161" t="s">
        <v>1329</v>
      </c>
      <c r="H873" s="162" t="s">
        <v>1340</v>
      </c>
      <c r="I873" s="163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8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1" t="s">
        <v>1595</v>
      </c>
      <c r="C874" s="82" t="str">
        <f>VLOOKUP($B$7:$B$5000,SUM!$L$6:$L$500,1,FALSE)</f>
        <v>#N/A</v>
      </c>
      <c r="D874" s="160" t="s">
        <v>1318</v>
      </c>
      <c r="E874" s="100" t="s">
        <v>58</v>
      </c>
      <c r="F874" s="84" t="s">
        <v>105</v>
      </c>
      <c r="G874" s="161" t="s">
        <v>1329</v>
      </c>
      <c r="H874" s="162" t="s">
        <v>1343</v>
      </c>
      <c r="I874" s="163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8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1" t="s">
        <v>1596</v>
      </c>
      <c r="C875" s="82" t="str">
        <f>VLOOKUP($B$7:$B$5000,SUM!$L$6:$L$500,1,FALSE)</f>
        <v>#N/A</v>
      </c>
      <c r="D875" s="160" t="s">
        <v>1318</v>
      </c>
      <c r="E875" s="100" t="s">
        <v>58</v>
      </c>
      <c r="F875" s="84" t="s">
        <v>105</v>
      </c>
      <c r="G875" s="161" t="s">
        <v>1329</v>
      </c>
      <c r="H875" s="162" t="s">
        <v>1345</v>
      </c>
      <c r="I875" s="163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8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1" t="s">
        <v>1598</v>
      </c>
      <c r="C876" s="82" t="str">
        <f>VLOOKUP($B$7:$B$5000,SUM!$L$6:$L$500,1,FALSE)</f>
        <v>#N/A</v>
      </c>
      <c r="D876" s="160" t="s">
        <v>1318</v>
      </c>
      <c r="E876" s="100" t="s">
        <v>58</v>
      </c>
      <c r="F876" s="84" t="s">
        <v>105</v>
      </c>
      <c r="G876" s="161" t="s">
        <v>1329</v>
      </c>
      <c r="H876" s="162" t="s">
        <v>1348</v>
      </c>
      <c r="I876" s="163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8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1" t="s">
        <v>1599</v>
      </c>
      <c r="C877" s="82" t="str">
        <f>VLOOKUP($B$7:$B$5000,SUM!$L$6:$L$500,1,FALSE)</f>
        <v>#N/A</v>
      </c>
      <c r="D877" s="160" t="s">
        <v>1318</v>
      </c>
      <c r="E877" s="100" t="s">
        <v>58</v>
      </c>
      <c r="F877" s="84" t="s">
        <v>105</v>
      </c>
      <c r="G877" s="161" t="s">
        <v>1329</v>
      </c>
      <c r="H877" s="162" t="s">
        <v>1350</v>
      </c>
      <c r="I877" s="163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8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1" t="s">
        <v>1600</v>
      </c>
      <c r="C878" s="82" t="str">
        <f>VLOOKUP($B$7:$B$5000,SUM!$L$6:$L$500,1,FALSE)</f>
        <v>#N/A</v>
      </c>
      <c r="D878" s="160" t="s">
        <v>1318</v>
      </c>
      <c r="E878" s="100" t="s">
        <v>58</v>
      </c>
      <c r="F878" s="84" t="s">
        <v>105</v>
      </c>
      <c r="G878" s="161" t="s">
        <v>1329</v>
      </c>
      <c r="H878" s="162" t="s">
        <v>1352</v>
      </c>
      <c r="I878" s="163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8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1" t="s">
        <v>1601</v>
      </c>
      <c r="C879" s="82" t="str">
        <f>VLOOKUP($B$7:$B$5000,SUM!$L$6:$L$500,1,FALSE)</f>
        <v>#N/A</v>
      </c>
      <c r="D879" s="160" t="s">
        <v>1318</v>
      </c>
      <c r="E879" s="100" t="s">
        <v>58</v>
      </c>
      <c r="F879" s="84" t="s">
        <v>105</v>
      </c>
      <c r="G879" s="161" t="s">
        <v>1329</v>
      </c>
      <c r="H879" s="162" t="s">
        <v>1354</v>
      </c>
      <c r="I879" s="163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8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1" t="s">
        <v>1603</v>
      </c>
      <c r="C880" s="82" t="str">
        <f>VLOOKUP($B$7:$B$5000,SUM!$L$6:$L$500,1,FALSE)</f>
        <v>#N/A</v>
      </c>
      <c r="D880" s="160" t="s">
        <v>1318</v>
      </c>
      <c r="E880" s="100" t="s">
        <v>58</v>
      </c>
      <c r="F880" s="84" t="s">
        <v>105</v>
      </c>
      <c r="G880" s="161" t="s">
        <v>1329</v>
      </c>
      <c r="H880" s="162" t="s">
        <v>1357</v>
      </c>
      <c r="I880" s="163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8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1" t="s">
        <v>1605</v>
      </c>
      <c r="C881" s="82" t="str">
        <f>VLOOKUP($B$7:$B$5000,SUM!$L$6:$L$500,1,FALSE)</f>
        <v>#N/A</v>
      </c>
      <c r="D881" s="160" t="s">
        <v>1318</v>
      </c>
      <c r="E881" s="100" t="s">
        <v>58</v>
      </c>
      <c r="F881" s="84" t="s">
        <v>105</v>
      </c>
      <c r="G881" s="161" t="s">
        <v>1329</v>
      </c>
      <c r="H881" s="162" t="s">
        <v>1360</v>
      </c>
      <c r="I881" s="163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8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1" t="s">
        <v>1606</v>
      </c>
      <c r="C882" s="82" t="str">
        <f>VLOOKUP($B$7:$B$5000,SUM!$L$6:$L$500,1,FALSE)</f>
        <v>#N/A</v>
      </c>
      <c r="D882" s="160" t="s">
        <v>1318</v>
      </c>
      <c r="E882" s="100" t="s">
        <v>58</v>
      </c>
      <c r="F882" s="84" t="s">
        <v>105</v>
      </c>
      <c r="G882" s="161" t="s">
        <v>1362</v>
      </c>
      <c r="H882" s="162" t="s">
        <v>1363</v>
      </c>
      <c r="I882" s="163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8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1" t="s">
        <v>1608</v>
      </c>
      <c r="C883" s="82" t="str">
        <f>VLOOKUP($B$7:$B$5000,SUM!$L$6:$L$500,1,FALSE)</f>
        <v>#N/A</v>
      </c>
      <c r="D883" s="160" t="s">
        <v>1318</v>
      </c>
      <c r="E883" s="100" t="s">
        <v>58</v>
      </c>
      <c r="F883" s="84" t="s">
        <v>105</v>
      </c>
      <c r="G883" s="161" t="s">
        <v>1362</v>
      </c>
      <c r="H883" s="162" t="s">
        <v>1366</v>
      </c>
      <c r="I883" s="163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8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1" t="s">
        <v>1609</v>
      </c>
      <c r="C884" s="82" t="str">
        <f>VLOOKUP($B$7:$B$5000,SUM!$L$6:$L$500,1,FALSE)</f>
        <v>#N/A</v>
      </c>
      <c r="D884" s="160" t="s">
        <v>1318</v>
      </c>
      <c r="E884" s="100" t="s">
        <v>58</v>
      </c>
      <c r="F884" s="84" t="s">
        <v>105</v>
      </c>
      <c r="G884" s="161" t="s">
        <v>1329</v>
      </c>
      <c r="H884" s="162" t="s">
        <v>1368</v>
      </c>
      <c r="I884" s="163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8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1" t="s">
        <v>1611</v>
      </c>
      <c r="C885" s="82" t="str">
        <f>VLOOKUP($B$7:$B$5000,SUM!$L$6:$L$500,1,FALSE)</f>
        <v>#N/A</v>
      </c>
      <c r="D885" s="160" t="s">
        <v>1318</v>
      </c>
      <c r="E885" s="100" t="s">
        <v>58</v>
      </c>
      <c r="F885" s="84" t="s">
        <v>105</v>
      </c>
      <c r="G885" s="161" t="s">
        <v>1329</v>
      </c>
      <c r="H885" s="162" t="s">
        <v>1371</v>
      </c>
      <c r="I885" s="163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8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1" t="s">
        <v>1612</v>
      </c>
      <c r="C886" s="82" t="str">
        <f>VLOOKUP($B$7:$B$5000,SUM!$L$6:$L$500,1,FALSE)</f>
        <v>#N/A</v>
      </c>
      <c r="D886" s="160" t="s">
        <v>1318</v>
      </c>
      <c r="E886" s="100" t="s">
        <v>58</v>
      </c>
      <c r="F886" s="84" t="s">
        <v>105</v>
      </c>
      <c r="G886" s="161" t="s">
        <v>1329</v>
      </c>
      <c r="H886" s="162" t="s">
        <v>1373</v>
      </c>
      <c r="I886" s="163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8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1" t="s">
        <v>1613</v>
      </c>
      <c r="C887" s="82" t="str">
        <f>VLOOKUP($B$7:$B$5000,SUM!$L$6:$L$500,1,FALSE)</f>
        <v>#N/A</v>
      </c>
      <c r="D887" s="160" t="s">
        <v>1318</v>
      </c>
      <c r="E887" s="100" t="s">
        <v>58</v>
      </c>
      <c r="F887" s="84" t="s">
        <v>105</v>
      </c>
      <c r="G887" s="161" t="s">
        <v>1329</v>
      </c>
      <c r="H887" s="162" t="s">
        <v>1375</v>
      </c>
      <c r="I887" s="163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8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1" t="s">
        <v>1614</v>
      </c>
      <c r="C888" s="82" t="str">
        <f>VLOOKUP($B$7:$B$5000,SUM!$L$6:$L$500,1,FALSE)</f>
        <v>#N/A</v>
      </c>
      <c r="D888" s="160" t="s">
        <v>1318</v>
      </c>
      <c r="E888" s="100" t="s">
        <v>58</v>
      </c>
      <c r="F888" s="84" t="s">
        <v>105</v>
      </c>
      <c r="G888" s="161" t="s">
        <v>1329</v>
      </c>
      <c r="H888" s="162" t="s">
        <v>1377</v>
      </c>
      <c r="I888" s="163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8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1" t="s">
        <v>1615</v>
      </c>
      <c r="C889" s="82" t="str">
        <f>VLOOKUP($B$7:$B$5000,SUM!$L$6:$L$500,1,FALSE)</f>
        <v>#N/A</v>
      </c>
      <c r="D889" s="160" t="s">
        <v>1318</v>
      </c>
      <c r="E889" s="100" t="s">
        <v>58</v>
      </c>
      <c r="F889" s="84" t="s">
        <v>105</v>
      </c>
      <c r="G889" s="161" t="s">
        <v>1329</v>
      </c>
      <c r="H889" s="162" t="s">
        <v>1379</v>
      </c>
      <c r="I889" s="163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8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1" t="s">
        <v>1617</v>
      </c>
      <c r="C890" s="82" t="str">
        <f>VLOOKUP($B$7:$B$5000,SUM!$L$6:$L$500,1,FALSE)</f>
        <v>#N/A</v>
      </c>
      <c r="D890" s="160" t="s">
        <v>1318</v>
      </c>
      <c r="E890" s="100" t="s">
        <v>58</v>
      </c>
      <c r="F890" s="84" t="s">
        <v>105</v>
      </c>
      <c r="G890" s="161" t="s">
        <v>1329</v>
      </c>
      <c r="H890" s="162" t="s">
        <v>1382</v>
      </c>
      <c r="I890" s="163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8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1" t="s">
        <v>1619</v>
      </c>
      <c r="C891" s="82" t="str">
        <f>VLOOKUP($B$7:$B$5000,SUM!$L$6:$L$500,1,FALSE)</f>
        <v>#N/A</v>
      </c>
      <c r="D891" s="160" t="s">
        <v>1318</v>
      </c>
      <c r="E891" s="100" t="s">
        <v>58</v>
      </c>
      <c r="F891" s="84" t="s">
        <v>105</v>
      </c>
      <c r="G891" s="161" t="s">
        <v>1329</v>
      </c>
      <c r="H891" s="162" t="s">
        <v>1385</v>
      </c>
      <c r="I891" s="163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8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1" t="s">
        <v>1621</v>
      </c>
      <c r="C892" s="82" t="str">
        <f>VLOOKUP($B$7:$B$5000,SUM!$L$6:$L$500,1,FALSE)</f>
        <v>#N/A</v>
      </c>
      <c r="D892" s="160" t="s">
        <v>1318</v>
      </c>
      <c r="E892" s="100" t="s">
        <v>58</v>
      </c>
      <c r="F892" s="84" t="s">
        <v>105</v>
      </c>
      <c r="G892" s="161" t="s">
        <v>1388</v>
      </c>
      <c r="H892" s="162" t="s">
        <v>1389</v>
      </c>
      <c r="I892" s="163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8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1" t="s">
        <v>1623</v>
      </c>
      <c r="C893" s="82" t="str">
        <f>VLOOKUP($B$7:$B$5000,SUM!$L$6:$L$500,1,FALSE)</f>
        <v>#N/A</v>
      </c>
      <c r="D893" s="160" t="s">
        <v>1318</v>
      </c>
      <c r="E893" s="100" t="s">
        <v>58</v>
      </c>
      <c r="F893" s="84" t="s">
        <v>105</v>
      </c>
      <c r="G893" s="161" t="s">
        <v>1329</v>
      </c>
      <c r="H893" s="162" t="s">
        <v>1392</v>
      </c>
      <c r="I893" s="163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8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1" t="s">
        <v>1624</v>
      </c>
      <c r="C894" s="82" t="str">
        <f>VLOOKUP($B$7:$B$5000,SUM!$L$6:$L$500,1,FALSE)</f>
        <v>#N/A</v>
      </c>
      <c r="D894" s="160" t="s">
        <v>1318</v>
      </c>
      <c r="E894" s="100" t="s">
        <v>58</v>
      </c>
      <c r="F894" s="84" t="s">
        <v>105</v>
      </c>
      <c r="G894" s="161" t="s">
        <v>1329</v>
      </c>
      <c r="H894" s="162" t="s">
        <v>1394</v>
      </c>
      <c r="I894" s="163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8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1" t="s">
        <v>1625</v>
      </c>
      <c r="C895" s="82" t="str">
        <f>VLOOKUP($B$7:$B$5000,SUM!$L$6:$L$500,1,FALSE)</f>
        <v>#N/A</v>
      </c>
      <c r="D895" s="160" t="s">
        <v>1318</v>
      </c>
      <c r="E895" s="100" t="s">
        <v>58</v>
      </c>
      <c r="F895" s="84" t="s">
        <v>105</v>
      </c>
      <c r="G895" s="161" t="s">
        <v>1329</v>
      </c>
      <c r="H895" s="162" t="s">
        <v>1396</v>
      </c>
      <c r="I895" s="163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8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1" t="s">
        <v>1627</v>
      </c>
      <c r="C896" s="82" t="str">
        <f>VLOOKUP($B$7:$B$5000,SUM!$L$6:$L$500,1,FALSE)</f>
        <v>#N/A</v>
      </c>
      <c r="D896" s="160" t="s">
        <v>1318</v>
      </c>
      <c r="E896" s="100" t="s">
        <v>58</v>
      </c>
      <c r="F896" s="84" t="s">
        <v>105</v>
      </c>
      <c r="G896" s="161" t="s">
        <v>1329</v>
      </c>
      <c r="H896" s="162" t="s">
        <v>1399</v>
      </c>
      <c r="I896" s="163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8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1" t="s">
        <v>1629</v>
      </c>
      <c r="C897" s="82" t="str">
        <f>VLOOKUP($B$7:$B$5000,SUM!$L$6:$L$500,1,FALSE)</f>
        <v>#N/A</v>
      </c>
      <c r="D897" s="160" t="s">
        <v>1318</v>
      </c>
      <c r="E897" s="100" t="s">
        <v>58</v>
      </c>
      <c r="F897" s="84" t="s">
        <v>105</v>
      </c>
      <c r="G897" s="161" t="s">
        <v>1329</v>
      </c>
      <c r="H897" s="162" t="s">
        <v>1402</v>
      </c>
      <c r="I897" s="163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8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1" t="s">
        <v>1631</v>
      </c>
      <c r="C898" s="82" t="str">
        <f>VLOOKUP($B$7:$B$5000,SUM!$L$6:$L$500,1,FALSE)</f>
        <v>#N/A</v>
      </c>
      <c r="D898" s="160" t="s">
        <v>1318</v>
      </c>
      <c r="E898" s="100" t="s">
        <v>58</v>
      </c>
      <c r="F898" s="84" t="s">
        <v>105</v>
      </c>
      <c r="G898" s="161" t="s">
        <v>1329</v>
      </c>
      <c r="H898" s="162" t="s">
        <v>1405</v>
      </c>
      <c r="I898" s="163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8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1" t="s">
        <v>1632</v>
      </c>
      <c r="C899" s="82" t="str">
        <f>VLOOKUP($B$7:$B$5000,SUM!$L$6:$L$500,1,FALSE)</f>
        <v>#N/A</v>
      </c>
      <c r="D899" s="160" t="s">
        <v>1318</v>
      </c>
      <c r="E899" s="100" t="s">
        <v>58</v>
      </c>
      <c r="F899" s="84" t="s">
        <v>105</v>
      </c>
      <c r="G899" s="161" t="s">
        <v>1329</v>
      </c>
      <c r="H899" s="162" t="s">
        <v>1407</v>
      </c>
      <c r="I899" s="163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8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1" t="s">
        <v>1634</v>
      </c>
      <c r="C900" s="82" t="str">
        <f>VLOOKUP($B$7:$B$5000,SUM!$L$6:$L$500,1,FALSE)</f>
        <v>#N/A</v>
      </c>
      <c r="D900" s="160" t="s">
        <v>1318</v>
      </c>
      <c r="E900" s="100" t="s">
        <v>58</v>
      </c>
      <c r="F900" s="84" t="s">
        <v>105</v>
      </c>
      <c r="G900" s="161" t="s">
        <v>1329</v>
      </c>
      <c r="H900" s="162" t="s">
        <v>1410</v>
      </c>
      <c r="I900" s="163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8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1" t="s">
        <v>1636</v>
      </c>
      <c r="C901" s="82" t="str">
        <f>VLOOKUP($B$7:$B$5000,SUM!$L$6:$L$500,1,FALSE)</f>
        <v>#N/A</v>
      </c>
      <c r="D901" s="160" t="s">
        <v>1318</v>
      </c>
      <c r="E901" s="100" t="s">
        <v>58</v>
      </c>
      <c r="F901" s="84" t="s">
        <v>105</v>
      </c>
      <c r="G901" s="161" t="s">
        <v>1329</v>
      </c>
      <c r="H901" s="162" t="s">
        <v>1413</v>
      </c>
      <c r="I901" s="163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8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1" t="s">
        <v>1637</v>
      </c>
      <c r="C902" s="82" t="str">
        <f>VLOOKUP($B$7:$B$5000,SUM!$L$6:$L$500,1,FALSE)</f>
        <v>#N/A</v>
      </c>
      <c r="D902" s="160" t="s">
        <v>1318</v>
      </c>
      <c r="E902" s="100" t="s">
        <v>58</v>
      </c>
      <c r="F902" s="84" t="s">
        <v>105</v>
      </c>
      <c r="G902" s="161" t="s">
        <v>1415</v>
      </c>
      <c r="H902" s="162" t="s">
        <v>1416</v>
      </c>
      <c r="I902" s="163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8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1" t="s">
        <v>1639</v>
      </c>
      <c r="C903" s="82" t="str">
        <f>VLOOKUP($B$7:$B$5000,SUM!$L$6:$L$500,1,FALSE)</f>
        <v>#N/A</v>
      </c>
      <c r="D903" s="160" t="s">
        <v>1318</v>
      </c>
      <c r="E903" s="100" t="s">
        <v>58</v>
      </c>
      <c r="F903" s="84" t="s">
        <v>105</v>
      </c>
      <c r="G903" s="161" t="s">
        <v>1419</v>
      </c>
      <c r="H903" s="162" t="s">
        <v>1420</v>
      </c>
      <c r="I903" s="163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8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1" t="s">
        <v>1641</v>
      </c>
      <c r="C904" s="82" t="str">
        <f>VLOOKUP($B$7:$B$5000,SUM!$L$6:$L$500,1,FALSE)</f>
        <v>#N/A</v>
      </c>
      <c r="D904" s="160" t="s">
        <v>1318</v>
      </c>
      <c r="E904" s="100" t="s">
        <v>58</v>
      </c>
      <c r="F904" s="84" t="s">
        <v>105</v>
      </c>
      <c r="G904" s="161" t="s">
        <v>1415</v>
      </c>
      <c r="H904" s="162" t="s">
        <v>1423</v>
      </c>
      <c r="I904" s="163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8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1" t="s">
        <v>1642</v>
      </c>
      <c r="C905" s="82" t="str">
        <f>VLOOKUP($B$7:$B$5000,SUM!$L$6:$L$500,1,FALSE)</f>
        <v>#N/A</v>
      </c>
      <c r="D905" s="160" t="s">
        <v>1318</v>
      </c>
      <c r="E905" s="100" t="s">
        <v>58</v>
      </c>
      <c r="F905" s="84" t="s">
        <v>105</v>
      </c>
      <c r="G905" s="161" t="s">
        <v>1419</v>
      </c>
      <c r="H905" s="162" t="s">
        <v>1425</v>
      </c>
      <c r="I905" s="163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8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1" t="s">
        <v>1643</v>
      </c>
      <c r="C906" s="82" t="str">
        <f>VLOOKUP($B$7:$B$5000,SUM!$L$6:$L$500,1,FALSE)</f>
        <v>#N/A</v>
      </c>
      <c r="D906" s="160" t="s">
        <v>1318</v>
      </c>
      <c r="E906" s="100" t="s">
        <v>58</v>
      </c>
      <c r="F906" s="84" t="s">
        <v>105</v>
      </c>
      <c r="G906" s="161" t="s">
        <v>1415</v>
      </c>
      <c r="H906" s="162" t="s">
        <v>1427</v>
      </c>
      <c r="I906" s="163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8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1" t="s">
        <v>1644</v>
      </c>
      <c r="C907" s="82" t="str">
        <f>VLOOKUP($B$7:$B$5000,SUM!$L$6:$L$500,1,FALSE)</f>
        <v>#N/A</v>
      </c>
      <c r="D907" s="160" t="s">
        <v>1318</v>
      </c>
      <c r="E907" s="100" t="s">
        <v>58</v>
      </c>
      <c r="F907" s="84" t="s">
        <v>105</v>
      </c>
      <c r="G907" s="161" t="s">
        <v>1419</v>
      </c>
      <c r="H907" s="162" t="s">
        <v>1429</v>
      </c>
      <c r="I907" s="163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8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1" t="s">
        <v>1645</v>
      </c>
      <c r="C908" s="82" t="str">
        <f>VLOOKUP($B$7:$B$5000,SUM!$L$6:$L$500,1,FALSE)</f>
        <v>#N/A</v>
      </c>
      <c r="D908" s="160" t="s">
        <v>1318</v>
      </c>
      <c r="E908" s="100" t="s">
        <v>58</v>
      </c>
      <c r="F908" s="84" t="s">
        <v>105</v>
      </c>
      <c r="G908" s="161" t="s">
        <v>1329</v>
      </c>
      <c r="H908" s="162" t="s">
        <v>1431</v>
      </c>
      <c r="I908" s="163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8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1" t="s">
        <v>1647</v>
      </c>
      <c r="C909" s="82" t="str">
        <f>VLOOKUP($B$7:$B$5000,SUM!$L$6:$L$500,1,FALSE)</f>
        <v>#N/A</v>
      </c>
      <c r="D909" s="160" t="s">
        <v>1318</v>
      </c>
      <c r="E909" s="100" t="s">
        <v>58</v>
      </c>
      <c r="F909" s="84" t="s">
        <v>105</v>
      </c>
      <c r="G909" s="161" t="s">
        <v>1329</v>
      </c>
      <c r="H909" s="162" t="s">
        <v>1434</v>
      </c>
      <c r="I909" s="163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8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1" t="s">
        <v>1648</v>
      </c>
      <c r="C910" s="82" t="str">
        <f>VLOOKUP($B$7:$B$5000,SUM!$L$6:$L$500,1,FALSE)</f>
        <v>#N/A</v>
      </c>
      <c r="D910" s="160" t="s">
        <v>1318</v>
      </c>
      <c r="E910" s="100" t="s">
        <v>58</v>
      </c>
      <c r="F910" s="84" t="s">
        <v>105</v>
      </c>
      <c r="G910" s="161" t="s">
        <v>1329</v>
      </c>
      <c r="H910" s="162" t="s">
        <v>1436</v>
      </c>
      <c r="I910" s="163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8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1" t="s">
        <v>1649</v>
      </c>
      <c r="C911" s="82" t="str">
        <f>VLOOKUP($B$7:$B$5000,SUM!$L$6:$L$500,1,FALSE)</f>
        <v>#N/A</v>
      </c>
      <c r="D911" s="160" t="s">
        <v>1318</v>
      </c>
      <c r="E911" s="100" t="s">
        <v>58</v>
      </c>
      <c r="F911" s="84" t="s">
        <v>105</v>
      </c>
      <c r="G911" s="161" t="s">
        <v>1329</v>
      </c>
      <c r="H911" s="162" t="s">
        <v>1438</v>
      </c>
      <c r="I911" s="163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8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1" t="s">
        <v>1650</v>
      </c>
      <c r="C912" s="82" t="str">
        <f>VLOOKUP($B$7:$B$5000,SUM!$L$6:$L$500,1,FALSE)</f>
        <v>#N/A</v>
      </c>
      <c r="D912" s="160" t="s">
        <v>1318</v>
      </c>
      <c r="E912" s="100" t="s">
        <v>58</v>
      </c>
      <c r="F912" s="84" t="s">
        <v>105</v>
      </c>
      <c r="G912" s="161" t="s">
        <v>1329</v>
      </c>
      <c r="H912" s="162" t="s">
        <v>1440</v>
      </c>
      <c r="I912" s="163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8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1" t="s">
        <v>1651</v>
      </c>
      <c r="C913" s="82" t="str">
        <f>VLOOKUP($B$7:$B$5000,SUM!$L$6:$L$500,1,FALSE)</f>
        <v>#N/A</v>
      </c>
      <c r="D913" s="160" t="s">
        <v>1318</v>
      </c>
      <c r="E913" s="100" t="s">
        <v>58</v>
      </c>
      <c r="F913" s="84" t="s">
        <v>105</v>
      </c>
      <c r="G913" s="161" t="s">
        <v>1329</v>
      </c>
      <c r="H913" s="162" t="s">
        <v>1442</v>
      </c>
      <c r="I913" s="163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8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1" t="s">
        <v>1652</v>
      </c>
      <c r="C914" s="82" t="str">
        <f>VLOOKUP($B$7:$B$5000,SUM!$L$6:$L$500,1,FALSE)</f>
        <v>#N/A</v>
      </c>
      <c r="D914" s="160" t="s">
        <v>1318</v>
      </c>
      <c r="E914" s="100" t="s">
        <v>58</v>
      </c>
      <c r="F914" s="84" t="s">
        <v>105</v>
      </c>
      <c r="G914" s="161" t="s">
        <v>1329</v>
      </c>
      <c r="H914" s="162" t="s">
        <v>1444</v>
      </c>
      <c r="I914" s="163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8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1" t="s">
        <v>1653</v>
      </c>
      <c r="C915" s="82" t="str">
        <f>VLOOKUP($B$7:$B$5000,SUM!$L$6:$L$500,1,FALSE)</f>
        <v>#N/A</v>
      </c>
      <c r="D915" s="160" t="s">
        <v>1318</v>
      </c>
      <c r="E915" s="100" t="s">
        <v>58</v>
      </c>
      <c r="F915" s="84" t="s">
        <v>105</v>
      </c>
      <c r="G915" s="161" t="s">
        <v>1329</v>
      </c>
      <c r="H915" s="162" t="s">
        <v>1446</v>
      </c>
      <c r="I915" s="163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8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1" t="s">
        <v>1654</v>
      </c>
      <c r="C916" s="82" t="str">
        <f>VLOOKUP($B$7:$B$5000,SUM!$L$6:$L$500,1,FALSE)</f>
        <v>#N/A</v>
      </c>
      <c r="D916" s="160" t="s">
        <v>1318</v>
      </c>
      <c r="E916" s="100" t="s">
        <v>58</v>
      </c>
      <c r="F916" s="84" t="s">
        <v>105</v>
      </c>
      <c r="G916" s="161" t="s">
        <v>1329</v>
      </c>
      <c r="H916" s="162" t="s">
        <v>1448</v>
      </c>
      <c r="I916" s="163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8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1" t="s">
        <v>1655</v>
      </c>
      <c r="C917" s="82" t="str">
        <f>VLOOKUP($B$7:$B$5000,SUM!$L$6:$L$500,1,FALSE)</f>
        <v>#N/A</v>
      </c>
      <c r="D917" s="160" t="s">
        <v>1318</v>
      </c>
      <c r="E917" s="100" t="s">
        <v>58</v>
      </c>
      <c r="F917" s="84" t="s">
        <v>105</v>
      </c>
      <c r="G917" s="161" t="s">
        <v>1329</v>
      </c>
      <c r="H917" s="162" t="s">
        <v>1450</v>
      </c>
      <c r="I917" s="163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8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1" t="s">
        <v>1656</v>
      </c>
      <c r="C918" s="82" t="str">
        <f>VLOOKUP($B$7:$B$5000,SUM!$L$6:$L$500,1,FALSE)</f>
        <v>#N/A</v>
      </c>
      <c r="D918" s="160" t="s">
        <v>1318</v>
      </c>
      <c r="E918" s="100" t="s">
        <v>58</v>
      </c>
      <c r="F918" s="84" t="s">
        <v>105</v>
      </c>
      <c r="G918" s="161" t="s">
        <v>1329</v>
      </c>
      <c r="H918" s="162" t="s">
        <v>1452</v>
      </c>
      <c r="I918" s="163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8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1" t="s">
        <v>1657</v>
      </c>
      <c r="C919" s="82" t="str">
        <f>VLOOKUP($B$7:$B$5000,SUM!$L$6:$L$500,1,FALSE)</f>
        <v>#N/A</v>
      </c>
      <c r="D919" s="160" t="s">
        <v>1318</v>
      </c>
      <c r="E919" s="100" t="s">
        <v>58</v>
      </c>
      <c r="F919" s="84" t="s">
        <v>105</v>
      </c>
      <c r="G919" s="161" t="s">
        <v>1329</v>
      </c>
      <c r="H919" s="162" t="s">
        <v>1454</v>
      </c>
      <c r="I919" s="163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8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1" t="s">
        <v>1658</v>
      </c>
      <c r="C920" s="82" t="str">
        <f>VLOOKUP($B$7:$B$5000,SUM!$L$6:$L$500,1,FALSE)</f>
        <v>#N/A</v>
      </c>
      <c r="D920" s="160" t="s">
        <v>1318</v>
      </c>
      <c r="E920" s="100" t="s">
        <v>58</v>
      </c>
      <c r="F920" s="84" t="s">
        <v>105</v>
      </c>
      <c r="G920" s="161" t="s">
        <v>1329</v>
      </c>
      <c r="H920" s="162" t="s">
        <v>1456</v>
      </c>
      <c r="I920" s="163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8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1" t="s">
        <v>1660</v>
      </c>
      <c r="C921" s="82" t="str">
        <f>VLOOKUP($B$7:$B$5000,SUM!$L$6:$L$500,1,FALSE)</f>
        <v>#N/A</v>
      </c>
      <c r="D921" s="160" t="s">
        <v>1318</v>
      </c>
      <c r="E921" s="100" t="s">
        <v>58</v>
      </c>
      <c r="F921" s="84" t="s">
        <v>105</v>
      </c>
      <c r="G921" s="161" t="s">
        <v>1329</v>
      </c>
      <c r="H921" s="162" t="s">
        <v>1459</v>
      </c>
      <c r="I921" s="163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8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1" t="s">
        <v>1661</v>
      </c>
      <c r="C922" s="82" t="str">
        <f>VLOOKUP($B$7:$B$5000,SUM!$L$6:$L$500,1,FALSE)</f>
        <v>#N/A</v>
      </c>
      <c r="D922" s="160" t="s">
        <v>1318</v>
      </c>
      <c r="E922" s="100" t="s">
        <v>58</v>
      </c>
      <c r="F922" s="84" t="s">
        <v>105</v>
      </c>
      <c r="G922" s="161" t="s">
        <v>1329</v>
      </c>
      <c r="H922" s="162" t="s">
        <v>1461</v>
      </c>
      <c r="I922" s="163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8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1" t="s">
        <v>1662</v>
      </c>
      <c r="C923" s="82" t="str">
        <f>VLOOKUP($B$7:$B$5000,SUM!$L$6:$L$500,1,FALSE)</f>
        <v>#N/A</v>
      </c>
      <c r="D923" s="160" t="s">
        <v>1318</v>
      </c>
      <c r="E923" s="100" t="s">
        <v>58</v>
      </c>
      <c r="F923" s="84" t="s">
        <v>105</v>
      </c>
      <c r="G923" s="161" t="s">
        <v>1329</v>
      </c>
      <c r="H923" s="162" t="s">
        <v>1463</v>
      </c>
      <c r="I923" s="163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8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1" t="s">
        <v>1663</v>
      </c>
      <c r="C924" s="82" t="str">
        <f>VLOOKUP($B$7:$B$5000,SUM!$L$6:$L$500,1,FALSE)</f>
        <v>#N/A</v>
      </c>
      <c r="D924" s="160" t="s">
        <v>1318</v>
      </c>
      <c r="E924" s="100" t="s">
        <v>58</v>
      </c>
      <c r="F924" s="84" t="s">
        <v>105</v>
      </c>
      <c r="G924" s="161" t="s">
        <v>1329</v>
      </c>
      <c r="H924" s="162" t="s">
        <v>1465</v>
      </c>
      <c r="I924" s="163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8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1" t="s">
        <v>1664</v>
      </c>
      <c r="C925" s="82" t="str">
        <f>VLOOKUP($B$7:$B$5000,SUM!$L$6:$L$500,1,FALSE)</f>
        <v>#N/A</v>
      </c>
      <c r="D925" s="160" t="s">
        <v>1318</v>
      </c>
      <c r="E925" s="100" t="s">
        <v>58</v>
      </c>
      <c r="F925" s="84" t="s">
        <v>105</v>
      </c>
      <c r="G925" s="161" t="s">
        <v>1329</v>
      </c>
      <c r="H925" s="162" t="s">
        <v>1467</v>
      </c>
      <c r="I925" s="163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8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1" t="s">
        <v>1665</v>
      </c>
      <c r="C926" s="82" t="str">
        <f>VLOOKUP($B$7:$B$5000,SUM!$L$6:$L$500,1,FALSE)</f>
        <v>#N/A</v>
      </c>
      <c r="D926" s="160" t="s">
        <v>1318</v>
      </c>
      <c r="E926" s="100" t="s">
        <v>58</v>
      </c>
      <c r="F926" s="84" t="s">
        <v>105</v>
      </c>
      <c r="G926" s="161" t="s">
        <v>1329</v>
      </c>
      <c r="H926" s="162" t="s">
        <v>1469</v>
      </c>
      <c r="I926" s="163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8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1" t="s">
        <v>1666</v>
      </c>
      <c r="C927" s="82" t="str">
        <f>VLOOKUP($B$7:$B$5000,SUM!$L$6:$L$500,1,FALSE)</f>
        <v>#N/A</v>
      </c>
      <c r="D927" s="160" t="s">
        <v>1318</v>
      </c>
      <c r="E927" s="100" t="s">
        <v>58</v>
      </c>
      <c r="F927" s="84" t="s">
        <v>105</v>
      </c>
      <c r="G927" s="161" t="s">
        <v>1329</v>
      </c>
      <c r="H927" s="162" t="s">
        <v>1471</v>
      </c>
      <c r="I927" s="163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8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1" t="s">
        <v>1667</v>
      </c>
      <c r="C928" s="82" t="str">
        <f>VLOOKUP($B$7:$B$5000,SUM!$L$6:$L$500,1,FALSE)</f>
        <v>#N/A</v>
      </c>
      <c r="D928" s="160" t="s">
        <v>1318</v>
      </c>
      <c r="E928" s="100" t="s">
        <v>58</v>
      </c>
      <c r="F928" s="84" t="s">
        <v>105</v>
      </c>
      <c r="G928" s="161" t="s">
        <v>1329</v>
      </c>
      <c r="H928" s="162" t="s">
        <v>1473</v>
      </c>
      <c r="I928" s="163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8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1" t="s">
        <v>1668</v>
      </c>
      <c r="C929" s="82" t="str">
        <f>VLOOKUP($B$7:$B$5000,SUM!$L$6:$L$500,1,FALSE)</f>
        <v>#N/A</v>
      </c>
      <c r="D929" s="160" t="s">
        <v>1318</v>
      </c>
      <c r="E929" s="100" t="s">
        <v>58</v>
      </c>
      <c r="F929" s="84" t="s">
        <v>105</v>
      </c>
      <c r="G929" s="161" t="s">
        <v>1329</v>
      </c>
      <c r="H929" s="162" t="s">
        <v>1475</v>
      </c>
      <c r="I929" s="163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8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1" t="s">
        <v>1669</v>
      </c>
      <c r="C930" s="82" t="str">
        <f>VLOOKUP($B$7:$B$5000,SUM!$L$6:$L$500,1,FALSE)</f>
        <v>#N/A</v>
      </c>
      <c r="D930" s="160" t="s">
        <v>1318</v>
      </c>
      <c r="E930" s="100" t="s">
        <v>58</v>
      </c>
      <c r="F930" s="84" t="s">
        <v>105</v>
      </c>
      <c r="G930" s="161" t="s">
        <v>1329</v>
      </c>
      <c r="H930" s="162" t="s">
        <v>1477</v>
      </c>
      <c r="I930" s="163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8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1" t="s">
        <v>1670</v>
      </c>
      <c r="C931" s="82" t="str">
        <f>VLOOKUP($B$7:$B$5000,SUM!$L$6:$L$500,1,FALSE)</f>
        <v>#N/A</v>
      </c>
      <c r="D931" s="160" t="s">
        <v>1318</v>
      </c>
      <c r="E931" s="100" t="s">
        <v>58</v>
      </c>
      <c r="F931" s="84" t="s">
        <v>105</v>
      </c>
      <c r="G931" s="161" t="s">
        <v>1415</v>
      </c>
      <c r="H931" s="162" t="s">
        <v>1479</v>
      </c>
      <c r="I931" s="163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8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1" t="s">
        <v>1671</v>
      </c>
      <c r="C932" s="82" t="str">
        <f>VLOOKUP($B$7:$B$5000,SUM!$L$6:$L$500,1,FALSE)</f>
        <v>#N/A</v>
      </c>
      <c r="D932" s="160" t="s">
        <v>1318</v>
      </c>
      <c r="E932" s="100" t="s">
        <v>58</v>
      </c>
      <c r="F932" s="84" t="s">
        <v>105</v>
      </c>
      <c r="G932" s="161" t="s">
        <v>1415</v>
      </c>
      <c r="H932" s="162" t="s">
        <v>1481</v>
      </c>
      <c r="I932" s="163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8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1" t="s">
        <v>1672</v>
      </c>
      <c r="C933" s="82" t="str">
        <f>VLOOKUP($B$7:$B$5000,SUM!$L$6:$L$500,1,FALSE)</f>
        <v>#N/A</v>
      </c>
      <c r="D933" s="160" t="s">
        <v>1318</v>
      </c>
      <c r="E933" s="100" t="s">
        <v>58</v>
      </c>
      <c r="F933" s="84" t="s">
        <v>105</v>
      </c>
      <c r="G933" s="161" t="s">
        <v>1415</v>
      </c>
      <c r="H933" s="162" t="s">
        <v>1483</v>
      </c>
      <c r="I933" s="163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8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1" t="s">
        <v>1673</v>
      </c>
      <c r="C934" s="82" t="str">
        <f>VLOOKUP($B$7:$B$5000,SUM!$L$6:$L$500,1,FALSE)</f>
        <v>#N/A</v>
      </c>
      <c r="D934" s="160" t="s">
        <v>1318</v>
      </c>
      <c r="E934" s="100" t="s">
        <v>58</v>
      </c>
      <c r="F934" s="84" t="s">
        <v>105</v>
      </c>
      <c r="G934" s="161" t="s">
        <v>1329</v>
      </c>
      <c r="H934" s="162" t="s">
        <v>1485</v>
      </c>
      <c r="I934" s="163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8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1" t="s">
        <v>1674</v>
      </c>
      <c r="C935" s="82" t="str">
        <f>VLOOKUP($B$7:$B$5000,SUM!$L$6:$L$500,1,FALSE)</f>
        <v>#N/A</v>
      </c>
      <c r="D935" s="160" t="s">
        <v>1318</v>
      </c>
      <c r="E935" s="100" t="s">
        <v>58</v>
      </c>
      <c r="F935" s="84" t="s">
        <v>105</v>
      </c>
      <c r="G935" s="161" t="s">
        <v>1329</v>
      </c>
      <c r="H935" s="162" t="s">
        <v>1487</v>
      </c>
      <c r="I935" s="163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8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1" t="s">
        <v>1675</v>
      </c>
      <c r="C936" s="82" t="str">
        <f>VLOOKUP($B$7:$B$5000,SUM!$L$6:$L$500,1,FALSE)</f>
        <v>#N/A</v>
      </c>
      <c r="D936" s="160" t="s">
        <v>1318</v>
      </c>
      <c r="E936" s="100" t="s">
        <v>58</v>
      </c>
      <c r="F936" s="84" t="s">
        <v>105</v>
      </c>
      <c r="G936" s="161" t="s">
        <v>1329</v>
      </c>
      <c r="H936" s="162" t="s">
        <v>1489</v>
      </c>
      <c r="I936" s="163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8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1" t="s">
        <v>1676</v>
      </c>
      <c r="C937" s="82" t="str">
        <f>VLOOKUP($B$7:$B$5000,SUM!$L$6:$L$500,1,FALSE)</f>
        <v>#N/A</v>
      </c>
      <c r="D937" s="160" t="s">
        <v>1318</v>
      </c>
      <c r="E937" s="100" t="s">
        <v>58</v>
      </c>
      <c r="F937" s="84" t="s">
        <v>105</v>
      </c>
      <c r="G937" s="161" t="s">
        <v>1329</v>
      </c>
      <c r="H937" s="162" t="s">
        <v>1491</v>
      </c>
      <c r="I937" s="163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8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1" t="s">
        <v>1677</v>
      </c>
      <c r="C938" s="82" t="str">
        <f>VLOOKUP($B$7:$B$5000,SUM!$L$6:$L$500,1,FALSE)</f>
        <v>#N/A</v>
      </c>
      <c r="D938" s="160" t="s">
        <v>1318</v>
      </c>
      <c r="E938" s="100" t="s">
        <v>58</v>
      </c>
      <c r="F938" s="84" t="s">
        <v>105</v>
      </c>
      <c r="G938" s="161" t="s">
        <v>1329</v>
      </c>
      <c r="H938" s="162" t="s">
        <v>1493</v>
      </c>
      <c r="I938" s="163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8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1" t="s">
        <v>1678</v>
      </c>
      <c r="C939" s="82" t="str">
        <f>VLOOKUP($B$7:$B$5000,SUM!$L$6:$L$500,1,FALSE)</f>
        <v>#N/A</v>
      </c>
      <c r="D939" s="160" t="s">
        <v>1318</v>
      </c>
      <c r="E939" s="100" t="s">
        <v>58</v>
      </c>
      <c r="F939" s="84" t="s">
        <v>105</v>
      </c>
      <c r="G939" s="161" t="s">
        <v>1329</v>
      </c>
      <c r="H939" s="162" t="s">
        <v>1495</v>
      </c>
      <c r="I939" s="163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8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1" t="s">
        <v>1679</v>
      </c>
      <c r="C940" s="82" t="str">
        <f>VLOOKUP($B$7:$B$5000,SUM!$L$6:$L$500,1,FALSE)</f>
        <v>#N/A</v>
      </c>
      <c r="D940" s="160" t="s">
        <v>1318</v>
      </c>
      <c r="E940" s="100" t="s">
        <v>58</v>
      </c>
      <c r="F940" s="84" t="s">
        <v>105</v>
      </c>
      <c r="G940" s="161" t="s">
        <v>1329</v>
      </c>
      <c r="H940" s="162" t="s">
        <v>1497</v>
      </c>
      <c r="I940" s="163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8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1" t="s">
        <v>1680</v>
      </c>
      <c r="C941" s="82" t="str">
        <f>VLOOKUP($B$7:$B$5000,SUM!$L$6:$L$500,1,FALSE)</f>
        <v>#N/A</v>
      </c>
      <c r="D941" s="160" t="s">
        <v>1318</v>
      </c>
      <c r="E941" s="100" t="s">
        <v>58</v>
      </c>
      <c r="F941" s="84" t="s">
        <v>105</v>
      </c>
      <c r="G941" s="161" t="s">
        <v>1329</v>
      </c>
      <c r="H941" s="162" t="s">
        <v>1499</v>
      </c>
      <c r="I941" s="163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8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1" t="s">
        <v>1681</v>
      </c>
      <c r="C942" s="82" t="str">
        <f>VLOOKUP($B$7:$B$5000,SUM!$L$6:$L$500,1,FALSE)</f>
        <v>#N/A</v>
      </c>
      <c r="D942" s="160" t="s">
        <v>1318</v>
      </c>
      <c r="E942" s="100" t="s">
        <v>58</v>
      </c>
      <c r="F942" s="84" t="s">
        <v>105</v>
      </c>
      <c r="G942" s="161" t="s">
        <v>1329</v>
      </c>
      <c r="H942" s="162" t="s">
        <v>1501</v>
      </c>
      <c r="I942" s="163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8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1" t="s">
        <v>1682</v>
      </c>
      <c r="C943" s="82" t="str">
        <f>VLOOKUP($B$7:$B$5000,SUM!$L$6:$L$500,1,FALSE)</f>
        <v>#N/A</v>
      </c>
      <c r="D943" s="160" t="s">
        <v>1318</v>
      </c>
      <c r="E943" s="100" t="s">
        <v>58</v>
      </c>
      <c r="F943" s="84" t="s">
        <v>105</v>
      </c>
      <c r="G943" s="161" t="s">
        <v>1329</v>
      </c>
      <c r="H943" s="162" t="s">
        <v>1503</v>
      </c>
      <c r="I943" s="163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8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1" t="s">
        <v>1683</v>
      </c>
      <c r="C944" s="82" t="str">
        <f>VLOOKUP($B$7:$B$5000,SUM!$L$6:$L$500,1,FALSE)</f>
        <v>#N/A</v>
      </c>
      <c r="D944" s="160" t="s">
        <v>1318</v>
      </c>
      <c r="E944" s="100" t="s">
        <v>58</v>
      </c>
      <c r="F944" s="84" t="s">
        <v>105</v>
      </c>
      <c r="G944" s="161" t="s">
        <v>1329</v>
      </c>
      <c r="H944" s="162" t="s">
        <v>1505</v>
      </c>
      <c r="I944" s="163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8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1" t="s">
        <v>1684</v>
      </c>
      <c r="C945" s="82" t="str">
        <f>VLOOKUP($B$7:$B$5000,SUM!$L$6:$L$500,1,FALSE)</f>
        <v>#N/A</v>
      </c>
      <c r="D945" s="160" t="s">
        <v>1318</v>
      </c>
      <c r="E945" s="100" t="s">
        <v>58</v>
      </c>
      <c r="F945" s="84" t="s">
        <v>105</v>
      </c>
      <c r="G945" s="161" t="s">
        <v>1329</v>
      </c>
      <c r="H945" s="162" t="s">
        <v>1507</v>
      </c>
      <c r="I945" s="163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8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1" t="s">
        <v>1685</v>
      </c>
      <c r="C946" s="82" t="str">
        <f>VLOOKUP($B$7:$B$5000,SUM!$L$6:$L$500,1,FALSE)</f>
        <v>#N/A</v>
      </c>
      <c r="D946" s="160" t="s">
        <v>1318</v>
      </c>
      <c r="E946" s="100" t="s">
        <v>58</v>
      </c>
      <c r="F946" s="84" t="s">
        <v>105</v>
      </c>
      <c r="G946" s="161" t="s">
        <v>1319</v>
      </c>
      <c r="H946" s="162" t="s">
        <v>1509</v>
      </c>
      <c r="I946" s="163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8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1" t="s">
        <v>1687</v>
      </c>
      <c r="C947" s="82" t="str">
        <f>VLOOKUP($B$7:$B$5000,SUM!$L$6:$L$500,1,FALSE)</f>
        <v>#N/A</v>
      </c>
      <c r="D947" s="160" t="s">
        <v>1318</v>
      </c>
      <c r="E947" s="100" t="s">
        <v>58</v>
      </c>
      <c r="F947" s="84" t="s">
        <v>105</v>
      </c>
      <c r="G947" s="161" t="s">
        <v>1319</v>
      </c>
      <c r="H947" s="162" t="s">
        <v>1512</v>
      </c>
      <c r="I947" s="163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8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1" t="s">
        <v>1688</v>
      </c>
      <c r="C948" s="82" t="str">
        <f>VLOOKUP($B$7:$B$5000,SUM!$L$6:$L$500,1,FALSE)</f>
        <v>#N/A</v>
      </c>
      <c r="D948" s="160" t="s">
        <v>1318</v>
      </c>
      <c r="E948" s="100" t="s">
        <v>58</v>
      </c>
      <c r="F948" s="84" t="s">
        <v>105</v>
      </c>
      <c r="G948" s="161" t="s">
        <v>1319</v>
      </c>
      <c r="H948" s="162" t="s">
        <v>1514</v>
      </c>
      <c r="I948" s="163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8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1" t="s">
        <v>1689</v>
      </c>
      <c r="C949" s="82" t="str">
        <f>VLOOKUP($B$7:$B$5000,SUM!$L$6:$L$500,1,FALSE)</f>
        <v>#N/A</v>
      </c>
      <c r="D949" s="160" t="s">
        <v>1318</v>
      </c>
      <c r="E949" s="100" t="s">
        <v>58</v>
      </c>
      <c r="F949" s="84" t="s">
        <v>105</v>
      </c>
      <c r="G949" s="161" t="s">
        <v>1319</v>
      </c>
      <c r="H949" s="162" t="s">
        <v>1516</v>
      </c>
      <c r="I949" s="163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8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1" t="s">
        <v>1690</v>
      </c>
      <c r="C950" s="82" t="str">
        <f>VLOOKUP($B$7:$B$5000,SUM!$L$6:$L$500,1,FALSE)</f>
        <v>#N/A</v>
      </c>
      <c r="D950" s="160" t="s">
        <v>1318</v>
      </c>
      <c r="E950" s="100" t="s">
        <v>58</v>
      </c>
      <c r="F950" s="84" t="s">
        <v>105</v>
      </c>
      <c r="G950" s="161" t="s">
        <v>1319</v>
      </c>
      <c r="H950" s="162" t="s">
        <v>1518</v>
      </c>
      <c r="I950" s="163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8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1" t="s">
        <v>1691</v>
      </c>
      <c r="C951" s="82" t="str">
        <f>VLOOKUP($B$7:$B$5000,SUM!$L$6:$L$500,1,FALSE)</f>
        <v>#N/A</v>
      </c>
      <c r="D951" s="160" t="s">
        <v>1318</v>
      </c>
      <c r="E951" s="100" t="s">
        <v>58</v>
      </c>
      <c r="F951" s="84" t="s">
        <v>105</v>
      </c>
      <c r="G951" s="161" t="s">
        <v>1319</v>
      </c>
      <c r="H951" s="162" t="s">
        <v>1520</v>
      </c>
      <c r="I951" s="163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8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1" t="s">
        <v>1692</v>
      </c>
      <c r="C952" s="82" t="str">
        <f>VLOOKUP($B$7:$B$5000,SUM!$L$6:$L$500,1,FALSE)</f>
        <v>#N/A</v>
      </c>
      <c r="D952" s="160" t="s">
        <v>1318</v>
      </c>
      <c r="E952" s="100" t="s">
        <v>58</v>
      </c>
      <c r="F952" s="84" t="s">
        <v>105</v>
      </c>
      <c r="G952" s="161" t="s">
        <v>1319</v>
      </c>
      <c r="H952" s="162" t="s">
        <v>1522</v>
      </c>
      <c r="I952" s="163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8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1" t="s">
        <v>1693</v>
      </c>
      <c r="C953" s="82" t="str">
        <f>VLOOKUP($B$7:$B$5000,SUM!$L$6:$L$500,1,FALSE)</f>
        <v>#N/A</v>
      </c>
      <c r="D953" s="160" t="s">
        <v>1318</v>
      </c>
      <c r="E953" s="100" t="s">
        <v>58</v>
      </c>
      <c r="F953" s="84" t="s">
        <v>105</v>
      </c>
      <c r="G953" s="161" t="s">
        <v>1319</v>
      </c>
      <c r="H953" s="162" t="s">
        <v>1524</v>
      </c>
      <c r="I953" s="163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8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1" t="s">
        <v>1694</v>
      </c>
      <c r="C954" s="82" t="str">
        <f>VLOOKUP($B$7:$B$5000,SUM!$L$6:$L$500,1,FALSE)</f>
        <v>#N/A</v>
      </c>
      <c r="D954" s="160" t="s">
        <v>1318</v>
      </c>
      <c r="E954" s="100" t="s">
        <v>58</v>
      </c>
      <c r="F954" s="84" t="s">
        <v>105</v>
      </c>
      <c r="G954" s="161" t="s">
        <v>1319</v>
      </c>
      <c r="H954" s="162" t="s">
        <v>1526</v>
      </c>
      <c r="I954" s="163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8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1" t="s">
        <v>1696</v>
      </c>
      <c r="C955" s="82" t="str">
        <f>VLOOKUP($B$7:$B$5000,SUM!$L$6:$L$500,1,FALSE)</f>
        <v>#N/A</v>
      </c>
      <c r="D955" s="160" t="s">
        <v>1318</v>
      </c>
      <c r="E955" s="100" t="s">
        <v>58</v>
      </c>
      <c r="F955" s="84" t="s">
        <v>105</v>
      </c>
      <c r="G955" s="161" t="s">
        <v>1319</v>
      </c>
      <c r="H955" s="162" t="s">
        <v>1529</v>
      </c>
      <c r="I955" s="163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8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1" t="s">
        <v>1697</v>
      </c>
      <c r="C956" s="82" t="str">
        <f>VLOOKUP($B$7:$B$5000,SUM!$L$6:$L$500,1,FALSE)</f>
        <v>#N/A</v>
      </c>
      <c r="D956" s="160" t="s">
        <v>1318</v>
      </c>
      <c r="E956" s="100" t="s">
        <v>58</v>
      </c>
      <c r="F956" s="84" t="s">
        <v>105</v>
      </c>
      <c r="G956" s="161" t="s">
        <v>1319</v>
      </c>
      <c r="H956" s="162" t="s">
        <v>1531</v>
      </c>
      <c r="I956" s="163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8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1" t="s">
        <v>1698</v>
      </c>
      <c r="C957" s="82" t="str">
        <f>VLOOKUP($B$7:$B$5000,SUM!$L$6:$L$500,1,FALSE)</f>
        <v>#N/A</v>
      </c>
      <c r="D957" s="160" t="s">
        <v>1318</v>
      </c>
      <c r="E957" s="100" t="s">
        <v>58</v>
      </c>
      <c r="F957" s="84" t="s">
        <v>105</v>
      </c>
      <c r="G957" s="161" t="s">
        <v>1319</v>
      </c>
      <c r="H957" s="162" t="s">
        <v>1533</v>
      </c>
      <c r="I957" s="163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8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1" t="s">
        <v>1699</v>
      </c>
      <c r="C958" s="82" t="str">
        <f>VLOOKUP($B$7:$B$5000,SUM!$L$6:$L$500,1,FALSE)</f>
        <v>#N/A</v>
      </c>
      <c r="D958" s="160" t="s">
        <v>1318</v>
      </c>
      <c r="E958" s="100" t="s">
        <v>58</v>
      </c>
      <c r="F958" s="84" t="s">
        <v>105</v>
      </c>
      <c r="G958" s="161" t="s">
        <v>1319</v>
      </c>
      <c r="H958" s="162" t="s">
        <v>1535</v>
      </c>
      <c r="I958" s="163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8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1" t="s">
        <v>1700</v>
      </c>
      <c r="C959" s="82" t="str">
        <f>VLOOKUP($B$7:$B$5000,SUM!$L$6:$L$500,1,FALSE)</f>
        <v>#N/A</v>
      </c>
      <c r="D959" s="160" t="s">
        <v>1318</v>
      </c>
      <c r="E959" s="100" t="s">
        <v>58</v>
      </c>
      <c r="F959" s="84" t="s">
        <v>105</v>
      </c>
      <c r="G959" s="161" t="s">
        <v>1319</v>
      </c>
      <c r="H959" s="162" t="s">
        <v>1537</v>
      </c>
      <c r="I959" s="163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8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1" t="s">
        <v>1701</v>
      </c>
      <c r="C960" s="82" t="str">
        <f>VLOOKUP($B$7:$B$5000,SUM!$L$6:$L$500,1,FALSE)</f>
        <v>#N/A</v>
      </c>
      <c r="D960" s="160" t="s">
        <v>1318</v>
      </c>
      <c r="E960" s="100" t="s">
        <v>58</v>
      </c>
      <c r="F960" s="84" t="s">
        <v>105</v>
      </c>
      <c r="G960" s="161" t="s">
        <v>1319</v>
      </c>
      <c r="H960" s="162" t="s">
        <v>1539</v>
      </c>
      <c r="I960" s="163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8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1" t="s">
        <v>1702</v>
      </c>
      <c r="C961" s="82" t="str">
        <f>VLOOKUP($B$7:$B$5000,SUM!$L$6:$L$500,1,FALSE)</f>
        <v>#N/A</v>
      </c>
      <c r="D961" s="160" t="s">
        <v>1318</v>
      </c>
      <c r="E961" s="100" t="s">
        <v>58</v>
      </c>
      <c r="F961" s="84" t="s">
        <v>105</v>
      </c>
      <c r="G961" s="161" t="s">
        <v>1329</v>
      </c>
      <c r="H961" s="162" t="s">
        <v>1541</v>
      </c>
      <c r="I961" s="163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8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1" t="s">
        <v>1703</v>
      </c>
      <c r="C962" s="82" t="str">
        <f>VLOOKUP($B$7:$B$5000,SUM!$L$6:$L$500,1,FALSE)</f>
        <v>#N/A</v>
      </c>
      <c r="D962" s="160" t="s">
        <v>1318</v>
      </c>
      <c r="E962" s="100" t="s">
        <v>58</v>
      </c>
      <c r="F962" s="84" t="s">
        <v>105</v>
      </c>
      <c r="G962" s="161" t="s">
        <v>1329</v>
      </c>
      <c r="H962" s="162" t="s">
        <v>1543</v>
      </c>
      <c r="I962" s="163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8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1" t="s">
        <v>1705</v>
      </c>
      <c r="C963" s="82" t="str">
        <f>VLOOKUP($B$7:$B$5000,SUM!$L$6:$L$500,1,FALSE)</f>
        <v>#N/A</v>
      </c>
      <c r="D963" s="160" t="s">
        <v>1318</v>
      </c>
      <c r="E963" s="100" t="s">
        <v>58</v>
      </c>
      <c r="F963" s="84" t="s">
        <v>105</v>
      </c>
      <c r="G963" s="161" t="s">
        <v>1329</v>
      </c>
      <c r="H963" s="162" t="s">
        <v>1546</v>
      </c>
      <c r="I963" s="163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8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1" t="s">
        <v>1706</v>
      </c>
      <c r="C964" s="82" t="str">
        <f>VLOOKUP($B$7:$B$5000,SUM!$L$6:$L$500,1,FALSE)</f>
        <v>#N/A</v>
      </c>
      <c r="D964" s="160" t="s">
        <v>1318</v>
      </c>
      <c r="E964" s="100" t="s">
        <v>58</v>
      </c>
      <c r="F964" s="84" t="s">
        <v>105</v>
      </c>
      <c r="G964" s="161" t="s">
        <v>1329</v>
      </c>
      <c r="H964" s="162" t="s">
        <v>1548</v>
      </c>
      <c r="I964" s="163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8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1" t="s">
        <v>1707</v>
      </c>
      <c r="C965" s="82" t="str">
        <f>VLOOKUP($B$7:$B$5000,SUM!$L$6:$L$500,1,FALSE)</f>
        <v>#N/A</v>
      </c>
      <c r="D965" s="160" t="s">
        <v>1318</v>
      </c>
      <c r="E965" s="100" t="s">
        <v>58</v>
      </c>
      <c r="F965" s="84" t="s">
        <v>105</v>
      </c>
      <c r="G965" s="161" t="s">
        <v>1329</v>
      </c>
      <c r="H965" s="162" t="s">
        <v>1550</v>
      </c>
      <c r="I965" s="163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8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1" t="s">
        <v>1708</v>
      </c>
      <c r="C966" s="82" t="str">
        <f>VLOOKUP($B$7:$B$5000,SUM!$L$6:$L$500,1,FALSE)</f>
        <v>#N/A</v>
      </c>
      <c r="D966" s="160" t="s">
        <v>1318</v>
      </c>
      <c r="E966" s="100" t="s">
        <v>58</v>
      </c>
      <c r="F966" s="84" t="s">
        <v>105</v>
      </c>
      <c r="G966" s="161" t="s">
        <v>1329</v>
      </c>
      <c r="H966" s="162" t="s">
        <v>1552</v>
      </c>
      <c r="I966" s="163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8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1" t="s">
        <v>1709</v>
      </c>
      <c r="C967" s="82" t="str">
        <f>VLOOKUP($B$7:$B$5000,SUM!$L$6:$L$500,1,FALSE)</f>
        <v>#N/A</v>
      </c>
      <c r="D967" s="160" t="s">
        <v>1318</v>
      </c>
      <c r="E967" s="100" t="s">
        <v>58</v>
      </c>
      <c r="F967" s="84" t="s">
        <v>105</v>
      </c>
      <c r="G967" s="161" t="s">
        <v>1329</v>
      </c>
      <c r="H967" s="162" t="s">
        <v>1554</v>
      </c>
      <c r="I967" s="163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8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1" t="s">
        <v>1710</v>
      </c>
      <c r="C968" s="82" t="str">
        <f>VLOOKUP($B$7:$B$5000,SUM!$L$6:$L$500,1,FALSE)</f>
        <v>#N/A</v>
      </c>
      <c r="D968" s="160" t="s">
        <v>1318</v>
      </c>
      <c r="E968" s="100" t="s">
        <v>58</v>
      </c>
      <c r="F968" s="84" t="s">
        <v>105</v>
      </c>
      <c r="G968" s="161" t="s">
        <v>1329</v>
      </c>
      <c r="H968" s="162" t="s">
        <v>1556</v>
      </c>
      <c r="I968" s="163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8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1" t="s">
        <v>1711</v>
      </c>
      <c r="C969" s="82" t="str">
        <f>VLOOKUP($B$7:$B$5000,SUM!$L$6:$L$500,1,FALSE)</f>
        <v>#N/A</v>
      </c>
      <c r="D969" s="160" t="s">
        <v>1318</v>
      </c>
      <c r="E969" s="100" t="s">
        <v>58</v>
      </c>
      <c r="F969" s="84" t="s">
        <v>105</v>
      </c>
      <c r="G969" s="161" t="s">
        <v>1329</v>
      </c>
      <c r="H969" s="162" t="s">
        <v>1558</v>
      </c>
      <c r="I969" s="163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8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1" t="s">
        <v>1712</v>
      </c>
      <c r="C970" s="82" t="str">
        <f>VLOOKUP($B$7:$B$5000,SUM!$L$6:$L$500,1,FALSE)</f>
        <v>#N/A</v>
      </c>
      <c r="D970" s="160" t="s">
        <v>1318</v>
      </c>
      <c r="E970" s="100" t="s">
        <v>58</v>
      </c>
      <c r="F970" s="84" t="s">
        <v>105</v>
      </c>
      <c r="G970" s="161" t="s">
        <v>1415</v>
      </c>
      <c r="H970" s="162" t="s">
        <v>1560</v>
      </c>
      <c r="I970" s="163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8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1" t="s">
        <v>1714</v>
      </c>
      <c r="C971" s="82" t="str">
        <f>VLOOKUP($B$7:$B$5000,SUM!$L$6:$L$500,1,FALSE)</f>
        <v>#N/A</v>
      </c>
      <c r="D971" s="160" t="s">
        <v>1318</v>
      </c>
      <c r="E971" s="100" t="s">
        <v>58</v>
      </c>
      <c r="F971" s="84" t="s">
        <v>105</v>
      </c>
      <c r="G971" s="161" t="s">
        <v>1415</v>
      </c>
      <c r="H971" s="162" t="s">
        <v>1563</v>
      </c>
      <c r="I971" s="163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8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1" t="s">
        <v>1715</v>
      </c>
      <c r="C972" s="82" t="str">
        <f>VLOOKUP($B$7:$B$5000,SUM!$L$6:$L$500,1,FALSE)</f>
        <v>#N/A</v>
      </c>
      <c r="D972" s="160" t="s">
        <v>1318</v>
      </c>
      <c r="E972" s="100" t="s">
        <v>58</v>
      </c>
      <c r="F972" s="84" t="s">
        <v>105</v>
      </c>
      <c r="G972" s="161" t="s">
        <v>1415</v>
      </c>
      <c r="H972" s="162" t="s">
        <v>1565</v>
      </c>
      <c r="I972" s="163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8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1" t="s">
        <v>1716</v>
      </c>
      <c r="C973" s="82" t="str">
        <f>VLOOKUP($B$7:$B$5000,SUM!$L$6:$L$500,1,FALSE)</f>
        <v>#N/A</v>
      </c>
      <c r="D973" s="160" t="s">
        <v>1318</v>
      </c>
      <c r="E973" s="100" t="s">
        <v>58</v>
      </c>
      <c r="F973" s="84" t="s">
        <v>105</v>
      </c>
      <c r="G973" s="161" t="s">
        <v>1567</v>
      </c>
      <c r="H973" s="162" t="s">
        <v>1568</v>
      </c>
      <c r="I973" s="163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8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1" t="s">
        <v>1718</v>
      </c>
      <c r="C974" s="82" t="str">
        <f>VLOOKUP($B$7:$B$5000,SUM!$L$6:$L$500,1,FALSE)</f>
        <v>#N/A</v>
      </c>
      <c r="D974" s="160" t="s">
        <v>1318</v>
      </c>
      <c r="E974" s="100" t="s">
        <v>58</v>
      </c>
      <c r="F974" s="84" t="s">
        <v>105</v>
      </c>
      <c r="G974" s="161" t="s">
        <v>1567</v>
      </c>
      <c r="H974" s="162" t="s">
        <v>1571</v>
      </c>
      <c r="I974" s="163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8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1" t="s">
        <v>1719</v>
      </c>
      <c r="C975" s="82" t="str">
        <f>VLOOKUP($B$7:$B$5000,SUM!$L$6:$L$500,1,FALSE)</f>
        <v>#N/A</v>
      </c>
      <c r="D975" s="160" t="s">
        <v>1318</v>
      </c>
      <c r="E975" s="100" t="s">
        <v>58</v>
      </c>
      <c r="F975" s="84" t="s">
        <v>105</v>
      </c>
      <c r="G975" s="161" t="s">
        <v>1567</v>
      </c>
      <c r="H975" s="162" t="s">
        <v>1573</v>
      </c>
      <c r="I975" s="163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8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1" t="s">
        <v>1720</v>
      </c>
      <c r="C976" s="82" t="str">
        <f>VLOOKUP($B$7:$B$5000,SUM!$L$6:$L$500,1,FALSE)</f>
        <v>#N/A</v>
      </c>
      <c r="D976" s="160" t="s">
        <v>1318</v>
      </c>
      <c r="E976" s="100" t="s">
        <v>58</v>
      </c>
      <c r="F976" s="84" t="s">
        <v>105</v>
      </c>
      <c r="G976" s="161" t="s">
        <v>1567</v>
      </c>
      <c r="H976" s="162" t="s">
        <v>1575</v>
      </c>
      <c r="I976" s="163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8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1" t="s">
        <v>1721</v>
      </c>
      <c r="C977" s="82" t="str">
        <f>VLOOKUP($B$7:$B$5000,SUM!$L$6:$L$500,1,FALSE)</f>
        <v>#N/A</v>
      </c>
      <c r="D977" s="160" t="s">
        <v>1318</v>
      </c>
      <c r="E977" s="100" t="s">
        <v>58</v>
      </c>
      <c r="F977" s="84" t="s">
        <v>105</v>
      </c>
      <c r="G977" s="161" t="s">
        <v>1567</v>
      </c>
      <c r="H977" s="162" t="s">
        <v>1577</v>
      </c>
      <c r="I977" s="163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8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1" t="s">
        <v>1722</v>
      </c>
      <c r="C978" s="82" t="str">
        <f>VLOOKUP($B$7:$B$5000,SUM!$L$6:$L$500,1,FALSE)</f>
        <v>#N/A</v>
      </c>
      <c r="D978" s="160" t="s">
        <v>1318</v>
      </c>
      <c r="E978" s="100" t="s">
        <v>58</v>
      </c>
      <c r="F978" s="84" t="s">
        <v>105</v>
      </c>
      <c r="G978" s="161" t="s">
        <v>1329</v>
      </c>
      <c r="H978" s="162" t="s">
        <v>1579</v>
      </c>
      <c r="I978" s="163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8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1" t="s">
        <v>1723</v>
      </c>
      <c r="C979" s="82" t="str">
        <f>VLOOKUP($B$7:$B$5000,SUM!$L$6:$L$500,1,FALSE)</f>
        <v>#N/A</v>
      </c>
      <c r="D979" s="160" t="s">
        <v>1318</v>
      </c>
      <c r="E979" s="100" t="s">
        <v>58</v>
      </c>
      <c r="F979" s="84" t="s">
        <v>105</v>
      </c>
      <c r="G979" s="161" t="s">
        <v>1329</v>
      </c>
      <c r="H979" s="162" t="s">
        <v>1581</v>
      </c>
      <c r="I979" s="163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8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1" t="s">
        <v>1724</v>
      </c>
      <c r="C980" s="82" t="str">
        <f>VLOOKUP($B$7:$B$5000,SUM!$L$6:$L$500,1,FALSE)</f>
        <v>#N/A</v>
      </c>
      <c r="D980" s="160" t="s">
        <v>1725</v>
      </c>
      <c r="E980" s="100" t="s">
        <v>58</v>
      </c>
      <c r="F980" s="84" t="s">
        <v>105</v>
      </c>
      <c r="G980" s="161" t="s">
        <v>1726</v>
      </c>
      <c r="H980" s="164" t="s">
        <v>1325</v>
      </c>
      <c r="I980" s="163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8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1" t="s">
        <v>1727</v>
      </c>
      <c r="C981" s="82" t="str">
        <f>VLOOKUP($B$7:$B$5000,SUM!$L$6:$L$500,1,FALSE)</f>
        <v>#N/A</v>
      </c>
      <c r="D981" s="160" t="s">
        <v>1725</v>
      </c>
      <c r="E981" s="100" t="s">
        <v>58</v>
      </c>
      <c r="F981" s="84" t="s">
        <v>105</v>
      </c>
      <c r="G981" s="161" t="s">
        <v>1726</v>
      </c>
      <c r="H981" s="164" t="s">
        <v>1327</v>
      </c>
      <c r="I981" s="163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8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1" t="s">
        <v>1728</v>
      </c>
      <c r="C982" s="82" t="str">
        <f>VLOOKUP($B$7:$B$5000,SUM!$L$6:$L$500,1,FALSE)</f>
        <v>#N/A</v>
      </c>
      <c r="D982" s="160" t="s">
        <v>1725</v>
      </c>
      <c r="E982" s="100" t="s">
        <v>58</v>
      </c>
      <c r="F982" s="84" t="s">
        <v>105</v>
      </c>
      <c r="G982" s="161" t="s">
        <v>1319</v>
      </c>
      <c r="H982" s="164" t="s">
        <v>1729</v>
      </c>
      <c r="I982" s="163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8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1" t="s">
        <v>1731</v>
      </c>
      <c r="C983" s="82" t="str">
        <f>VLOOKUP($B$7:$B$5000,SUM!$L$6:$L$500,1,FALSE)</f>
        <v>#N/A</v>
      </c>
      <c r="D983" s="160" t="s">
        <v>1725</v>
      </c>
      <c r="E983" s="100" t="s">
        <v>58</v>
      </c>
      <c r="F983" s="84" t="s">
        <v>105</v>
      </c>
      <c r="G983" s="161" t="s">
        <v>1319</v>
      </c>
      <c r="H983" s="164" t="s">
        <v>1732</v>
      </c>
      <c r="I983" s="163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8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1" t="s">
        <v>1733</v>
      </c>
      <c r="C984" s="82" t="str">
        <f>VLOOKUP($B$7:$B$5000,SUM!$L$6:$L$500,1,FALSE)</f>
        <v>#N/A</v>
      </c>
      <c r="D984" s="160" t="s">
        <v>1725</v>
      </c>
      <c r="E984" s="100" t="s">
        <v>58</v>
      </c>
      <c r="F984" s="84" t="s">
        <v>105</v>
      </c>
      <c r="G984" s="161" t="s">
        <v>1734</v>
      </c>
      <c r="H984" s="164" t="s">
        <v>1735</v>
      </c>
      <c r="I984" s="163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8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1" t="s">
        <v>1737</v>
      </c>
      <c r="C985" s="82" t="str">
        <f>VLOOKUP($B$7:$B$5000,SUM!$L$6:$L$500,1,FALSE)</f>
        <v>#N/A</v>
      </c>
      <c r="D985" s="160" t="s">
        <v>1725</v>
      </c>
      <c r="E985" s="100" t="s">
        <v>58</v>
      </c>
      <c r="F985" s="84" t="s">
        <v>105</v>
      </c>
      <c r="G985" s="161" t="s">
        <v>1734</v>
      </c>
      <c r="H985" s="164" t="s">
        <v>1738</v>
      </c>
      <c r="I985" s="163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8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1" t="s">
        <v>1739</v>
      </c>
      <c r="C986" s="82" t="str">
        <f>VLOOKUP($B$7:$B$5000,SUM!$L$6:$L$500,1,FALSE)</f>
        <v>#N/A</v>
      </c>
      <c r="D986" s="160" t="s">
        <v>1725</v>
      </c>
      <c r="E986" s="100" t="s">
        <v>58</v>
      </c>
      <c r="F986" s="84" t="s">
        <v>105</v>
      </c>
      <c r="G986" s="161" t="s">
        <v>1740</v>
      </c>
      <c r="H986" s="164" t="s">
        <v>1741</v>
      </c>
      <c r="I986" s="163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8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1" t="s">
        <v>1743</v>
      </c>
      <c r="C987" s="82" t="str">
        <f>VLOOKUP($B$7:$B$5000,SUM!$L$6:$L$500,1,FALSE)</f>
        <v>#N/A</v>
      </c>
      <c r="D987" s="160" t="s">
        <v>1725</v>
      </c>
      <c r="E987" s="100" t="s">
        <v>58</v>
      </c>
      <c r="F987" s="84" t="s">
        <v>105</v>
      </c>
      <c r="G987" s="161" t="s">
        <v>1740</v>
      </c>
      <c r="H987" s="164" t="s">
        <v>1744</v>
      </c>
      <c r="I987" s="163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8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1" t="s">
        <v>1745</v>
      </c>
      <c r="C988" s="82" t="str">
        <f>VLOOKUP($B$7:$B$5000,SUM!$L$6:$L$500,1,FALSE)</f>
        <v>#N/A</v>
      </c>
      <c r="D988" s="160" t="s">
        <v>1725</v>
      </c>
      <c r="E988" s="100" t="s">
        <v>58</v>
      </c>
      <c r="F988" s="84" t="s">
        <v>105</v>
      </c>
      <c r="G988" s="161" t="s">
        <v>1746</v>
      </c>
      <c r="H988" s="164" t="s">
        <v>1747</v>
      </c>
      <c r="I988" s="163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8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1" t="s">
        <v>1748</v>
      </c>
      <c r="C989" s="82" t="str">
        <f>VLOOKUP($B$7:$B$5000,SUM!$L$6:$L$500,1,FALSE)</f>
        <v>#N/A</v>
      </c>
      <c r="D989" s="160" t="s">
        <v>1725</v>
      </c>
      <c r="E989" s="100" t="s">
        <v>58</v>
      </c>
      <c r="F989" s="84" t="s">
        <v>105</v>
      </c>
      <c r="G989" s="161" t="s">
        <v>1749</v>
      </c>
      <c r="H989" s="164" t="s">
        <v>1750</v>
      </c>
      <c r="I989" s="163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8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1" t="s">
        <v>1752</v>
      </c>
      <c r="C990" s="82" t="str">
        <f>VLOOKUP($B$7:$B$5000,SUM!$L$6:$L$500,1,FALSE)</f>
        <v>#N/A</v>
      </c>
      <c r="D990" s="160" t="s">
        <v>1725</v>
      </c>
      <c r="E990" s="100" t="s">
        <v>58</v>
      </c>
      <c r="F990" s="84" t="s">
        <v>105</v>
      </c>
      <c r="G990" s="161" t="s">
        <v>1749</v>
      </c>
      <c r="H990" s="164" t="s">
        <v>1753</v>
      </c>
      <c r="I990" s="163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8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1" t="s">
        <v>1754</v>
      </c>
      <c r="C991" s="82" t="str">
        <f>VLOOKUP($B$7:$B$5000,SUM!$L$6:$L$500,1,FALSE)</f>
        <v>#N/A</v>
      </c>
      <c r="D991" s="160" t="s">
        <v>1725</v>
      </c>
      <c r="E991" s="100" t="s">
        <v>58</v>
      </c>
      <c r="F991" s="84" t="s">
        <v>105</v>
      </c>
      <c r="G991" s="161" t="s">
        <v>1749</v>
      </c>
      <c r="H991" s="164" t="s">
        <v>1755</v>
      </c>
      <c r="I991" s="163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8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1" t="s">
        <v>1756</v>
      </c>
      <c r="C992" s="82" t="str">
        <f>VLOOKUP($B$7:$B$5000,SUM!$L$6:$L$500,1,FALSE)</f>
        <v>#N/A</v>
      </c>
      <c r="D992" s="160" t="s">
        <v>1725</v>
      </c>
      <c r="E992" s="100" t="s">
        <v>58</v>
      </c>
      <c r="F992" s="84" t="s">
        <v>105</v>
      </c>
      <c r="G992" s="161" t="s">
        <v>1749</v>
      </c>
      <c r="H992" s="164" t="s">
        <v>1757</v>
      </c>
      <c r="I992" s="163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8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1" t="s">
        <v>1758</v>
      </c>
      <c r="C993" s="82" t="str">
        <f>VLOOKUP($B$7:$B$5000,SUM!$L$6:$L$500,1,FALSE)</f>
        <v>#N/A</v>
      </c>
      <c r="D993" s="160" t="s">
        <v>1725</v>
      </c>
      <c r="E993" s="100" t="s">
        <v>58</v>
      </c>
      <c r="F993" s="84" t="s">
        <v>105</v>
      </c>
      <c r="G993" s="161" t="s">
        <v>1749</v>
      </c>
      <c r="H993" s="164" t="s">
        <v>1759</v>
      </c>
      <c r="I993" s="163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8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1" t="s">
        <v>1760</v>
      </c>
      <c r="C994" s="82" t="str">
        <f>VLOOKUP($B$7:$B$5000,SUM!$L$6:$L$500,1,FALSE)</f>
        <v>#N/A</v>
      </c>
      <c r="D994" s="160" t="s">
        <v>1725</v>
      </c>
      <c r="E994" s="100" t="s">
        <v>58</v>
      </c>
      <c r="F994" s="84" t="s">
        <v>105</v>
      </c>
      <c r="G994" s="161" t="s">
        <v>1761</v>
      </c>
      <c r="H994" s="164" t="s">
        <v>1762</v>
      </c>
      <c r="I994" s="163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8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1" t="s">
        <v>1764</v>
      </c>
      <c r="C995" s="82" t="str">
        <f>VLOOKUP($B$7:$B$5000,SUM!$L$6:$L$500,1,FALSE)</f>
        <v>#N/A</v>
      </c>
      <c r="D995" s="160" t="s">
        <v>1725</v>
      </c>
      <c r="E995" s="100" t="s">
        <v>58</v>
      </c>
      <c r="F995" s="84" t="s">
        <v>105</v>
      </c>
      <c r="G995" s="161" t="s">
        <v>1765</v>
      </c>
      <c r="H995" s="164" t="s">
        <v>1766</v>
      </c>
      <c r="I995" s="163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8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1" t="s">
        <v>1767</v>
      </c>
      <c r="C996" s="82" t="str">
        <f>VLOOKUP($B$7:$B$5000,SUM!$L$6:$L$500,1,FALSE)</f>
        <v>#N/A</v>
      </c>
      <c r="D996" s="160" t="s">
        <v>1725</v>
      </c>
      <c r="E996" s="100" t="s">
        <v>58</v>
      </c>
      <c r="F996" s="84" t="s">
        <v>105</v>
      </c>
      <c r="G996" s="161" t="s">
        <v>1765</v>
      </c>
      <c r="H996" s="164" t="s">
        <v>1768</v>
      </c>
      <c r="I996" s="163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8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1" t="s">
        <v>1769</v>
      </c>
      <c r="C997" s="82" t="str">
        <f>VLOOKUP($B$7:$B$5000,SUM!$L$6:$L$500,1,FALSE)</f>
        <v>#N/A</v>
      </c>
      <c r="D997" s="160" t="s">
        <v>1725</v>
      </c>
      <c r="E997" s="100" t="s">
        <v>58</v>
      </c>
      <c r="F997" s="84" t="s">
        <v>105</v>
      </c>
      <c r="G997" s="161" t="s">
        <v>1765</v>
      </c>
      <c r="H997" s="164" t="s">
        <v>1770</v>
      </c>
      <c r="I997" s="163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8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1" t="s">
        <v>1771</v>
      </c>
      <c r="C998" s="82" t="str">
        <f>VLOOKUP($B$7:$B$5000,SUM!$L$6:$L$500,1,FALSE)</f>
        <v>#N/A</v>
      </c>
      <c r="D998" s="160" t="s">
        <v>1725</v>
      </c>
      <c r="E998" s="100" t="s">
        <v>58</v>
      </c>
      <c r="F998" s="84" t="s">
        <v>105</v>
      </c>
      <c r="G998" s="161" t="s">
        <v>1761</v>
      </c>
      <c r="H998" s="164" t="s">
        <v>1772</v>
      </c>
      <c r="I998" s="163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8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1" t="s">
        <v>1773</v>
      </c>
      <c r="C999" s="82" t="str">
        <f>VLOOKUP($B$7:$B$5000,SUM!$L$6:$L$500,1,FALSE)</f>
        <v>#N/A</v>
      </c>
      <c r="D999" s="160" t="s">
        <v>1725</v>
      </c>
      <c r="E999" s="100" t="s">
        <v>58</v>
      </c>
      <c r="F999" s="84" t="s">
        <v>105</v>
      </c>
      <c r="G999" s="161" t="s">
        <v>1761</v>
      </c>
      <c r="H999" s="164" t="s">
        <v>1774</v>
      </c>
      <c r="I999" s="163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8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1" t="s">
        <v>1775</v>
      </c>
      <c r="C1000" s="82" t="str">
        <f>VLOOKUP($B$7:$B$5000,SUM!$L$6:$L$500,1,FALSE)</f>
        <v>#N/A</v>
      </c>
      <c r="D1000" s="160" t="s">
        <v>1725</v>
      </c>
      <c r="E1000" s="100" t="s">
        <v>58</v>
      </c>
      <c r="F1000" s="84" t="s">
        <v>105</v>
      </c>
      <c r="G1000" s="161" t="s">
        <v>1761</v>
      </c>
      <c r="H1000" s="164" t="s">
        <v>1776</v>
      </c>
      <c r="I1000" s="163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8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1" t="s">
        <v>1778</v>
      </c>
      <c r="C1001" s="82" t="str">
        <f>VLOOKUP($B$7:$B$5000,SUM!$L$6:$L$500,1,FALSE)</f>
        <v>#N/A</v>
      </c>
      <c r="D1001" s="160" t="s">
        <v>1725</v>
      </c>
      <c r="E1001" s="100" t="s">
        <v>58</v>
      </c>
      <c r="F1001" s="84" t="s">
        <v>105</v>
      </c>
      <c r="G1001" s="161" t="s">
        <v>1761</v>
      </c>
      <c r="H1001" s="164" t="s">
        <v>1779</v>
      </c>
      <c r="I1001" s="163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8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1" t="s">
        <v>1781</v>
      </c>
      <c r="C1002" s="82" t="str">
        <f>VLOOKUP($B$7:$B$5000,SUM!$L$6:$L$500,1,FALSE)</f>
        <v>#N/A</v>
      </c>
      <c r="D1002" s="160" t="s">
        <v>1725</v>
      </c>
      <c r="E1002" s="100" t="s">
        <v>58</v>
      </c>
      <c r="F1002" s="84" t="s">
        <v>105</v>
      </c>
      <c r="G1002" s="161" t="s">
        <v>1782</v>
      </c>
      <c r="H1002" s="164" t="s">
        <v>1783</v>
      </c>
      <c r="I1002" s="163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8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1" t="s">
        <v>1784</v>
      </c>
      <c r="C1003" s="82" t="str">
        <f>VLOOKUP($B$7:$B$5000,SUM!$L$6:$L$500,1,FALSE)</f>
        <v>#N/A</v>
      </c>
      <c r="D1003" s="160" t="s">
        <v>1725</v>
      </c>
      <c r="E1003" s="100" t="s">
        <v>58</v>
      </c>
      <c r="F1003" s="84" t="s">
        <v>105</v>
      </c>
      <c r="G1003" s="161" t="s">
        <v>1746</v>
      </c>
      <c r="H1003" s="164" t="s">
        <v>1785</v>
      </c>
      <c r="I1003" s="163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8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1" t="s">
        <v>1786</v>
      </c>
      <c r="C1004" s="82" t="str">
        <f>VLOOKUP($B$7:$B$5000,SUM!$L$6:$L$500,1,FALSE)</f>
        <v>#N/A</v>
      </c>
      <c r="D1004" s="160" t="s">
        <v>1725</v>
      </c>
      <c r="E1004" s="100" t="s">
        <v>58</v>
      </c>
      <c r="F1004" s="84" t="s">
        <v>105</v>
      </c>
      <c r="G1004" s="161" t="s">
        <v>1761</v>
      </c>
      <c r="H1004" s="164" t="s">
        <v>1787</v>
      </c>
      <c r="I1004" s="163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8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1" t="s">
        <v>1788</v>
      </c>
      <c r="C1005" s="82" t="str">
        <f>VLOOKUP($B$7:$B$5000,SUM!$L$6:$L$500,1,FALSE)</f>
        <v>#N/A</v>
      </c>
      <c r="D1005" s="160" t="s">
        <v>1725</v>
      </c>
      <c r="E1005" s="100" t="s">
        <v>58</v>
      </c>
      <c r="F1005" s="84" t="s">
        <v>105</v>
      </c>
      <c r="G1005" s="161" t="s">
        <v>1789</v>
      </c>
      <c r="H1005" s="164" t="s">
        <v>1790</v>
      </c>
      <c r="I1005" s="163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8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1" t="s">
        <v>1791</v>
      </c>
      <c r="C1006" s="82" t="str">
        <f>VLOOKUP($B$7:$B$5000,SUM!$L$6:$L$500,1,FALSE)</f>
        <v>#N/A</v>
      </c>
      <c r="D1006" s="160" t="s">
        <v>1725</v>
      </c>
      <c r="E1006" s="100" t="s">
        <v>58</v>
      </c>
      <c r="F1006" s="84" t="s">
        <v>105</v>
      </c>
      <c r="G1006" s="161" t="s">
        <v>1789</v>
      </c>
      <c r="H1006" s="164" t="s">
        <v>1792</v>
      </c>
      <c r="I1006" s="163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8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1" t="s">
        <v>1793</v>
      </c>
      <c r="C1007" s="82" t="str">
        <f>VLOOKUP($B$7:$B$5000,SUM!$L$6:$L$500,1,FALSE)</f>
        <v>#N/A</v>
      </c>
      <c r="D1007" s="160" t="s">
        <v>1725</v>
      </c>
      <c r="E1007" s="100" t="s">
        <v>58</v>
      </c>
      <c r="F1007" s="84" t="s">
        <v>105</v>
      </c>
      <c r="G1007" s="161" t="s">
        <v>1761</v>
      </c>
      <c r="H1007" s="164" t="s">
        <v>1794</v>
      </c>
      <c r="I1007" s="163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8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1" t="s">
        <v>1795</v>
      </c>
      <c r="C1008" s="82" t="str">
        <f>VLOOKUP($B$7:$B$5000,SUM!$L$6:$L$500,1,FALSE)</f>
        <v>#N/A</v>
      </c>
      <c r="D1008" s="160" t="s">
        <v>1725</v>
      </c>
      <c r="E1008" s="100" t="s">
        <v>58</v>
      </c>
      <c r="F1008" s="84" t="s">
        <v>105</v>
      </c>
      <c r="G1008" s="161" t="s">
        <v>1765</v>
      </c>
      <c r="H1008" s="164" t="s">
        <v>1796</v>
      </c>
      <c r="I1008" s="163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8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1" t="s">
        <v>1797</v>
      </c>
      <c r="C1009" s="82" t="str">
        <f>VLOOKUP($B$7:$B$5000,SUM!$L$6:$L$500,1,FALSE)</f>
        <v>#N/A</v>
      </c>
      <c r="D1009" s="160" t="s">
        <v>1725</v>
      </c>
      <c r="E1009" s="100" t="s">
        <v>58</v>
      </c>
      <c r="F1009" s="84" t="s">
        <v>105</v>
      </c>
      <c r="G1009" s="161" t="s">
        <v>1765</v>
      </c>
      <c r="H1009" s="164" t="s">
        <v>1798</v>
      </c>
      <c r="I1009" s="163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8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1" t="s">
        <v>1799</v>
      </c>
      <c r="C1010" s="82" t="str">
        <f>VLOOKUP($B$7:$B$5000,SUM!$L$6:$L$500,1,FALSE)</f>
        <v>#N/A</v>
      </c>
      <c r="D1010" s="160" t="s">
        <v>1725</v>
      </c>
      <c r="E1010" s="100" t="s">
        <v>58</v>
      </c>
      <c r="F1010" s="84" t="s">
        <v>105</v>
      </c>
      <c r="G1010" s="161" t="s">
        <v>1765</v>
      </c>
      <c r="H1010" s="164" t="s">
        <v>1800</v>
      </c>
      <c r="I1010" s="163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8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1" t="s">
        <v>1801</v>
      </c>
      <c r="C1011" s="82" t="str">
        <f>VLOOKUP($B$7:$B$5000,SUM!$L$6:$L$500,1,FALSE)</f>
        <v>#N/A</v>
      </c>
      <c r="D1011" s="160" t="s">
        <v>1725</v>
      </c>
      <c r="E1011" s="100" t="s">
        <v>58</v>
      </c>
      <c r="F1011" s="84" t="s">
        <v>105</v>
      </c>
      <c r="G1011" s="161" t="s">
        <v>1761</v>
      </c>
      <c r="H1011" s="164" t="s">
        <v>1802</v>
      </c>
      <c r="I1011" s="163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8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1" t="s">
        <v>1803</v>
      </c>
      <c r="C1012" s="82" t="str">
        <f>VLOOKUP($B$7:$B$5000,SUM!$L$6:$L$500,1,FALSE)</f>
        <v>#N/A</v>
      </c>
      <c r="D1012" s="160" t="s">
        <v>1725</v>
      </c>
      <c r="E1012" s="100" t="s">
        <v>58</v>
      </c>
      <c r="F1012" s="84" t="s">
        <v>105</v>
      </c>
      <c r="G1012" s="161" t="s">
        <v>1761</v>
      </c>
      <c r="H1012" s="164" t="s">
        <v>1804</v>
      </c>
      <c r="I1012" s="163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8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1" t="s">
        <v>1805</v>
      </c>
      <c r="C1013" s="82" t="str">
        <f>VLOOKUP($B$7:$B$5000,SUM!$L$6:$L$500,1,FALSE)</f>
        <v>#N/A</v>
      </c>
      <c r="D1013" s="160" t="s">
        <v>1725</v>
      </c>
      <c r="E1013" s="100" t="s">
        <v>58</v>
      </c>
      <c r="F1013" s="84" t="s">
        <v>105</v>
      </c>
      <c r="G1013" s="161" t="s">
        <v>1806</v>
      </c>
      <c r="H1013" s="164" t="s">
        <v>1807</v>
      </c>
      <c r="I1013" s="163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8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1" t="s">
        <v>1808</v>
      </c>
      <c r="C1014" s="82" t="str">
        <f>VLOOKUP($B$7:$B$5000,SUM!$L$6:$L$500,1,FALSE)</f>
        <v>#N/A</v>
      </c>
      <c r="D1014" s="160" t="s">
        <v>1725</v>
      </c>
      <c r="E1014" s="100" t="s">
        <v>58</v>
      </c>
      <c r="F1014" s="84" t="s">
        <v>105</v>
      </c>
      <c r="G1014" s="161" t="s">
        <v>1809</v>
      </c>
      <c r="H1014" s="164" t="s">
        <v>1810</v>
      </c>
      <c r="I1014" s="163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8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1" t="s">
        <v>1812</v>
      </c>
      <c r="C1015" s="82" t="str">
        <f>VLOOKUP($B$7:$B$5000,SUM!$L$6:$L$500,1,FALSE)</f>
        <v>#N/A</v>
      </c>
      <c r="D1015" s="160" t="s">
        <v>1725</v>
      </c>
      <c r="E1015" s="100" t="s">
        <v>58</v>
      </c>
      <c r="F1015" s="84" t="s">
        <v>105</v>
      </c>
      <c r="G1015" s="161" t="s">
        <v>1813</v>
      </c>
      <c r="H1015" s="164" t="s">
        <v>1814</v>
      </c>
      <c r="I1015" s="163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8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1" t="s">
        <v>1816</v>
      </c>
      <c r="C1016" s="82" t="str">
        <f>VLOOKUP($B$7:$B$5000,SUM!$L$6:$L$500,1,FALSE)</f>
        <v>#N/A</v>
      </c>
      <c r="D1016" s="160" t="s">
        <v>1725</v>
      </c>
      <c r="E1016" s="100" t="s">
        <v>58</v>
      </c>
      <c r="F1016" s="84" t="s">
        <v>105</v>
      </c>
      <c r="G1016" s="161" t="s">
        <v>1813</v>
      </c>
      <c r="H1016" s="164" t="s">
        <v>1817</v>
      </c>
      <c r="I1016" s="163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8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1" t="s">
        <v>1819</v>
      </c>
      <c r="C1017" s="82" t="str">
        <f>VLOOKUP($B$7:$B$5000,SUM!$L$6:$L$500,1,FALSE)</f>
        <v>#N/A</v>
      </c>
      <c r="D1017" s="160" t="s">
        <v>1725</v>
      </c>
      <c r="E1017" s="100" t="s">
        <v>58</v>
      </c>
      <c r="F1017" s="84" t="s">
        <v>105</v>
      </c>
      <c r="G1017" s="161" t="s">
        <v>1820</v>
      </c>
      <c r="H1017" s="164" t="s">
        <v>1821</v>
      </c>
      <c r="I1017" s="163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8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1" t="s">
        <v>1823</v>
      </c>
      <c r="C1018" s="82" t="str">
        <f>VLOOKUP($B$7:$B$5000,SUM!$L$6:$L$500,1,FALSE)</f>
        <v>#N/A</v>
      </c>
      <c r="D1018" s="160" t="s">
        <v>1725</v>
      </c>
      <c r="E1018" s="100" t="s">
        <v>58</v>
      </c>
      <c r="F1018" s="84" t="s">
        <v>105</v>
      </c>
      <c r="G1018" s="161" t="s">
        <v>1824</v>
      </c>
      <c r="H1018" s="164" t="s">
        <v>1825</v>
      </c>
      <c r="I1018" s="163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8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1" t="s">
        <v>1826</v>
      </c>
      <c r="C1019" s="82" t="str">
        <f>VLOOKUP($B$7:$B$5000,SUM!$L$6:$L$500,1,FALSE)</f>
        <v>#N/A</v>
      </c>
      <c r="D1019" s="160" t="s">
        <v>1725</v>
      </c>
      <c r="E1019" s="100" t="s">
        <v>58</v>
      </c>
      <c r="F1019" s="84" t="s">
        <v>105</v>
      </c>
      <c r="G1019" s="161" t="s">
        <v>1362</v>
      </c>
      <c r="H1019" s="164" t="s">
        <v>1827</v>
      </c>
      <c r="I1019" s="163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8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1" t="s">
        <v>1829</v>
      </c>
      <c r="C1020" s="82" t="str">
        <f>VLOOKUP($B$7:$B$5000,SUM!$L$6:$L$500,1,FALSE)</f>
        <v>#N/A</v>
      </c>
      <c r="D1020" s="160" t="s">
        <v>1725</v>
      </c>
      <c r="E1020" s="100" t="s">
        <v>58</v>
      </c>
      <c r="F1020" s="84" t="s">
        <v>105</v>
      </c>
      <c r="G1020" s="161" t="s">
        <v>1362</v>
      </c>
      <c r="H1020" s="164" t="s">
        <v>1830</v>
      </c>
      <c r="I1020" s="163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8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1" t="s">
        <v>1831</v>
      </c>
      <c r="C1021" s="82" t="str">
        <f>VLOOKUP($B$7:$B$5000,SUM!$L$6:$L$500,1,FALSE)</f>
        <v>#N/A</v>
      </c>
      <c r="D1021" s="160" t="s">
        <v>1725</v>
      </c>
      <c r="E1021" s="100" t="s">
        <v>58</v>
      </c>
      <c r="F1021" s="84" t="s">
        <v>105</v>
      </c>
      <c r="G1021" s="161" t="s">
        <v>1362</v>
      </c>
      <c r="H1021" s="164" t="s">
        <v>1832</v>
      </c>
      <c r="I1021" s="163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8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1" t="s">
        <v>1833</v>
      </c>
      <c r="C1022" s="82" t="str">
        <f>VLOOKUP($B$7:$B$5000,SUM!$L$6:$L$500,1,FALSE)</f>
        <v>#N/A</v>
      </c>
      <c r="D1022" s="160" t="s">
        <v>1725</v>
      </c>
      <c r="E1022" s="100" t="s">
        <v>58</v>
      </c>
      <c r="F1022" s="84" t="s">
        <v>105</v>
      </c>
      <c r="G1022" s="161" t="s">
        <v>1362</v>
      </c>
      <c r="H1022" s="164" t="s">
        <v>1834</v>
      </c>
      <c r="I1022" s="163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8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1" t="s">
        <v>1835</v>
      </c>
      <c r="C1023" s="82" t="str">
        <f>VLOOKUP($B$7:$B$5000,SUM!$L$6:$L$500,1,FALSE)</f>
        <v>#N/A</v>
      </c>
      <c r="D1023" s="160" t="s">
        <v>1725</v>
      </c>
      <c r="E1023" s="100" t="s">
        <v>58</v>
      </c>
      <c r="F1023" s="84" t="s">
        <v>105</v>
      </c>
      <c r="G1023" s="161" t="s">
        <v>1362</v>
      </c>
      <c r="H1023" s="164" t="s">
        <v>1836</v>
      </c>
      <c r="I1023" s="163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8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1" t="s">
        <v>1837</v>
      </c>
      <c r="C1024" s="82" t="str">
        <f>VLOOKUP($B$7:$B$5000,SUM!$L$6:$L$500,1,FALSE)</f>
        <v>#N/A</v>
      </c>
      <c r="D1024" s="160" t="s">
        <v>1725</v>
      </c>
      <c r="E1024" s="100" t="s">
        <v>58</v>
      </c>
      <c r="F1024" s="84" t="s">
        <v>105</v>
      </c>
      <c r="G1024" s="161" t="s">
        <v>1362</v>
      </c>
      <c r="H1024" s="164" t="s">
        <v>1838</v>
      </c>
      <c r="I1024" s="163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8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1" t="s">
        <v>1839</v>
      </c>
      <c r="C1025" s="82" t="str">
        <f>VLOOKUP($B$7:$B$5000,SUM!$L$6:$L$500,1,FALSE)</f>
        <v>#N/A</v>
      </c>
      <c r="D1025" s="160" t="s">
        <v>1725</v>
      </c>
      <c r="E1025" s="100" t="s">
        <v>58</v>
      </c>
      <c r="F1025" s="84" t="s">
        <v>105</v>
      </c>
      <c r="G1025" s="161" t="s">
        <v>1362</v>
      </c>
      <c r="H1025" s="164" t="s">
        <v>1840</v>
      </c>
      <c r="I1025" s="163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8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1" t="s">
        <v>1841</v>
      </c>
      <c r="C1026" s="82" t="str">
        <f>VLOOKUP($B$7:$B$5000,SUM!$L$6:$L$500,1,FALSE)</f>
        <v>#N/A</v>
      </c>
      <c r="D1026" s="160" t="s">
        <v>1725</v>
      </c>
      <c r="E1026" s="100" t="s">
        <v>58</v>
      </c>
      <c r="F1026" s="84" t="s">
        <v>105</v>
      </c>
      <c r="G1026" s="161" t="s">
        <v>1362</v>
      </c>
      <c r="H1026" s="164" t="s">
        <v>1842</v>
      </c>
      <c r="I1026" s="163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8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1" t="s">
        <v>1843</v>
      </c>
      <c r="C1027" s="82" t="str">
        <f>VLOOKUP($B$7:$B$5000,SUM!$L$6:$L$500,1,FALSE)</f>
        <v>#N/A</v>
      </c>
      <c r="D1027" s="160" t="s">
        <v>1725</v>
      </c>
      <c r="E1027" s="100" t="s">
        <v>58</v>
      </c>
      <c r="F1027" s="84" t="s">
        <v>105</v>
      </c>
      <c r="G1027" s="161" t="s">
        <v>1362</v>
      </c>
      <c r="H1027" s="164" t="s">
        <v>1844</v>
      </c>
      <c r="I1027" s="163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8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1" t="s">
        <v>1845</v>
      </c>
      <c r="C1028" s="82" t="str">
        <f>VLOOKUP($B$7:$B$5000,SUM!$L$6:$L$500,1,FALSE)</f>
        <v>#N/A</v>
      </c>
      <c r="D1028" s="160" t="s">
        <v>1725</v>
      </c>
      <c r="E1028" s="100" t="s">
        <v>58</v>
      </c>
      <c r="F1028" s="84" t="s">
        <v>105</v>
      </c>
      <c r="G1028" s="161" t="s">
        <v>1362</v>
      </c>
      <c r="H1028" s="164" t="s">
        <v>1846</v>
      </c>
      <c r="I1028" s="163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8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1" t="s">
        <v>1847</v>
      </c>
      <c r="C1029" s="82" t="str">
        <f>VLOOKUP($B$7:$B$5000,SUM!$L$6:$L$500,1,FALSE)</f>
        <v>#N/A</v>
      </c>
      <c r="D1029" s="160" t="s">
        <v>1725</v>
      </c>
      <c r="E1029" s="100" t="s">
        <v>58</v>
      </c>
      <c r="F1029" s="84" t="s">
        <v>105</v>
      </c>
      <c r="G1029" s="161" t="s">
        <v>1362</v>
      </c>
      <c r="H1029" s="164" t="s">
        <v>1848</v>
      </c>
      <c r="I1029" s="163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8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1" t="s">
        <v>1849</v>
      </c>
      <c r="C1030" s="82" t="str">
        <f>VLOOKUP($B$7:$B$5000,SUM!$L$6:$L$500,1,FALSE)</f>
        <v>#N/A</v>
      </c>
      <c r="D1030" s="160" t="s">
        <v>1725</v>
      </c>
      <c r="E1030" s="100" t="s">
        <v>58</v>
      </c>
      <c r="F1030" s="84" t="s">
        <v>105</v>
      </c>
      <c r="G1030" s="161" t="s">
        <v>1362</v>
      </c>
      <c r="H1030" s="164" t="s">
        <v>1850</v>
      </c>
      <c r="I1030" s="163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8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1" t="s">
        <v>1851</v>
      </c>
      <c r="C1031" s="82" t="str">
        <f>VLOOKUP($B$7:$B$5000,SUM!$L$6:$L$500,1,FALSE)</f>
        <v>#N/A</v>
      </c>
      <c r="D1031" s="160" t="s">
        <v>1725</v>
      </c>
      <c r="E1031" s="100" t="s">
        <v>58</v>
      </c>
      <c r="F1031" s="84" t="s">
        <v>105</v>
      </c>
      <c r="G1031" s="161" t="s">
        <v>1362</v>
      </c>
      <c r="H1031" s="164" t="s">
        <v>1852</v>
      </c>
      <c r="I1031" s="163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8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1" t="s">
        <v>1853</v>
      </c>
      <c r="C1032" s="82" t="str">
        <f>VLOOKUP($B$7:$B$5000,SUM!$L$6:$L$500,1,FALSE)</f>
        <v>#N/A</v>
      </c>
      <c r="D1032" s="160" t="s">
        <v>1725</v>
      </c>
      <c r="E1032" s="100" t="s">
        <v>58</v>
      </c>
      <c r="F1032" s="84" t="s">
        <v>105</v>
      </c>
      <c r="G1032" s="161" t="s">
        <v>1362</v>
      </c>
      <c r="H1032" s="164" t="s">
        <v>1854</v>
      </c>
      <c r="I1032" s="163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8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1" t="s">
        <v>1855</v>
      </c>
      <c r="C1033" s="82" t="str">
        <f>VLOOKUP($B$7:$B$5000,SUM!$L$6:$L$500,1,FALSE)</f>
        <v>#N/A</v>
      </c>
      <c r="D1033" s="160" t="s">
        <v>1725</v>
      </c>
      <c r="E1033" s="100" t="s">
        <v>58</v>
      </c>
      <c r="F1033" s="84" t="s">
        <v>105</v>
      </c>
      <c r="G1033" s="161" t="s">
        <v>1362</v>
      </c>
      <c r="H1033" s="164" t="s">
        <v>1856</v>
      </c>
      <c r="I1033" s="163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8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1" t="s">
        <v>1857</v>
      </c>
      <c r="C1034" s="82" t="str">
        <f>VLOOKUP($B$7:$B$5000,SUM!$L$6:$L$500,1,FALSE)</f>
        <v>#N/A</v>
      </c>
      <c r="D1034" s="160" t="s">
        <v>1725</v>
      </c>
      <c r="E1034" s="100" t="s">
        <v>58</v>
      </c>
      <c r="F1034" s="84" t="s">
        <v>105</v>
      </c>
      <c r="G1034" s="161" t="s">
        <v>1362</v>
      </c>
      <c r="H1034" s="164" t="s">
        <v>1858</v>
      </c>
      <c r="I1034" s="163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8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1" t="s">
        <v>1859</v>
      </c>
      <c r="C1035" s="82" t="str">
        <f>VLOOKUP($B$7:$B$5000,SUM!$L$6:$L$500,1,FALSE)</f>
        <v>#N/A</v>
      </c>
      <c r="D1035" s="160" t="s">
        <v>1725</v>
      </c>
      <c r="E1035" s="100" t="s">
        <v>58</v>
      </c>
      <c r="F1035" s="84" t="s">
        <v>105</v>
      </c>
      <c r="G1035" s="161" t="s">
        <v>1362</v>
      </c>
      <c r="H1035" s="164" t="s">
        <v>1860</v>
      </c>
      <c r="I1035" s="163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8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1" t="s">
        <v>1861</v>
      </c>
      <c r="C1036" s="82" t="str">
        <f>VLOOKUP($B$7:$B$5000,SUM!$L$6:$L$500,1,FALSE)</f>
        <v>#N/A</v>
      </c>
      <c r="D1036" s="160" t="s">
        <v>1725</v>
      </c>
      <c r="E1036" s="100" t="s">
        <v>58</v>
      </c>
      <c r="F1036" s="84" t="s">
        <v>105</v>
      </c>
      <c r="G1036" s="161" t="s">
        <v>1362</v>
      </c>
      <c r="H1036" s="164" t="s">
        <v>1862</v>
      </c>
      <c r="I1036" s="163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8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1" t="s">
        <v>1863</v>
      </c>
      <c r="C1037" s="82" t="str">
        <f>VLOOKUP($B$7:$B$5000,SUM!$L$6:$L$500,1,FALSE)</f>
        <v>#N/A</v>
      </c>
      <c r="D1037" s="160" t="s">
        <v>1725</v>
      </c>
      <c r="E1037" s="100" t="s">
        <v>58</v>
      </c>
      <c r="F1037" s="84" t="s">
        <v>105</v>
      </c>
      <c r="G1037" s="161" t="s">
        <v>1362</v>
      </c>
      <c r="H1037" s="164" t="s">
        <v>1864</v>
      </c>
      <c r="I1037" s="163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8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1" t="s">
        <v>1866</v>
      </c>
      <c r="C1038" s="82" t="str">
        <f>VLOOKUP($B$7:$B$5000,SUM!$L$6:$L$500,1,FALSE)</f>
        <v>#N/A</v>
      </c>
      <c r="D1038" s="160" t="s">
        <v>1725</v>
      </c>
      <c r="E1038" s="100" t="s">
        <v>58</v>
      </c>
      <c r="F1038" s="84" t="s">
        <v>105</v>
      </c>
      <c r="G1038" s="161" t="s">
        <v>1362</v>
      </c>
      <c r="H1038" s="164" t="s">
        <v>1867</v>
      </c>
      <c r="I1038" s="163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8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1" t="s">
        <v>1868</v>
      </c>
      <c r="C1039" s="82" t="str">
        <f>VLOOKUP($B$7:$B$5000,SUM!$L$6:$L$500,1,FALSE)</f>
        <v>#N/A</v>
      </c>
      <c r="D1039" s="160" t="s">
        <v>1725</v>
      </c>
      <c r="E1039" s="100" t="s">
        <v>58</v>
      </c>
      <c r="F1039" s="84" t="s">
        <v>105</v>
      </c>
      <c r="G1039" s="161" t="s">
        <v>1824</v>
      </c>
      <c r="H1039" s="164" t="s">
        <v>1869</v>
      </c>
      <c r="I1039" s="163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8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1" t="s">
        <v>1870</v>
      </c>
      <c r="C1040" s="82" t="str">
        <f>VLOOKUP($B$7:$B$5000,SUM!$L$6:$L$500,1,FALSE)</f>
        <v>#N/A</v>
      </c>
      <c r="D1040" s="160" t="s">
        <v>1725</v>
      </c>
      <c r="E1040" s="100" t="s">
        <v>58</v>
      </c>
      <c r="F1040" s="84" t="s">
        <v>105</v>
      </c>
      <c r="G1040" s="161" t="s">
        <v>1871</v>
      </c>
      <c r="H1040" s="164" t="s">
        <v>1872</v>
      </c>
      <c r="I1040" s="163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8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1" t="s">
        <v>1874</v>
      </c>
      <c r="C1041" s="82" t="str">
        <f>VLOOKUP($B$7:$B$5000,SUM!$L$6:$L$500,1,FALSE)</f>
        <v>#N/A</v>
      </c>
      <c r="D1041" s="160" t="s">
        <v>1725</v>
      </c>
      <c r="E1041" s="100" t="s">
        <v>58</v>
      </c>
      <c r="F1041" s="84" t="s">
        <v>105</v>
      </c>
      <c r="G1041" s="161" t="s">
        <v>1871</v>
      </c>
      <c r="H1041" s="164" t="s">
        <v>1875</v>
      </c>
      <c r="I1041" s="163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8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1" t="s">
        <v>1876</v>
      </c>
      <c r="C1042" s="82" t="str">
        <f>VLOOKUP($B$7:$B$5000,SUM!$L$6:$L$500,1,FALSE)</f>
        <v>#N/A</v>
      </c>
      <c r="D1042" s="160" t="s">
        <v>1725</v>
      </c>
      <c r="E1042" s="100" t="s">
        <v>58</v>
      </c>
      <c r="F1042" s="84" t="s">
        <v>105</v>
      </c>
      <c r="G1042" s="161" t="s">
        <v>1871</v>
      </c>
      <c r="H1042" s="164" t="s">
        <v>1877</v>
      </c>
      <c r="I1042" s="163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8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1" t="s">
        <v>1878</v>
      </c>
      <c r="C1043" s="82" t="str">
        <f>VLOOKUP($B$7:$B$5000,SUM!$L$6:$L$500,1,FALSE)</f>
        <v>#N/A</v>
      </c>
      <c r="D1043" s="160" t="s">
        <v>1725</v>
      </c>
      <c r="E1043" s="100" t="s">
        <v>58</v>
      </c>
      <c r="F1043" s="84" t="s">
        <v>105</v>
      </c>
      <c r="G1043" s="161" t="s">
        <v>1871</v>
      </c>
      <c r="H1043" s="164" t="s">
        <v>1879</v>
      </c>
      <c r="I1043" s="163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8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1" t="s">
        <v>1881</v>
      </c>
      <c r="C1044" s="82" t="str">
        <f>VLOOKUP($B$7:$B$5000,SUM!$L$6:$L$500,1,FALSE)</f>
        <v>#N/A</v>
      </c>
      <c r="D1044" s="160" t="s">
        <v>1725</v>
      </c>
      <c r="E1044" s="100" t="s">
        <v>58</v>
      </c>
      <c r="F1044" s="84" t="s">
        <v>105</v>
      </c>
      <c r="G1044" s="161" t="s">
        <v>1871</v>
      </c>
      <c r="H1044" s="164" t="s">
        <v>1882</v>
      </c>
      <c r="I1044" s="163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8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1" t="s">
        <v>1883</v>
      </c>
      <c r="C1045" s="82" t="str">
        <f>VLOOKUP($B$7:$B$5000,SUM!$L$6:$L$500,1,FALSE)</f>
        <v>#N/A</v>
      </c>
      <c r="D1045" s="160" t="s">
        <v>1725</v>
      </c>
      <c r="E1045" s="100" t="s">
        <v>58</v>
      </c>
      <c r="F1045" s="84" t="s">
        <v>105</v>
      </c>
      <c r="G1045" s="161" t="s">
        <v>1871</v>
      </c>
      <c r="H1045" s="164" t="s">
        <v>1884</v>
      </c>
      <c r="I1045" s="163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8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1" t="s">
        <v>1885</v>
      </c>
      <c r="C1046" s="82" t="str">
        <f>VLOOKUP($B$7:$B$5000,SUM!$L$6:$L$500,1,FALSE)</f>
        <v>#N/A</v>
      </c>
      <c r="D1046" s="160" t="s">
        <v>1725</v>
      </c>
      <c r="E1046" s="100" t="s">
        <v>58</v>
      </c>
      <c r="F1046" s="84" t="s">
        <v>105</v>
      </c>
      <c r="G1046" s="161" t="s">
        <v>1329</v>
      </c>
      <c r="H1046" s="164" t="s">
        <v>1886</v>
      </c>
      <c r="I1046" s="163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8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1" t="s">
        <v>1888</v>
      </c>
      <c r="C1047" s="82" t="str">
        <f>VLOOKUP($B$7:$B$5000,SUM!$L$6:$L$500,1,FALSE)</f>
        <v>#N/A</v>
      </c>
      <c r="D1047" s="160" t="s">
        <v>1725</v>
      </c>
      <c r="E1047" s="100" t="s">
        <v>58</v>
      </c>
      <c r="F1047" s="84" t="s">
        <v>105</v>
      </c>
      <c r="G1047" s="161" t="s">
        <v>1765</v>
      </c>
      <c r="H1047" s="164" t="s">
        <v>1889</v>
      </c>
      <c r="I1047" s="163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8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1" t="s">
        <v>1890</v>
      </c>
      <c r="C1048" s="82" t="str">
        <f>VLOOKUP($B$7:$B$5000,SUM!$L$6:$L$500,1,FALSE)</f>
        <v>#N/A</v>
      </c>
      <c r="D1048" s="160" t="s">
        <v>1725</v>
      </c>
      <c r="E1048" s="100" t="s">
        <v>58</v>
      </c>
      <c r="F1048" s="84" t="s">
        <v>105</v>
      </c>
      <c r="G1048" s="161" t="s">
        <v>1765</v>
      </c>
      <c r="H1048" s="164" t="s">
        <v>1891</v>
      </c>
      <c r="I1048" s="163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8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1" t="s">
        <v>1892</v>
      </c>
      <c r="C1049" s="82" t="str">
        <f>VLOOKUP($B$7:$B$5000,SUM!$L$6:$L$500,1,FALSE)</f>
        <v>#N/A</v>
      </c>
      <c r="D1049" s="160" t="s">
        <v>1725</v>
      </c>
      <c r="E1049" s="100" t="s">
        <v>58</v>
      </c>
      <c r="F1049" s="84" t="s">
        <v>105</v>
      </c>
      <c r="G1049" s="161" t="s">
        <v>1734</v>
      </c>
      <c r="H1049" s="164" t="s">
        <v>1893</v>
      </c>
      <c r="I1049" s="163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8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1" t="s">
        <v>1894</v>
      </c>
      <c r="C1050" s="82" t="str">
        <f>VLOOKUP($B$7:$B$5000,SUM!$L$6:$L$500,1,FALSE)</f>
        <v>#N/A</v>
      </c>
      <c r="D1050" s="160" t="s">
        <v>1725</v>
      </c>
      <c r="E1050" s="100" t="s">
        <v>58</v>
      </c>
      <c r="F1050" s="84" t="s">
        <v>105</v>
      </c>
      <c r="G1050" s="161" t="s">
        <v>1734</v>
      </c>
      <c r="H1050" s="164" t="s">
        <v>1895</v>
      </c>
      <c r="I1050" s="163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8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1" t="s">
        <v>1896</v>
      </c>
      <c r="C1051" s="82" t="str">
        <f>VLOOKUP($B$7:$B$5000,SUM!$L$6:$L$500,1,FALSE)</f>
        <v>#N/A</v>
      </c>
      <c r="D1051" s="160" t="s">
        <v>1725</v>
      </c>
      <c r="E1051" s="100" t="s">
        <v>58</v>
      </c>
      <c r="F1051" s="84" t="s">
        <v>105</v>
      </c>
      <c r="G1051" s="161" t="s">
        <v>1419</v>
      </c>
      <c r="H1051" s="164" t="s">
        <v>1897</v>
      </c>
      <c r="I1051" s="163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8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1" t="s">
        <v>1898</v>
      </c>
      <c r="C1052" s="82" t="str">
        <f>VLOOKUP($B$7:$B$5000,SUM!$L$6:$L$500,1,FALSE)</f>
        <v>#N/A</v>
      </c>
      <c r="D1052" s="160" t="s">
        <v>1725</v>
      </c>
      <c r="E1052" s="100" t="s">
        <v>58</v>
      </c>
      <c r="F1052" s="84" t="s">
        <v>105</v>
      </c>
      <c r="G1052" s="161" t="s">
        <v>1419</v>
      </c>
      <c r="H1052" s="164" t="s">
        <v>1899</v>
      </c>
      <c r="I1052" s="163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8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1" t="s">
        <v>1900</v>
      </c>
      <c r="C1053" s="82" t="str">
        <f>VLOOKUP($B$7:$B$5000,SUM!$L$6:$L$500,1,FALSE)</f>
        <v>#N/A</v>
      </c>
      <c r="D1053" s="160" t="s">
        <v>1725</v>
      </c>
      <c r="E1053" s="100" t="s">
        <v>58</v>
      </c>
      <c r="F1053" s="84" t="s">
        <v>105</v>
      </c>
      <c r="G1053" s="161" t="s">
        <v>1871</v>
      </c>
      <c r="H1053" s="164" t="s">
        <v>1901</v>
      </c>
      <c r="I1053" s="163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8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1" t="s">
        <v>1902</v>
      </c>
      <c r="C1054" s="82" t="str">
        <f>VLOOKUP($B$7:$B$5000,SUM!$L$6:$L$500,1,FALSE)</f>
        <v>#N/A</v>
      </c>
      <c r="D1054" s="160" t="s">
        <v>1725</v>
      </c>
      <c r="E1054" s="100" t="s">
        <v>58</v>
      </c>
      <c r="F1054" s="84" t="s">
        <v>105</v>
      </c>
      <c r="G1054" s="161" t="s">
        <v>1319</v>
      </c>
      <c r="H1054" s="164" t="s">
        <v>1903</v>
      </c>
      <c r="I1054" s="163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8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1" t="s">
        <v>1904</v>
      </c>
      <c r="C1055" s="82" t="str">
        <f>VLOOKUP($B$7:$B$5000,SUM!$L$6:$L$500,1,FALSE)</f>
        <v>#N/A</v>
      </c>
      <c r="D1055" s="160" t="s">
        <v>1725</v>
      </c>
      <c r="E1055" s="100" t="s">
        <v>58</v>
      </c>
      <c r="F1055" s="84" t="s">
        <v>105</v>
      </c>
      <c r="G1055" s="161" t="s">
        <v>1319</v>
      </c>
      <c r="H1055" s="164" t="s">
        <v>1905</v>
      </c>
      <c r="I1055" s="163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8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1" t="s">
        <v>1906</v>
      </c>
      <c r="C1056" s="82" t="str">
        <f>VLOOKUP($B$7:$B$5000,SUM!$L$6:$L$500,1,FALSE)</f>
        <v>#N/A</v>
      </c>
      <c r="D1056" s="160" t="s">
        <v>1725</v>
      </c>
      <c r="E1056" s="100" t="s">
        <v>58</v>
      </c>
      <c r="F1056" s="84" t="s">
        <v>105</v>
      </c>
      <c r="G1056" s="161" t="s">
        <v>1319</v>
      </c>
      <c r="H1056" s="164" t="s">
        <v>1907</v>
      </c>
      <c r="I1056" s="163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8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1" t="s">
        <v>1908</v>
      </c>
      <c r="C1057" s="82" t="str">
        <f>VLOOKUP($B$7:$B$5000,SUM!$L$6:$L$500,1,FALSE)</f>
        <v>#N/A</v>
      </c>
      <c r="D1057" s="160" t="s">
        <v>1725</v>
      </c>
      <c r="E1057" s="100" t="s">
        <v>58</v>
      </c>
      <c r="F1057" s="84" t="s">
        <v>105</v>
      </c>
      <c r="G1057" s="161" t="s">
        <v>1329</v>
      </c>
      <c r="H1057" s="164" t="s">
        <v>1909</v>
      </c>
      <c r="I1057" s="163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8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1" t="s">
        <v>1910</v>
      </c>
      <c r="C1058" s="82" t="str">
        <f>VLOOKUP($B$7:$B$5000,SUM!$L$6:$L$500,1,FALSE)</f>
        <v>#N/A</v>
      </c>
      <c r="D1058" s="160" t="s">
        <v>1725</v>
      </c>
      <c r="E1058" s="100" t="s">
        <v>58</v>
      </c>
      <c r="F1058" s="84" t="s">
        <v>105</v>
      </c>
      <c r="G1058" s="161" t="s">
        <v>1329</v>
      </c>
      <c r="H1058" s="164" t="s">
        <v>1911</v>
      </c>
      <c r="I1058" s="163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8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1" t="s">
        <v>1913</v>
      </c>
      <c r="C1059" s="82" t="str">
        <f>VLOOKUP($B$7:$B$5000,SUM!$L$6:$L$500,1,FALSE)</f>
        <v>#N/A</v>
      </c>
      <c r="D1059" s="160" t="s">
        <v>1725</v>
      </c>
      <c r="E1059" s="100" t="s">
        <v>58</v>
      </c>
      <c r="F1059" s="84" t="s">
        <v>105</v>
      </c>
      <c r="G1059" s="161" t="s">
        <v>1329</v>
      </c>
      <c r="H1059" s="164" t="s">
        <v>1914</v>
      </c>
      <c r="I1059" s="163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8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1" t="s">
        <v>1915</v>
      </c>
      <c r="C1060" s="82" t="str">
        <f>VLOOKUP($B$7:$B$5000,SUM!$L$6:$L$500,1,FALSE)</f>
        <v>#N/A</v>
      </c>
      <c r="D1060" s="160" t="s">
        <v>1725</v>
      </c>
      <c r="E1060" s="100" t="s">
        <v>58</v>
      </c>
      <c r="F1060" s="84" t="s">
        <v>105</v>
      </c>
      <c r="G1060" s="161" t="s">
        <v>1329</v>
      </c>
      <c r="H1060" s="164" t="s">
        <v>1916</v>
      </c>
      <c r="I1060" s="163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8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1" t="s">
        <v>1917</v>
      </c>
      <c r="C1061" s="82" t="str">
        <f>VLOOKUP($B$7:$B$5000,SUM!$L$6:$L$500,1,FALSE)</f>
        <v>#N/A</v>
      </c>
      <c r="D1061" s="160" t="s">
        <v>1725</v>
      </c>
      <c r="E1061" s="100" t="s">
        <v>58</v>
      </c>
      <c r="F1061" s="84" t="s">
        <v>105</v>
      </c>
      <c r="G1061" s="161" t="s">
        <v>1329</v>
      </c>
      <c r="H1061" s="164" t="s">
        <v>1918</v>
      </c>
      <c r="I1061" s="163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8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1" t="s">
        <v>1919</v>
      </c>
      <c r="C1062" s="82" t="str">
        <f>VLOOKUP($B$7:$B$5000,SUM!$L$6:$L$500,1,FALSE)</f>
        <v>#N/A</v>
      </c>
      <c r="D1062" s="160" t="s">
        <v>1725</v>
      </c>
      <c r="E1062" s="100" t="s">
        <v>58</v>
      </c>
      <c r="F1062" s="84" t="s">
        <v>105</v>
      </c>
      <c r="G1062" s="161" t="s">
        <v>1329</v>
      </c>
      <c r="H1062" s="164" t="s">
        <v>1920</v>
      </c>
      <c r="I1062" s="163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8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1" t="s">
        <v>1921</v>
      </c>
      <c r="C1063" s="82" t="str">
        <f>VLOOKUP($B$7:$B$5000,SUM!$L$6:$L$500,1,FALSE)</f>
        <v>#N/A</v>
      </c>
      <c r="D1063" s="160" t="s">
        <v>1725</v>
      </c>
      <c r="E1063" s="100" t="s">
        <v>58</v>
      </c>
      <c r="F1063" s="84" t="s">
        <v>105</v>
      </c>
      <c r="G1063" s="161" t="s">
        <v>1329</v>
      </c>
      <c r="H1063" s="164" t="s">
        <v>1922</v>
      </c>
      <c r="I1063" s="163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8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1" t="s">
        <v>1923</v>
      </c>
      <c r="C1064" s="82" t="str">
        <f>VLOOKUP($B$7:$B$5000,SUM!$L$6:$L$500,1,FALSE)</f>
        <v>#N/A</v>
      </c>
      <c r="D1064" s="160" t="s">
        <v>1725</v>
      </c>
      <c r="E1064" s="100" t="s">
        <v>58</v>
      </c>
      <c r="F1064" s="84" t="s">
        <v>105</v>
      </c>
      <c r="G1064" s="161" t="s">
        <v>1329</v>
      </c>
      <c r="H1064" s="164" t="s">
        <v>1924</v>
      </c>
      <c r="I1064" s="163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8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1" t="s">
        <v>1925</v>
      </c>
      <c r="C1065" s="82" t="str">
        <f>VLOOKUP($B$7:$B$5000,SUM!$L$6:$L$500,1,FALSE)</f>
        <v>#N/A</v>
      </c>
      <c r="D1065" s="160" t="s">
        <v>1725</v>
      </c>
      <c r="E1065" s="100" t="s">
        <v>58</v>
      </c>
      <c r="F1065" s="84" t="s">
        <v>105</v>
      </c>
      <c r="G1065" s="161" t="s">
        <v>1329</v>
      </c>
      <c r="H1065" s="164" t="s">
        <v>1926</v>
      </c>
      <c r="I1065" s="163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8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1" t="s">
        <v>1927</v>
      </c>
      <c r="C1066" s="82" t="str">
        <f>VLOOKUP($B$7:$B$5000,SUM!$L$6:$L$500,1,FALSE)</f>
        <v>#N/A</v>
      </c>
      <c r="D1066" s="160" t="s">
        <v>1725</v>
      </c>
      <c r="E1066" s="100" t="s">
        <v>58</v>
      </c>
      <c r="F1066" s="84" t="s">
        <v>105</v>
      </c>
      <c r="G1066" s="161" t="s">
        <v>1329</v>
      </c>
      <c r="H1066" s="164" t="s">
        <v>1928</v>
      </c>
      <c r="I1066" s="163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8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1" t="s">
        <v>1929</v>
      </c>
      <c r="C1067" s="82" t="str">
        <f>VLOOKUP($B$7:$B$5000,SUM!$L$6:$L$500,1,FALSE)</f>
        <v>#N/A</v>
      </c>
      <c r="D1067" s="160" t="s">
        <v>1725</v>
      </c>
      <c r="E1067" s="100" t="s">
        <v>58</v>
      </c>
      <c r="F1067" s="84" t="s">
        <v>105</v>
      </c>
      <c r="G1067" s="161" t="s">
        <v>1329</v>
      </c>
      <c r="H1067" s="164" t="s">
        <v>1930</v>
      </c>
      <c r="I1067" s="163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8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1" t="s">
        <v>1931</v>
      </c>
      <c r="C1068" s="82" t="str">
        <f>VLOOKUP($B$7:$B$5000,SUM!$L$6:$L$500,1,FALSE)</f>
        <v>#N/A</v>
      </c>
      <c r="D1068" s="160" t="s">
        <v>1725</v>
      </c>
      <c r="E1068" s="100" t="s">
        <v>58</v>
      </c>
      <c r="F1068" s="84" t="s">
        <v>105</v>
      </c>
      <c r="G1068" s="161" t="s">
        <v>1329</v>
      </c>
      <c r="H1068" s="164" t="s">
        <v>1932</v>
      </c>
      <c r="I1068" s="163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8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1" t="s">
        <v>1933</v>
      </c>
      <c r="C1069" s="82" t="str">
        <f>VLOOKUP($B$7:$B$5000,SUM!$L$6:$L$500,1,FALSE)</f>
        <v>#N/A</v>
      </c>
      <c r="D1069" s="160" t="s">
        <v>1725</v>
      </c>
      <c r="E1069" s="100" t="s">
        <v>58</v>
      </c>
      <c r="F1069" s="84" t="s">
        <v>105</v>
      </c>
      <c r="G1069" s="161" t="s">
        <v>1329</v>
      </c>
      <c r="H1069" s="164" t="s">
        <v>1934</v>
      </c>
      <c r="I1069" s="163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8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1" t="s">
        <v>1935</v>
      </c>
      <c r="C1070" s="82" t="str">
        <f>VLOOKUP($B$7:$B$5000,SUM!$L$6:$L$500,1,FALSE)</f>
        <v>#N/A</v>
      </c>
      <c r="D1070" s="160" t="s">
        <v>1725</v>
      </c>
      <c r="E1070" s="100" t="s">
        <v>58</v>
      </c>
      <c r="F1070" s="84" t="s">
        <v>105</v>
      </c>
      <c r="G1070" s="161" t="s">
        <v>1329</v>
      </c>
      <c r="H1070" s="164" t="s">
        <v>1936</v>
      </c>
      <c r="I1070" s="163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8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1" t="s">
        <v>1937</v>
      </c>
      <c r="C1071" s="82" t="str">
        <f>VLOOKUP($B$7:$B$5000,SUM!$L$6:$L$500,1,FALSE)</f>
        <v>#N/A</v>
      </c>
      <c r="D1071" s="160" t="s">
        <v>1725</v>
      </c>
      <c r="E1071" s="100" t="s">
        <v>58</v>
      </c>
      <c r="F1071" s="84" t="s">
        <v>105</v>
      </c>
      <c r="G1071" s="161" t="s">
        <v>1329</v>
      </c>
      <c r="H1071" s="164" t="s">
        <v>1938</v>
      </c>
      <c r="I1071" s="163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8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1" t="s">
        <v>1939</v>
      </c>
      <c r="C1072" s="82" t="str">
        <f>VLOOKUP($B$7:$B$5000,SUM!$L$6:$L$500,1,FALSE)</f>
        <v>#N/A</v>
      </c>
      <c r="D1072" s="160" t="s">
        <v>1725</v>
      </c>
      <c r="E1072" s="100" t="s">
        <v>58</v>
      </c>
      <c r="F1072" s="84" t="s">
        <v>105</v>
      </c>
      <c r="G1072" s="161" t="s">
        <v>1329</v>
      </c>
      <c r="H1072" s="164" t="s">
        <v>1940</v>
      </c>
      <c r="I1072" s="163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8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1" t="s">
        <v>1941</v>
      </c>
      <c r="C1073" s="82" t="str">
        <f>VLOOKUP($B$7:$B$5000,SUM!$L$6:$L$500,1,FALSE)</f>
        <v>#N/A</v>
      </c>
      <c r="D1073" s="160" t="s">
        <v>1725</v>
      </c>
      <c r="E1073" s="100" t="s">
        <v>58</v>
      </c>
      <c r="F1073" s="84" t="s">
        <v>105</v>
      </c>
      <c r="G1073" s="161" t="s">
        <v>1362</v>
      </c>
      <c r="H1073" s="164" t="s">
        <v>1942</v>
      </c>
      <c r="I1073" s="163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8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1" t="s">
        <v>1944</v>
      </c>
      <c r="C1074" s="82" t="str">
        <f>VLOOKUP($B$7:$B$5000,SUM!$L$6:$L$500,1,FALSE)</f>
        <v>#N/A</v>
      </c>
      <c r="D1074" s="160" t="s">
        <v>1725</v>
      </c>
      <c r="E1074" s="100" t="s">
        <v>58</v>
      </c>
      <c r="F1074" s="84" t="s">
        <v>105</v>
      </c>
      <c r="G1074" s="161" t="s">
        <v>1362</v>
      </c>
      <c r="H1074" s="164" t="s">
        <v>1945</v>
      </c>
      <c r="I1074" s="163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8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1" t="s">
        <v>1946</v>
      </c>
      <c r="C1075" s="82" t="str">
        <f>VLOOKUP($B$7:$B$5000,SUM!$L$6:$L$500,1,FALSE)</f>
        <v>#N/A</v>
      </c>
      <c r="D1075" s="160" t="s">
        <v>1725</v>
      </c>
      <c r="E1075" s="100" t="s">
        <v>58</v>
      </c>
      <c r="F1075" s="84" t="s">
        <v>105</v>
      </c>
      <c r="G1075" s="161" t="s">
        <v>1362</v>
      </c>
      <c r="H1075" s="164" t="s">
        <v>1947</v>
      </c>
      <c r="I1075" s="163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8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1" t="s">
        <v>1948</v>
      </c>
      <c r="C1076" s="82" t="str">
        <f>VLOOKUP($B$7:$B$5000,SUM!$L$6:$L$500,1,FALSE)</f>
        <v>#N/A</v>
      </c>
      <c r="D1076" s="160" t="s">
        <v>1725</v>
      </c>
      <c r="E1076" s="100" t="s">
        <v>58</v>
      </c>
      <c r="F1076" s="84" t="s">
        <v>105</v>
      </c>
      <c r="G1076" s="161" t="s">
        <v>1362</v>
      </c>
      <c r="H1076" s="164" t="s">
        <v>1949</v>
      </c>
      <c r="I1076" s="163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8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1" t="s">
        <v>1950</v>
      </c>
      <c r="C1077" s="82" t="str">
        <f>VLOOKUP($B$7:$B$5000,SUM!$L$6:$L$500,1,FALSE)</f>
        <v>#N/A</v>
      </c>
      <c r="D1077" s="160" t="s">
        <v>1725</v>
      </c>
      <c r="E1077" s="100" t="s">
        <v>58</v>
      </c>
      <c r="F1077" s="84" t="s">
        <v>105</v>
      </c>
      <c r="G1077" s="161" t="s">
        <v>1362</v>
      </c>
      <c r="H1077" s="164" t="s">
        <v>1951</v>
      </c>
      <c r="I1077" s="163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8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1" t="s">
        <v>1952</v>
      </c>
      <c r="C1078" s="82" t="str">
        <f>VLOOKUP($B$7:$B$5000,SUM!$L$6:$L$500,1,FALSE)</f>
        <v>#N/A</v>
      </c>
      <c r="D1078" s="160" t="s">
        <v>1725</v>
      </c>
      <c r="E1078" s="100" t="s">
        <v>58</v>
      </c>
      <c r="F1078" s="84" t="s">
        <v>105</v>
      </c>
      <c r="G1078" s="161" t="s">
        <v>1362</v>
      </c>
      <c r="H1078" s="164" t="s">
        <v>1953</v>
      </c>
      <c r="I1078" s="163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8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1" t="s">
        <v>1954</v>
      </c>
      <c r="C1079" s="82" t="str">
        <f>VLOOKUP($B$7:$B$5000,SUM!$L$6:$L$500,1,FALSE)</f>
        <v>#N/A</v>
      </c>
      <c r="D1079" s="160" t="s">
        <v>1725</v>
      </c>
      <c r="E1079" s="100" t="s">
        <v>58</v>
      </c>
      <c r="F1079" s="84" t="s">
        <v>105</v>
      </c>
      <c r="G1079" s="161" t="s">
        <v>1955</v>
      </c>
      <c r="H1079" s="164" t="s">
        <v>1956</v>
      </c>
      <c r="I1079" s="163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8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1" t="s">
        <v>1957</v>
      </c>
      <c r="C1080" s="82" t="str">
        <f>VLOOKUP($B$7:$B$5000,SUM!$L$6:$L$500,1,FALSE)</f>
        <v>#N/A</v>
      </c>
      <c r="D1080" s="160" t="s">
        <v>1725</v>
      </c>
      <c r="E1080" s="100" t="s">
        <v>58</v>
      </c>
      <c r="F1080" s="84" t="s">
        <v>105</v>
      </c>
      <c r="G1080" s="161" t="s">
        <v>1955</v>
      </c>
      <c r="H1080" s="164" t="s">
        <v>1958</v>
      </c>
      <c r="I1080" s="163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8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1" t="s">
        <v>1959</v>
      </c>
      <c r="C1081" s="82" t="str">
        <f>VLOOKUP($B$7:$B$5000,SUM!$L$6:$L$500,1,FALSE)</f>
        <v>#N/A</v>
      </c>
      <c r="D1081" s="160" t="s">
        <v>1725</v>
      </c>
      <c r="E1081" s="100" t="s">
        <v>58</v>
      </c>
      <c r="F1081" s="84" t="s">
        <v>105</v>
      </c>
      <c r="G1081" s="161" t="s">
        <v>1955</v>
      </c>
      <c r="H1081" s="164" t="s">
        <v>1960</v>
      </c>
      <c r="I1081" s="163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8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1" t="s">
        <v>1961</v>
      </c>
      <c r="C1082" s="82" t="str">
        <f>VLOOKUP($B$7:$B$5000,SUM!$L$6:$L$500,1,FALSE)</f>
        <v>#N/A</v>
      </c>
      <c r="D1082" s="160" t="s">
        <v>1725</v>
      </c>
      <c r="E1082" s="100" t="s">
        <v>58</v>
      </c>
      <c r="F1082" s="84" t="s">
        <v>105</v>
      </c>
      <c r="G1082" s="161" t="s">
        <v>1734</v>
      </c>
      <c r="H1082" s="164" t="s">
        <v>1962</v>
      </c>
      <c r="I1082" s="163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8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1" t="s">
        <v>1963</v>
      </c>
      <c r="C1083" s="82" t="str">
        <f>VLOOKUP($B$7:$B$5000,SUM!$L$6:$L$500,1,FALSE)</f>
        <v>#N/A</v>
      </c>
      <c r="D1083" s="160" t="s">
        <v>1725</v>
      </c>
      <c r="E1083" s="100" t="s">
        <v>58</v>
      </c>
      <c r="F1083" s="84" t="s">
        <v>105</v>
      </c>
      <c r="G1083" s="161" t="s">
        <v>1964</v>
      </c>
      <c r="H1083" s="164" t="s">
        <v>1965</v>
      </c>
      <c r="I1083" s="163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8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1" t="s">
        <v>1967</v>
      </c>
      <c r="C1084" s="82" t="str">
        <f>VLOOKUP($B$7:$B$5000,SUM!$L$6:$L$500,1,FALSE)</f>
        <v>#N/A</v>
      </c>
      <c r="D1084" s="160" t="s">
        <v>1725</v>
      </c>
      <c r="E1084" s="100" t="s">
        <v>58</v>
      </c>
      <c r="F1084" s="84" t="s">
        <v>105</v>
      </c>
      <c r="G1084" s="161" t="s">
        <v>1964</v>
      </c>
      <c r="H1084" s="164" t="s">
        <v>1968</v>
      </c>
      <c r="I1084" s="163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8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1" t="s">
        <v>1969</v>
      </c>
      <c r="C1085" s="82" t="str">
        <f>VLOOKUP($B$7:$B$5000,SUM!$L$6:$L$500,1,FALSE)</f>
        <v>#N/A</v>
      </c>
      <c r="D1085" s="160" t="s">
        <v>1725</v>
      </c>
      <c r="E1085" s="100" t="s">
        <v>58</v>
      </c>
      <c r="F1085" s="84" t="s">
        <v>105</v>
      </c>
      <c r="G1085" s="161" t="s">
        <v>1964</v>
      </c>
      <c r="H1085" s="164" t="s">
        <v>1970</v>
      </c>
      <c r="I1085" s="163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8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1" t="s">
        <v>1971</v>
      </c>
      <c r="C1086" s="82" t="str">
        <f>VLOOKUP($B$7:$B$5000,SUM!$L$6:$L$500,1,FALSE)</f>
        <v>#N/A</v>
      </c>
      <c r="D1086" s="160" t="s">
        <v>1725</v>
      </c>
      <c r="E1086" s="100" t="s">
        <v>58</v>
      </c>
      <c r="F1086" s="84" t="s">
        <v>105</v>
      </c>
      <c r="G1086" s="161" t="s">
        <v>1972</v>
      </c>
      <c r="H1086" s="164" t="s">
        <v>1973</v>
      </c>
      <c r="I1086" s="163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8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1" t="s">
        <v>1975</v>
      </c>
      <c r="C1087" s="82" t="str">
        <f>VLOOKUP($B$7:$B$5000,SUM!$L$6:$L$500,1,FALSE)</f>
        <v>#N/A</v>
      </c>
      <c r="D1087" s="160" t="s">
        <v>1725</v>
      </c>
      <c r="E1087" s="100" t="s">
        <v>58</v>
      </c>
      <c r="F1087" s="84" t="s">
        <v>105</v>
      </c>
      <c r="G1087" s="161" t="s">
        <v>1972</v>
      </c>
      <c r="H1087" s="164" t="s">
        <v>1976</v>
      </c>
      <c r="I1087" s="163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8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1" t="s">
        <v>1977</v>
      </c>
      <c r="C1088" s="82" t="str">
        <f>VLOOKUP($B$7:$B$5000,SUM!$L$6:$L$500,1,FALSE)</f>
        <v>#N/A</v>
      </c>
      <c r="D1088" s="160" t="s">
        <v>1725</v>
      </c>
      <c r="E1088" s="100" t="s">
        <v>58</v>
      </c>
      <c r="F1088" s="84" t="s">
        <v>105</v>
      </c>
      <c r="G1088" s="161" t="s">
        <v>1972</v>
      </c>
      <c r="H1088" s="164" t="s">
        <v>1978</v>
      </c>
      <c r="I1088" s="163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8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1" t="s">
        <v>1979</v>
      </c>
      <c r="C1089" s="82" t="str">
        <f>VLOOKUP($B$7:$B$5000,SUM!$L$6:$L$500,1,FALSE)</f>
        <v>#N/A</v>
      </c>
      <c r="D1089" s="160" t="s">
        <v>1725</v>
      </c>
      <c r="E1089" s="100" t="s">
        <v>58</v>
      </c>
      <c r="F1089" s="84" t="s">
        <v>105</v>
      </c>
      <c r="G1089" s="161" t="s">
        <v>1972</v>
      </c>
      <c r="H1089" s="164" t="s">
        <v>1980</v>
      </c>
      <c r="I1089" s="163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8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1" t="s">
        <v>1981</v>
      </c>
      <c r="C1090" s="82" t="str">
        <f>VLOOKUP($B$7:$B$5000,SUM!$L$6:$L$500,1,FALSE)</f>
        <v>#N/A</v>
      </c>
      <c r="D1090" s="160" t="s">
        <v>1725</v>
      </c>
      <c r="E1090" s="100" t="s">
        <v>58</v>
      </c>
      <c r="F1090" s="84" t="s">
        <v>105</v>
      </c>
      <c r="G1090" s="161" t="s">
        <v>1982</v>
      </c>
      <c r="H1090" s="164" t="s">
        <v>1983</v>
      </c>
      <c r="I1090" s="163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8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1" t="s">
        <v>1984</v>
      </c>
      <c r="C1091" s="82" t="str">
        <f>VLOOKUP($B$7:$B$5000,SUM!$L$6:$L$500,1,FALSE)</f>
        <v>#N/A</v>
      </c>
      <c r="D1091" s="160" t="s">
        <v>1725</v>
      </c>
      <c r="E1091" s="100" t="s">
        <v>58</v>
      </c>
      <c r="F1091" s="84" t="s">
        <v>105</v>
      </c>
      <c r="G1091" s="161" t="s">
        <v>1982</v>
      </c>
      <c r="H1091" s="164" t="s">
        <v>1985</v>
      </c>
      <c r="I1091" s="163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8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1" t="s">
        <v>1986</v>
      </c>
      <c r="C1092" s="82" t="str">
        <f>VLOOKUP($B$7:$B$5000,SUM!$L$6:$L$500,1,FALSE)</f>
        <v>#N/A</v>
      </c>
      <c r="D1092" s="160" t="s">
        <v>1725</v>
      </c>
      <c r="E1092" s="100" t="s">
        <v>58</v>
      </c>
      <c r="F1092" s="84" t="s">
        <v>105</v>
      </c>
      <c r="G1092" s="161" t="s">
        <v>1987</v>
      </c>
      <c r="H1092" s="164" t="s">
        <v>1988</v>
      </c>
      <c r="I1092" s="163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8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1" t="s">
        <v>1990</v>
      </c>
      <c r="C1093" s="82" t="str">
        <f>VLOOKUP($B$7:$B$5000,SUM!$L$6:$L$500,1,FALSE)</f>
        <v>#N/A</v>
      </c>
      <c r="D1093" s="160" t="s">
        <v>1725</v>
      </c>
      <c r="E1093" s="100" t="s">
        <v>58</v>
      </c>
      <c r="F1093" s="84" t="s">
        <v>105</v>
      </c>
      <c r="G1093" s="161" t="s">
        <v>1991</v>
      </c>
      <c r="H1093" s="164" t="s">
        <v>1992</v>
      </c>
      <c r="I1093" s="163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8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1" t="s">
        <v>1993</v>
      </c>
      <c r="C1094" s="82" t="str">
        <f>VLOOKUP($B$7:$B$5000,SUM!$L$6:$L$500,1,FALSE)</f>
        <v>#N/A</v>
      </c>
      <c r="D1094" s="160" t="s">
        <v>1725</v>
      </c>
      <c r="E1094" s="100" t="s">
        <v>58</v>
      </c>
      <c r="F1094" s="84" t="s">
        <v>105</v>
      </c>
      <c r="G1094" s="161" t="s">
        <v>1991</v>
      </c>
      <c r="H1094" s="164" t="s">
        <v>1994</v>
      </c>
      <c r="I1094" s="163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8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1" t="s">
        <v>1995</v>
      </c>
      <c r="C1095" s="82" t="str">
        <f>VLOOKUP($B$7:$B$5000,SUM!$L$6:$L$500,1,FALSE)</f>
        <v>#N/A</v>
      </c>
      <c r="D1095" s="160" t="s">
        <v>1725</v>
      </c>
      <c r="E1095" s="100" t="s">
        <v>58</v>
      </c>
      <c r="F1095" s="84" t="s">
        <v>105</v>
      </c>
      <c r="G1095" s="161" t="s">
        <v>1996</v>
      </c>
      <c r="H1095" s="164" t="s">
        <v>1997</v>
      </c>
      <c r="I1095" s="163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8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1" t="s">
        <v>1998</v>
      </c>
      <c r="C1096" s="82" t="str">
        <f>VLOOKUP($B$7:$B$5000,SUM!$L$6:$L$500,1,FALSE)</f>
        <v>#N/A</v>
      </c>
      <c r="D1096" s="160" t="s">
        <v>1725</v>
      </c>
      <c r="E1096" s="100" t="s">
        <v>58</v>
      </c>
      <c r="F1096" s="84" t="s">
        <v>105</v>
      </c>
      <c r="G1096" s="161" t="s">
        <v>1999</v>
      </c>
      <c r="H1096" s="164" t="s">
        <v>2000</v>
      </c>
      <c r="I1096" s="163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8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1" t="s">
        <v>2001</v>
      </c>
      <c r="C1097" s="82" t="str">
        <f>VLOOKUP($B$7:$B$5000,SUM!$L$6:$L$500,1,FALSE)</f>
        <v>#N/A</v>
      </c>
      <c r="D1097" s="160" t="s">
        <v>1725</v>
      </c>
      <c r="E1097" s="100" t="s">
        <v>58</v>
      </c>
      <c r="F1097" s="84" t="s">
        <v>105</v>
      </c>
      <c r="G1097" s="161" t="s">
        <v>1999</v>
      </c>
      <c r="H1097" s="164" t="s">
        <v>2002</v>
      </c>
      <c r="I1097" s="163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8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1" t="s">
        <v>2004</v>
      </c>
      <c r="C1098" s="82" t="str">
        <f>VLOOKUP($B$7:$B$5000,SUM!$L$6:$L$500,1,FALSE)</f>
        <v>#N/A</v>
      </c>
      <c r="D1098" s="160" t="s">
        <v>1725</v>
      </c>
      <c r="E1098" s="100" t="s">
        <v>58</v>
      </c>
      <c r="F1098" s="84" t="s">
        <v>105</v>
      </c>
      <c r="G1098" s="161" t="s">
        <v>1999</v>
      </c>
      <c r="H1098" s="164" t="s">
        <v>2005</v>
      </c>
      <c r="I1098" s="163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8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1" t="s">
        <v>2006</v>
      </c>
      <c r="C1099" s="82" t="str">
        <f>VLOOKUP($B$7:$B$5000,SUM!$L$6:$L$500,1,FALSE)</f>
        <v>#N/A</v>
      </c>
      <c r="D1099" s="160" t="s">
        <v>1725</v>
      </c>
      <c r="E1099" s="100" t="s">
        <v>58</v>
      </c>
      <c r="F1099" s="84" t="s">
        <v>105</v>
      </c>
      <c r="G1099" s="161" t="s">
        <v>1999</v>
      </c>
      <c r="H1099" s="164" t="s">
        <v>2007</v>
      </c>
      <c r="I1099" s="163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8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1" t="s">
        <v>2008</v>
      </c>
      <c r="C1100" s="82" t="str">
        <f>VLOOKUP($B$7:$B$5000,SUM!$L$6:$L$500,1,FALSE)</f>
        <v>#N/A</v>
      </c>
      <c r="D1100" s="160" t="s">
        <v>1725</v>
      </c>
      <c r="E1100" s="100" t="s">
        <v>58</v>
      </c>
      <c r="F1100" s="84" t="s">
        <v>105</v>
      </c>
      <c r="G1100" s="161" t="s">
        <v>1999</v>
      </c>
      <c r="H1100" s="164" t="s">
        <v>2009</v>
      </c>
      <c r="I1100" s="163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8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1" t="s">
        <v>2010</v>
      </c>
      <c r="C1101" s="82" t="str">
        <f>VLOOKUP($B$7:$B$5000,SUM!$L$6:$L$500,1,FALSE)</f>
        <v>#N/A</v>
      </c>
      <c r="D1101" s="160" t="s">
        <v>1725</v>
      </c>
      <c r="E1101" s="100" t="s">
        <v>58</v>
      </c>
      <c r="F1101" s="84" t="s">
        <v>105</v>
      </c>
      <c r="G1101" s="161" t="s">
        <v>1999</v>
      </c>
      <c r="H1101" s="164" t="s">
        <v>2011</v>
      </c>
      <c r="I1101" s="163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8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1" t="s">
        <v>2012</v>
      </c>
      <c r="C1102" s="82" t="str">
        <f>VLOOKUP($B$7:$B$5000,SUM!$L$6:$L$500,1,FALSE)</f>
        <v>#N/A</v>
      </c>
      <c r="D1102" s="160" t="s">
        <v>1725</v>
      </c>
      <c r="E1102" s="100" t="s">
        <v>58</v>
      </c>
      <c r="F1102" s="84" t="s">
        <v>105</v>
      </c>
      <c r="G1102" s="161" t="s">
        <v>1999</v>
      </c>
      <c r="H1102" s="164" t="s">
        <v>2013</v>
      </c>
      <c r="I1102" s="163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8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1" t="s">
        <v>2014</v>
      </c>
      <c r="C1103" s="82" t="str">
        <f>VLOOKUP($B$7:$B$5000,SUM!$L$6:$L$500,1,FALSE)</f>
        <v>#N/A</v>
      </c>
      <c r="D1103" s="160" t="s">
        <v>1725</v>
      </c>
      <c r="E1103" s="100" t="s">
        <v>58</v>
      </c>
      <c r="F1103" s="84" t="s">
        <v>105</v>
      </c>
      <c r="G1103" s="161" t="s">
        <v>1999</v>
      </c>
      <c r="H1103" s="164" t="s">
        <v>2015</v>
      </c>
      <c r="I1103" s="163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8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1" t="s">
        <v>2016</v>
      </c>
      <c r="C1104" s="82" t="str">
        <f>VLOOKUP($B$7:$B$5000,SUM!$L$6:$L$500,1,FALSE)</f>
        <v>#N/A</v>
      </c>
      <c r="D1104" s="160" t="s">
        <v>1725</v>
      </c>
      <c r="E1104" s="100" t="s">
        <v>58</v>
      </c>
      <c r="F1104" s="84" t="s">
        <v>105</v>
      </c>
      <c r="G1104" s="161" t="s">
        <v>1964</v>
      </c>
      <c r="H1104" s="164" t="s">
        <v>2017</v>
      </c>
      <c r="I1104" s="163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8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1" t="s">
        <v>2019</v>
      </c>
      <c r="C1105" s="82" t="str">
        <f>VLOOKUP($B$7:$B$5000,SUM!$L$6:$L$500,1,FALSE)</f>
        <v>#N/A</v>
      </c>
      <c r="D1105" s="160" t="s">
        <v>1725</v>
      </c>
      <c r="E1105" s="100" t="s">
        <v>58</v>
      </c>
      <c r="F1105" s="84" t="s">
        <v>105</v>
      </c>
      <c r="G1105" s="161" t="s">
        <v>1964</v>
      </c>
      <c r="H1105" s="164" t="s">
        <v>2020</v>
      </c>
      <c r="I1105" s="163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8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1" t="s">
        <v>2021</v>
      </c>
      <c r="C1106" s="82" t="str">
        <f>VLOOKUP($B$7:$B$5000,SUM!$L$6:$L$500,1,FALSE)</f>
        <v>#N/A</v>
      </c>
      <c r="D1106" s="160" t="s">
        <v>1725</v>
      </c>
      <c r="E1106" s="100" t="s">
        <v>58</v>
      </c>
      <c r="F1106" s="84" t="s">
        <v>105</v>
      </c>
      <c r="G1106" s="161" t="s">
        <v>1964</v>
      </c>
      <c r="H1106" s="164" t="s">
        <v>2022</v>
      </c>
      <c r="I1106" s="163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8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1" t="s">
        <v>2023</v>
      </c>
      <c r="C1107" s="82" t="str">
        <f>VLOOKUP($B$7:$B$5000,SUM!$L$6:$L$500,1,FALSE)</f>
        <v>#N/A</v>
      </c>
      <c r="D1107" s="160" t="s">
        <v>1725</v>
      </c>
      <c r="E1107" s="100" t="s">
        <v>58</v>
      </c>
      <c r="F1107" s="84" t="s">
        <v>105</v>
      </c>
      <c r="G1107" s="161" t="s">
        <v>1972</v>
      </c>
      <c r="H1107" s="164" t="s">
        <v>2024</v>
      </c>
      <c r="I1107" s="163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8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1" t="s">
        <v>2025</v>
      </c>
      <c r="C1108" s="82" t="str">
        <f>VLOOKUP($B$7:$B$5000,SUM!$L$6:$L$500,1,FALSE)</f>
        <v>#N/A</v>
      </c>
      <c r="D1108" s="160" t="s">
        <v>1725</v>
      </c>
      <c r="E1108" s="100" t="s">
        <v>58</v>
      </c>
      <c r="F1108" s="84" t="s">
        <v>105</v>
      </c>
      <c r="G1108" s="161" t="s">
        <v>1972</v>
      </c>
      <c r="H1108" s="164" t="s">
        <v>2026</v>
      </c>
      <c r="I1108" s="163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8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1" t="s">
        <v>2027</v>
      </c>
      <c r="C1109" s="82" t="str">
        <f>VLOOKUP($B$7:$B$5000,SUM!$L$6:$L$500,1,FALSE)</f>
        <v>#N/A</v>
      </c>
      <c r="D1109" s="160" t="s">
        <v>1725</v>
      </c>
      <c r="E1109" s="100" t="s">
        <v>58</v>
      </c>
      <c r="F1109" s="84" t="s">
        <v>105</v>
      </c>
      <c r="G1109" s="161" t="s">
        <v>1972</v>
      </c>
      <c r="H1109" s="164" t="s">
        <v>2028</v>
      </c>
      <c r="I1109" s="163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8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1" t="s">
        <v>2029</v>
      </c>
      <c r="C1110" s="82" t="str">
        <f>VLOOKUP($B$7:$B$5000,SUM!$L$6:$L$500,1,FALSE)</f>
        <v>#N/A</v>
      </c>
      <c r="D1110" s="160" t="s">
        <v>1725</v>
      </c>
      <c r="E1110" s="100" t="s">
        <v>58</v>
      </c>
      <c r="F1110" s="84" t="s">
        <v>105</v>
      </c>
      <c r="G1110" s="161" t="s">
        <v>1972</v>
      </c>
      <c r="H1110" s="164" t="s">
        <v>2030</v>
      </c>
      <c r="I1110" s="163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8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1" t="s">
        <v>2031</v>
      </c>
      <c r="C1111" s="82" t="str">
        <f>VLOOKUP($B$7:$B$5000,SUM!$L$6:$L$500,1,FALSE)</f>
        <v>#N/A</v>
      </c>
      <c r="D1111" s="160" t="s">
        <v>1725</v>
      </c>
      <c r="E1111" s="100" t="s">
        <v>58</v>
      </c>
      <c r="F1111" s="84" t="s">
        <v>105</v>
      </c>
      <c r="G1111" s="161" t="s">
        <v>2032</v>
      </c>
      <c r="H1111" s="164" t="s">
        <v>2033</v>
      </c>
      <c r="I1111" s="163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8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1" t="s">
        <v>2034</v>
      </c>
      <c r="C1112" s="82" t="str">
        <f>VLOOKUP($B$7:$B$5000,SUM!$L$6:$L$500,1,FALSE)</f>
        <v>#N/A</v>
      </c>
      <c r="D1112" s="160" t="s">
        <v>1725</v>
      </c>
      <c r="E1112" s="100" t="s">
        <v>58</v>
      </c>
      <c r="F1112" s="84" t="s">
        <v>105</v>
      </c>
      <c r="G1112" s="161" t="s">
        <v>2032</v>
      </c>
      <c r="H1112" s="164" t="s">
        <v>2035</v>
      </c>
      <c r="I1112" s="163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8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1" t="s">
        <v>2036</v>
      </c>
      <c r="C1113" s="82" t="str">
        <f>VLOOKUP($B$7:$B$5000,SUM!$L$6:$L$500,1,FALSE)</f>
        <v>#N/A</v>
      </c>
      <c r="D1113" s="160" t="s">
        <v>1725</v>
      </c>
      <c r="E1113" s="100" t="s">
        <v>58</v>
      </c>
      <c r="F1113" s="84" t="s">
        <v>105</v>
      </c>
      <c r="G1113" s="161" t="s">
        <v>1761</v>
      </c>
      <c r="H1113" s="164" t="s">
        <v>2037</v>
      </c>
      <c r="I1113" s="163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8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1" t="s">
        <v>2039</v>
      </c>
      <c r="C1114" s="82" t="str">
        <f>VLOOKUP($B$7:$B$5000,SUM!$L$6:$L$500,1,FALSE)</f>
        <v>#N/A</v>
      </c>
      <c r="D1114" s="160" t="s">
        <v>1725</v>
      </c>
      <c r="E1114" s="100" t="s">
        <v>58</v>
      </c>
      <c r="F1114" s="84" t="s">
        <v>105</v>
      </c>
      <c r="G1114" s="161" t="s">
        <v>1761</v>
      </c>
      <c r="H1114" s="164" t="s">
        <v>2040</v>
      </c>
      <c r="I1114" s="163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8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1" t="s">
        <v>2041</v>
      </c>
      <c r="C1115" s="82" t="str">
        <f>VLOOKUP($B$7:$B$5000,SUM!$L$6:$L$500,1,FALSE)</f>
        <v>#N/A</v>
      </c>
      <c r="D1115" s="160" t="s">
        <v>1725</v>
      </c>
      <c r="E1115" s="100" t="s">
        <v>58</v>
      </c>
      <c r="F1115" s="84" t="s">
        <v>105</v>
      </c>
      <c r="G1115" s="161" t="s">
        <v>1761</v>
      </c>
      <c r="H1115" s="164" t="s">
        <v>2042</v>
      </c>
      <c r="I1115" s="163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8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1" t="s">
        <v>2043</v>
      </c>
      <c r="C1116" s="82" t="str">
        <f>VLOOKUP($B$7:$B$5000,SUM!$L$6:$L$500,1,FALSE)</f>
        <v>#N/A</v>
      </c>
      <c r="D1116" s="160" t="s">
        <v>1725</v>
      </c>
      <c r="E1116" s="100" t="s">
        <v>58</v>
      </c>
      <c r="F1116" s="84" t="s">
        <v>105</v>
      </c>
      <c r="G1116" s="161" t="s">
        <v>1761</v>
      </c>
      <c r="H1116" s="164" t="s">
        <v>2044</v>
      </c>
      <c r="I1116" s="163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8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1" t="s">
        <v>2045</v>
      </c>
      <c r="C1117" s="82" t="str">
        <f>VLOOKUP($B$7:$B$5000,SUM!$L$6:$L$500,1,FALSE)</f>
        <v>#N/A</v>
      </c>
      <c r="D1117" s="160" t="s">
        <v>1725</v>
      </c>
      <c r="E1117" s="100" t="s">
        <v>58</v>
      </c>
      <c r="F1117" s="84" t="s">
        <v>105</v>
      </c>
      <c r="G1117" s="161" t="s">
        <v>1761</v>
      </c>
      <c r="H1117" s="164" t="s">
        <v>2046</v>
      </c>
      <c r="I1117" s="163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8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1" t="s">
        <v>2047</v>
      </c>
      <c r="C1118" s="82" t="str">
        <f>VLOOKUP($B$7:$B$5000,SUM!$L$6:$L$500,1,FALSE)</f>
        <v>#N/A</v>
      </c>
      <c r="D1118" s="160" t="s">
        <v>1725</v>
      </c>
      <c r="E1118" s="100" t="s">
        <v>58</v>
      </c>
      <c r="F1118" s="84" t="s">
        <v>105</v>
      </c>
      <c r="G1118" s="161" t="s">
        <v>1761</v>
      </c>
      <c r="H1118" s="164" t="s">
        <v>2048</v>
      </c>
      <c r="I1118" s="163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8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1" t="s">
        <v>2049</v>
      </c>
      <c r="C1119" s="82" t="str">
        <f>VLOOKUP($B$7:$B$5000,SUM!$L$6:$L$500,1,FALSE)</f>
        <v>#N/A</v>
      </c>
      <c r="D1119" s="160" t="s">
        <v>1725</v>
      </c>
      <c r="E1119" s="100" t="s">
        <v>58</v>
      </c>
      <c r="F1119" s="84" t="s">
        <v>105</v>
      </c>
      <c r="G1119" s="161" t="s">
        <v>1987</v>
      </c>
      <c r="H1119" s="164" t="s">
        <v>2050</v>
      </c>
      <c r="I1119" s="163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8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1" t="s">
        <v>2051</v>
      </c>
      <c r="C1120" s="82" t="str">
        <f>VLOOKUP($B$7:$B$5000,SUM!$L$6:$L$500,1,FALSE)</f>
        <v>#N/A</v>
      </c>
      <c r="D1120" s="160" t="s">
        <v>1725</v>
      </c>
      <c r="E1120" s="100" t="s">
        <v>58</v>
      </c>
      <c r="F1120" s="84" t="s">
        <v>105</v>
      </c>
      <c r="G1120" s="161" t="s">
        <v>2052</v>
      </c>
      <c r="H1120" s="164" t="s">
        <v>2053</v>
      </c>
      <c r="I1120" s="163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8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1" t="s">
        <v>2055</v>
      </c>
      <c r="C1121" s="82" t="str">
        <f>VLOOKUP($B$7:$B$5000,SUM!$L$6:$L$500,1,FALSE)</f>
        <v>#N/A</v>
      </c>
      <c r="D1121" s="160" t="s">
        <v>1725</v>
      </c>
      <c r="E1121" s="100" t="s">
        <v>58</v>
      </c>
      <c r="F1121" s="84" t="s">
        <v>105</v>
      </c>
      <c r="G1121" s="161" t="s">
        <v>2056</v>
      </c>
      <c r="H1121" s="164" t="s">
        <v>2057</v>
      </c>
      <c r="I1121" s="163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8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1" t="s">
        <v>2058</v>
      </c>
      <c r="C1122" s="82" t="str">
        <f>VLOOKUP($B$7:$B$5000,SUM!$L$6:$L$500,1,FALSE)</f>
        <v>#N/A</v>
      </c>
      <c r="D1122" s="160" t="s">
        <v>1725</v>
      </c>
      <c r="E1122" s="100" t="s">
        <v>58</v>
      </c>
      <c r="F1122" s="84" t="s">
        <v>105</v>
      </c>
      <c r="G1122" s="161" t="s">
        <v>2059</v>
      </c>
      <c r="H1122" s="164" t="s">
        <v>2060</v>
      </c>
      <c r="I1122" s="163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8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1" t="s">
        <v>2061</v>
      </c>
      <c r="C1123" s="82" t="str">
        <f>VLOOKUP($B$7:$B$5000,SUM!$L$6:$L$500,1,FALSE)</f>
        <v>#N/A</v>
      </c>
      <c r="D1123" s="160" t="s">
        <v>1725</v>
      </c>
      <c r="E1123" s="100" t="s">
        <v>58</v>
      </c>
      <c r="F1123" s="84" t="s">
        <v>105</v>
      </c>
      <c r="G1123" s="161" t="s">
        <v>2062</v>
      </c>
      <c r="H1123" s="164" t="s">
        <v>2063</v>
      </c>
      <c r="I1123" s="163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8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1" t="s">
        <v>2065</v>
      </c>
      <c r="C1124" s="82" t="str">
        <f>VLOOKUP($B$7:$B$5000,SUM!$L$6:$L$500,1,FALSE)</f>
        <v>#N/A</v>
      </c>
      <c r="D1124" s="160" t="s">
        <v>1725</v>
      </c>
      <c r="E1124" s="100" t="s">
        <v>58</v>
      </c>
      <c r="F1124" s="84" t="s">
        <v>105</v>
      </c>
      <c r="G1124" s="161" t="s">
        <v>2062</v>
      </c>
      <c r="H1124" s="164" t="s">
        <v>2066</v>
      </c>
      <c r="I1124" s="163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8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1" t="s">
        <v>2068</v>
      </c>
      <c r="C1125" s="82" t="str">
        <f>VLOOKUP($B$7:$B$5000,SUM!$L$6:$L$500,1,FALSE)</f>
        <v>#N/A</v>
      </c>
      <c r="D1125" s="160" t="s">
        <v>1725</v>
      </c>
      <c r="E1125" s="100" t="s">
        <v>58</v>
      </c>
      <c r="F1125" s="84" t="s">
        <v>105</v>
      </c>
      <c r="G1125" s="161" t="s">
        <v>2069</v>
      </c>
      <c r="H1125" s="164" t="s">
        <v>2070</v>
      </c>
      <c r="I1125" s="163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8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1" t="s">
        <v>2071</v>
      </c>
      <c r="C1126" s="82" t="str">
        <f>VLOOKUP($B$7:$B$5000,SUM!$L$6:$L$500,1,FALSE)</f>
        <v>#N/A</v>
      </c>
      <c r="D1126" s="160" t="s">
        <v>1725</v>
      </c>
      <c r="E1126" s="100" t="s">
        <v>58</v>
      </c>
      <c r="F1126" s="84" t="s">
        <v>105</v>
      </c>
      <c r="G1126" s="161" t="s">
        <v>2069</v>
      </c>
      <c r="H1126" s="164" t="s">
        <v>2072</v>
      </c>
      <c r="I1126" s="163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8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1" t="s">
        <v>2073</v>
      </c>
      <c r="C1127" s="82" t="str">
        <f>VLOOKUP($B$7:$B$5000,SUM!$L$6:$L$500,1,FALSE)</f>
        <v>#N/A</v>
      </c>
      <c r="D1127" s="160" t="s">
        <v>1725</v>
      </c>
      <c r="E1127" s="100" t="s">
        <v>58</v>
      </c>
      <c r="F1127" s="84" t="s">
        <v>105</v>
      </c>
      <c r="G1127" s="161" t="s">
        <v>2069</v>
      </c>
      <c r="H1127" s="164" t="s">
        <v>2074</v>
      </c>
      <c r="I1127" s="163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8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1" t="s">
        <v>2075</v>
      </c>
      <c r="C1128" s="82" t="str">
        <f>VLOOKUP($B$7:$B$5000,SUM!$L$6:$L$500,1,FALSE)</f>
        <v>#N/A</v>
      </c>
      <c r="D1128" s="160" t="s">
        <v>1725</v>
      </c>
      <c r="E1128" s="100" t="s">
        <v>58</v>
      </c>
      <c r="F1128" s="84" t="s">
        <v>105</v>
      </c>
      <c r="G1128" s="161" t="s">
        <v>2069</v>
      </c>
      <c r="H1128" s="164" t="s">
        <v>2076</v>
      </c>
      <c r="I1128" s="163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8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1" t="s">
        <v>2077</v>
      </c>
      <c r="C1129" s="82" t="str">
        <f>VLOOKUP($B$7:$B$5000,SUM!$L$6:$L$500,1,FALSE)</f>
        <v>#N/A</v>
      </c>
      <c r="D1129" s="160" t="s">
        <v>1725</v>
      </c>
      <c r="E1129" s="100" t="s">
        <v>58</v>
      </c>
      <c r="F1129" s="84" t="s">
        <v>105</v>
      </c>
      <c r="G1129" s="161" t="s">
        <v>2069</v>
      </c>
      <c r="H1129" s="164" t="s">
        <v>2078</v>
      </c>
      <c r="I1129" s="163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8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1" t="s">
        <v>2079</v>
      </c>
      <c r="C1130" s="82" t="str">
        <f>VLOOKUP($B$7:$B$5000,SUM!$L$6:$L$500,1,FALSE)</f>
        <v>#N/A</v>
      </c>
      <c r="D1130" s="160" t="s">
        <v>1725</v>
      </c>
      <c r="E1130" s="100" t="s">
        <v>58</v>
      </c>
      <c r="F1130" s="84" t="s">
        <v>105</v>
      </c>
      <c r="G1130" s="161" t="s">
        <v>2069</v>
      </c>
      <c r="H1130" s="164" t="s">
        <v>2080</v>
      </c>
      <c r="I1130" s="163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8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1" t="s">
        <v>2081</v>
      </c>
      <c r="C1131" s="82" t="str">
        <f>VLOOKUP($B$7:$B$5000,SUM!$L$6:$L$500,1,FALSE)</f>
        <v>#N/A</v>
      </c>
      <c r="D1131" s="160" t="s">
        <v>1725</v>
      </c>
      <c r="E1131" s="100" t="s">
        <v>58</v>
      </c>
      <c r="F1131" s="84" t="s">
        <v>105</v>
      </c>
      <c r="G1131" s="161" t="s">
        <v>2069</v>
      </c>
      <c r="H1131" s="164" t="s">
        <v>2082</v>
      </c>
      <c r="I1131" s="163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8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1" t="s">
        <v>2083</v>
      </c>
      <c r="C1132" s="82" t="str">
        <f>VLOOKUP($B$7:$B$5000,SUM!$L$6:$L$500,1,FALSE)</f>
        <v>#N/A</v>
      </c>
      <c r="D1132" s="160" t="s">
        <v>1725</v>
      </c>
      <c r="E1132" s="100" t="s">
        <v>58</v>
      </c>
      <c r="F1132" s="84" t="s">
        <v>105</v>
      </c>
      <c r="G1132" s="161" t="s">
        <v>2069</v>
      </c>
      <c r="H1132" s="164" t="s">
        <v>2084</v>
      </c>
      <c r="I1132" s="163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8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1" t="s">
        <v>2085</v>
      </c>
      <c r="C1133" s="82" t="str">
        <f>VLOOKUP($B$7:$B$5000,SUM!$L$6:$L$500,1,FALSE)</f>
        <v>#N/A</v>
      </c>
      <c r="D1133" s="160" t="s">
        <v>1725</v>
      </c>
      <c r="E1133" s="100" t="s">
        <v>58</v>
      </c>
      <c r="F1133" s="84" t="s">
        <v>105</v>
      </c>
      <c r="G1133" s="161" t="s">
        <v>2086</v>
      </c>
      <c r="H1133" s="164" t="s">
        <v>2087</v>
      </c>
      <c r="I1133" s="163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8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1" t="s">
        <v>2089</v>
      </c>
      <c r="C1134" s="82" t="str">
        <f>VLOOKUP($B$7:$B$5000,SUM!$L$6:$L$500,1,FALSE)</f>
        <v>#N/A</v>
      </c>
      <c r="D1134" s="160" t="s">
        <v>1725</v>
      </c>
      <c r="E1134" s="100" t="s">
        <v>58</v>
      </c>
      <c r="F1134" s="84" t="s">
        <v>105</v>
      </c>
      <c r="G1134" s="161" t="s">
        <v>2086</v>
      </c>
      <c r="H1134" s="164" t="s">
        <v>2090</v>
      </c>
      <c r="I1134" s="163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8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1" t="s">
        <v>2091</v>
      </c>
      <c r="C1135" s="82" t="str">
        <f>VLOOKUP($B$7:$B$5000,SUM!$L$6:$L$500,1,FALSE)</f>
        <v>#N/A</v>
      </c>
      <c r="D1135" s="160" t="s">
        <v>1725</v>
      </c>
      <c r="E1135" s="100" t="s">
        <v>58</v>
      </c>
      <c r="F1135" s="84" t="s">
        <v>105</v>
      </c>
      <c r="G1135" s="161" t="s">
        <v>2092</v>
      </c>
      <c r="H1135" s="164" t="s">
        <v>2093</v>
      </c>
      <c r="I1135" s="163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8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1" t="s">
        <v>2094</v>
      </c>
      <c r="C1136" s="82" t="str">
        <f>VLOOKUP($B$7:$B$5000,SUM!$L$6:$L$500,1,FALSE)</f>
        <v>#N/A</v>
      </c>
      <c r="D1136" s="160" t="s">
        <v>1725</v>
      </c>
      <c r="E1136" s="100" t="s">
        <v>58</v>
      </c>
      <c r="F1136" s="84" t="s">
        <v>105</v>
      </c>
      <c r="G1136" s="161" t="s">
        <v>2092</v>
      </c>
      <c r="H1136" s="164" t="s">
        <v>2095</v>
      </c>
      <c r="I1136" s="163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8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1" t="s">
        <v>2096</v>
      </c>
      <c r="C1137" s="82" t="str">
        <f>VLOOKUP($B$7:$B$5000,SUM!$L$6:$L$500,1,FALSE)</f>
        <v>#N/A</v>
      </c>
      <c r="D1137" s="160" t="s">
        <v>1725</v>
      </c>
      <c r="E1137" s="100" t="s">
        <v>58</v>
      </c>
      <c r="F1137" s="84" t="s">
        <v>105</v>
      </c>
      <c r="G1137" s="161" t="s">
        <v>2097</v>
      </c>
      <c r="H1137" s="164" t="s">
        <v>2098</v>
      </c>
      <c r="I1137" s="163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8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1" t="s">
        <v>2099</v>
      </c>
      <c r="C1138" s="82" t="str">
        <f>VLOOKUP($B$7:$B$5000,SUM!$L$6:$L$500,1,FALSE)</f>
        <v>#N/A</v>
      </c>
      <c r="D1138" s="160" t="s">
        <v>1725</v>
      </c>
      <c r="E1138" s="100" t="s">
        <v>58</v>
      </c>
      <c r="F1138" s="84" t="s">
        <v>105</v>
      </c>
      <c r="G1138" s="161" t="s">
        <v>2097</v>
      </c>
      <c r="H1138" s="164" t="s">
        <v>2100</v>
      </c>
      <c r="I1138" s="163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8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1" t="s">
        <v>2101</v>
      </c>
      <c r="C1139" s="82" t="str">
        <f>VLOOKUP($B$7:$B$5000,SUM!$L$6:$L$500,1,FALSE)</f>
        <v>#N/A</v>
      </c>
      <c r="D1139" s="160" t="s">
        <v>1725</v>
      </c>
      <c r="E1139" s="100" t="s">
        <v>58</v>
      </c>
      <c r="F1139" s="84" t="s">
        <v>105</v>
      </c>
      <c r="G1139" s="161" t="s">
        <v>2097</v>
      </c>
      <c r="H1139" s="164" t="s">
        <v>2102</v>
      </c>
      <c r="I1139" s="163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8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1" t="s">
        <v>2103</v>
      </c>
      <c r="C1140" s="82" t="str">
        <f>VLOOKUP($B$7:$B$5000,SUM!$L$6:$L$500,1,FALSE)</f>
        <v>#N/A</v>
      </c>
      <c r="D1140" s="160" t="s">
        <v>1725</v>
      </c>
      <c r="E1140" s="100" t="s">
        <v>58</v>
      </c>
      <c r="F1140" s="84" t="s">
        <v>105</v>
      </c>
      <c r="G1140" s="161" t="s">
        <v>2104</v>
      </c>
      <c r="H1140" s="164" t="s">
        <v>2105</v>
      </c>
      <c r="I1140" s="163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8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1" t="s">
        <v>2106</v>
      </c>
      <c r="C1141" s="82" t="str">
        <f>VLOOKUP($B$7:$B$5000,SUM!$L$6:$L$500,1,FALSE)</f>
        <v>#N/A</v>
      </c>
      <c r="D1141" s="160" t="s">
        <v>1725</v>
      </c>
      <c r="E1141" s="100" t="s">
        <v>58</v>
      </c>
      <c r="F1141" s="84" t="s">
        <v>105</v>
      </c>
      <c r="G1141" s="161" t="s">
        <v>2104</v>
      </c>
      <c r="H1141" s="164" t="s">
        <v>2107</v>
      </c>
      <c r="I1141" s="163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8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1" t="s">
        <v>2108</v>
      </c>
      <c r="C1142" s="82" t="str">
        <f>VLOOKUP($B$7:$B$5000,SUM!$L$6:$L$500,1,FALSE)</f>
        <v>#N/A</v>
      </c>
      <c r="D1142" s="160" t="s">
        <v>1725</v>
      </c>
      <c r="E1142" s="100" t="s">
        <v>58</v>
      </c>
      <c r="F1142" s="84" t="s">
        <v>105</v>
      </c>
      <c r="G1142" s="161" t="s">
        <v>2104</v>
      </c>
      <c r="H1142" s="164" t="s">
        <v>2109</v>
      </c>
      <c r="I1142" s="163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8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1" t="s">
        <v>2110</v>
      </c>
      <c r="C1143" s="82" t="str">
        <f>VLOOKUP($B$7:$B$5000,SUM!$L$6:$L$500,1,FALSE)</f>
        <v>#N/A</v>
      </c>
      <c r="D1143" s="160" t="s">
        <v>1725</v>
      </c>
      <c r="E1143" s="100" t="s">
        <v>58</v>
      </c>
      <c r="F1143" s="84" t="s">
        <v>105</v>
      </c>
      <c r="G1143" s="161" t="s">
        <v>2104</v>
      </c>
      <c r="H1143" s="164" t="s">
        <v>2111</v>
      </c>
      <c r="I1143" s="163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8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1" t="s">
        <v>2112</v>
      </c>
      <c r="C1144" s="82" t="str">
        <f>VLOOKUP($B$7:$B$5000,SUM!$L$6:$L$500,1,FALSE)</f>
        <v>#N/A</v>
      </c>
      <c r="D1144" s="160" t="s">
        <v>1725</v>
      </c>
      <c r="E1144" s="100" t="s">
        <v>58</v>
      </c>
      <c r="F1144" s="84" t="s">
        <v>105</v>
      </c>
      <c r="G1144" s="161" t="s">
        <v>2104</v>
      </c>
      <c r="H1144" s="164" t="s">
        <v>2113</v>
      </c>
      <c r="I1144" s="163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8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1" t="s">
        <v>2114</v>
      </c>
      <c r="C1145" s="82" t="str">
        <f>VLOOKUP($B$7:$B$5000,SUM!$L$6:$L$500,1,FALSE)</f>
        <v>#N/A</v>
      </c>
      <c r="D1145" s="160" t="s">
        <v>1725</v>
      </c>
      <c r="E1145" s="100" t="s">
        <v>58</v>
      </c>
      <c r="F1145" s="84" t="s">
        <v>105</v>
      </c>
      <c r="G1145" s="161" t="s">
        <v>2115</v>
      </c>
      <c r="H1145" s="164" t="s">
        <v>2116</v>
      </c>
      <c r="I1145" s="163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8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1" t="s">
        <v>2117</v>
      </c>
      <c r="C1146" s="82" t="str">
        <f>VLOOKUP($B$7:$B$5000,SUM!$L$6:$L$500,1,FALSE)</f>
        <v>#N/A</v>
      </c>
      <c r="D1146" s="160" t="s">
        <v>1725</v>
      </c>
      <c r="E1146" s="100" t="s">
        <v>58</v>
      </c>
      <c r="F1146" s="84" t="s">
        <v>105</v>
      </c>
      <c r="G1146" s="161" t="s">
        <v>2118</v>
      </c>
      <c r="H1146" s="164" t="s">
        <v>2119</v>
      </c>
      <c r="I1146" s="163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8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1" t="s">
        <v>2121</v>
      </c>
      <c r="C1147" s="82" t="str">
        <f>VLOOKUP($B$7:$B$5000,SUM!$L$6:$L$500,1,FALSE)</f>
        <v>#N/A</v>
      </c>
      <c r="D1147" s="160" t="s">
        <v>1725</v>
      </c>
      <c r="E1147" s="100" t="s">
        <v>58</v>
      </c>
      <c r="F1147" s="84" t="s">
        <v>105</v>
      </c>
      <c r="G1147" s="161" t="s">
        <v>2118</v>
      </c>
      <c r="H1147" s="164" t="s">
        <v>2122</v>
      </c>
      <c r="I1147" s="163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8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1" t="s">
        <v>2123</v>
      </c>
      <c r="C1148" s="82" t="str">
        <f>VLOOKUP($B$7:$B$5000,SUM!$L$6:$L$500,1,FALSE)</f>
        <v>#N/A</v>
      </c>
      <c r="D1148" s="160" t="s">
        <v>1725</v>
      </c>
      <c r="E1148" s="100" t="s">
        <v>58</v>
      </c>
      <c r="F1148" s="84" t="s">
        <v>105</v>
      </c>
      <c r="G1148" s="161" t="s">
        <v>2124</v>
      </c>
      <c r="H1148" s="164" t="s">
        <v>2125</v>
      </c>
      <c r="I1148" s="163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8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1" t="s">
        <v>2127</v>
      </c>
      <c r="C1149" s="82" t="str">
        <f>VLOOKUP($B$7:$B$5000,SUM!$L$6:$L$500,1,FALSE)</f>
        <v>#N/A</v>
      </c>
      <c r="D1149" s="160" t="s">
        <v>1725</v>
      </c>
      <c r="E1149" s="100" t="s">
        <v>58</v>
      </c>
      <c r="F1149" s="84" t="s">
        <v>105</v>
      </c>
      <c r="G1149" s="161" t="s">
        <v>1726</v>
      </c>
      <c r="H1149" s="164" t="s">
        <v>1325</v>
      </c>
      <c r="I1149" s="163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8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31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1" t="s">
        <v>2129</v>
      </c>
      <c r="C1150" s="82" t="str">
        <f>VLOOKUP($B$7:$B$5000,SUM!$L$6:$L$500,1,FALSE)</f>
        <v>#N/A</v>
      </c>
      <c r="D1150" s="160" t="s">
        <v>1725</v>
      </c>
      <c r="E1150" s="100" t="s">
        <v>58</v>
      </c>
      <c r="F1150" s="84" t="s">
        <v>105</v>
      </c>
      <c r="G1150" s="161" t="s">
        <v>1726</v>
      </c>
      <c r="H1150" s="164" t="s">
        <v>1327</v>
      </c>
      <c r="I1150" s="163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8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31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1" t="s">
        <v>2130</v>
      </c>
      <c r="C1151" s="82" t="str">
        <f>VLOOKUP($B$7:$B$5000,SUM!$L$6:$L$500,1,FALSE)</f>
        <v>#N/A</v>
      </c>
      <c r="D1151" s="160" t="s">
        <v>1725</v>
      </c>
      <c r="E1151" s="100" t="s">
        <v>58</v>
      </c>
      <c r="F1151" s="84" t="s">
        <v>105</v>
      </c>
      <c r="G1151" s="161" t="s">
        <v>1319</v>
      </c>
      <c r="H1151" s="164" t="s">
        <v>1729</v>
      </c>
      <c r="I1151" s="163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8" t="s">
        <v>433</v>
      </c>
      <c r="O1151" s="90" t="s">
        <v>67</v>
      </c>
      <c r="P1151" s="90" t="s">
        <v>68</v>
      </c>
      <c r="Q1151" s="154" t="s">
        <v>2132</v>
      </c>
      <c r="R1151" s="154" t="s">
        <v>66</v>
      </c>
      <c r="S1151" s="155">
        <v>46189.0</v>
      </c>
      <c r="T1151" s="156"/>
      <c r="U1151" s="154" t="s">
        <v>31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1" t="s">
        <v>2133</v>
      </c>
      <c r="C1152" s="82" t="str">
        <f>VLOOKUP($B$7:$B$5000,SUM!$L$6:$L$500,1,FALSE)</f>
        <v>#N/A</v>
      </c>
      <c r="D1152" s="160" t="s">
        <v>1725</v>
      </c>
      <c r="E1152" s="100" t="s">
        <v>58</v>
      </c>
      <c r="F1152" s="84" t="s">
        <v>105</v>
      </c>
      <c r="G1152" s="161" t="s">
        <v>1319</v>
      </c>
      <c r="H1152" s="164" t="s">
        <v>1732</v>
      </c>
      <c r="I1152" s="163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8" t="s">
        <v>433</v>
      </c>
      <c r="O1152" s="90" t="s">
        <v>67</v>
      </c>
      <c r="P1152" s="90" t="s">
        <v>68</v>
      </c>
      <c r="Q1152" s="154" t="s">
        <v>2132</v>
      </c>
      <c r="R1152" s="154" t="s">
        <v>66</v>
      </c>
      <c r="S1152" s="155">
        <v>46189.0</v>
      </c>
      <c r="T1152" s="156"/>
      <c r="U1152" s="154" t="s">
        <v>31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1" t="s">
        <v>2134</v>
      </c>
      <c r="C1153" s="82" t="str">
        <f>VLOOKUP($B$7:$B$5000,SUM!$L$6:$L$500,1,FALSE)</f>
        <v>#N/A</v>
      </c>
      <c r="D1153" s="160" t="s">
        <v>1725</v>
      </c>
      <c r="E1153" s="100" t="s">
        <v>58</v>
      </c>
      <c r="F1153" s="84" t="s">
        <v>105</v>
      </c>
      <c r="G1153" s="161" t="s">
        <v>1734</v>
      </c>
      <c r="H1153" s="164" t="s">
        <v>1735</v>
      </c>
      <c r="I1153" s="163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8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1" t="s">
        <v>2136</v>
      </c>
      <c r="C1154" s="82" t="str">
        <f>VLOOKUP($B$7:$B$5000,SUM!$L$6:$L$500,1,FALSE)</f>
        <v>#N/A</v>
      </c>
      <c r="D1154" s="160" t="s">
        <v>1725</v>
      </c>
      <c r="E1154" s="100" t="s">
        <v>58</v>
      </c>
      <c r="F1154" s="84" t="s">
        <v>105</v>
      </c>
      <c r="G1154" s="161" t="s">
        <v>1734</v>
      </c>
      <c r="H1154" s="164" t="s">
        <v>1738</v>
      </c>
      <c r="I1154" s="163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8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1" t="s">
        <v>2137</v>
      </c>
      <c r="C1155" s="82" t="str">
        <f>VLOOKUP($B$7:$B$5000,SUM!$L$6:$L$500,1,FALSE)</f>
        <v>#N/A</v>
      </c>
      <c r="D1155" s="160" t="s">
        <v>1725</v>
      </c>
      <c r="E1155" s="100" t="s">
        <v>58</v>
      </c>
      <c r="F1155" s="84" t="s">
        <v>105</v>
      </c>
      <c r="G1155" s="161" t="s">
        <v>1740</v>
      </c>
      <c r="H1155" s="164" t="s">
        <v>1741</v>
      </c>
      <c r="I1155" s="163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8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1" t="s">
        <v>2139</v>
      </c>
      <c r="C1156" s="82" t="str">
        <f>VLOOKUP($B$7:$B$5000,SUM!$L$6:$L$500,1,FALSE)</f>
        <v>#N/A</v>
      </c>
      <c r="D1156" s="160" t="s">
        <v>1725</v>
      </c>
      <c r="E1156" s="100" t="s">
        <v>58</v>
      </c>
      <c r="F1156" s="84" t="s">
        <v>105</v>
      </c>
      <c r="G1156" s="161" t="s">
        <v>1740</v>
      </c>
      <c r="H1156" s="164" t="s">
        <v>1744</v>
      </c>
      <c r="I1156" s="163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8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1" t="s">
        <v>2140</v>
      </c>
      <c r="C1157" s="82" t="str">
        <f>VLOOKUP($B$7:$B$5000,SUM!$L$6:$L$500,1,FALSE)</f>
        <v>#N/A</v>
      </c>
      <c r="D1157" s="160" t="s">
        <v>1725</v>
      </c>
      <c r="E1157" s="100" t="s">
        <v>58</v>
      </c>
      <c r="F1157" s="84" t="s">
        <v>105</v>
      </c>
      <c r="G1157" s="161" t="s">
        <v>1746</v>
      </c>
      <c r="H1157" s="164" t="s">
        <v>1747</v>
      </c>
      <c r="I1157" s="163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8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1" t="s">
        <v>2141</v>
      </c>
      <c r="C1158" s="82" t="str">
        <f>VLOOKUP($B$7:$B$5000,SUM!$L$6:$L$500,1,FALSE)</f>
        <v>#N/A</v>
      </c>
      <c r="D1158" s="160" t="s">
        <v>1725</v>
      </c>
      <c r="E1158" s="100" t="s">
        <v>58</v>
      </c>
      <c r="F1158" s="84" t="s">
        <v>105</v>
      </c>
      <c r="G1158" s="161" t="s">
        <v>1749</v>
      </c>
      <c r="H1158" s="164" t="s">
        <v>1750</v>
      </c>
      <c r="I1158" s="163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8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31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1" t="s">
        <v>2143</v>
      </c>
      <c r="C1159" s="82" t="str">
        <f>VLOOKUP($B$7:$B$5000,SUM!$L$6:$L$500,1,FALSE)</f>
        <v>#N/A</v>
      </c>
      <c r="D1159" s="160" t="s">
        <v>1725</v>
      </c>
      <c r="E1159" s="100" t="s">
        <v>58</v>
      </c>
      <c r="F1159" s="84" t="s">
        <v>105</v>
      </c>
      <c r="G1159" s="161" t="s">
        <v>1749</v>
      </c>
      <c r="H1159" s="164" t="s">
        <v>1753</v>
      </c>
      <c r="I1159" s="163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8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1" t="s">
        <v>2144</v>
      </c>
      <c r="C1160" s="82" t="str">
        <f>VLOOKUP($B$7:$B$5000,SUM!$L$6:$L$500,1,FALSE)</f>
        <v>#N/A</v>
      </c>
      <c r="D1160" s="160" t="s">
        <v>1725</v>
      </c>
      <c r="E1160" s="100" t="s">
        <v>58</v>
      </c>
      <c r="F1160" s="84" t="s">
        <v>105</v>
      </c>
      <c r="G1160" s="161" t="s">
        <v>1749</v>
      </c>
      <c r="H1160" s="164" t="s">
        <v>1755</v>
      </c>
      <c r="I1160" s="163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8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1" t="s">
        <v>2145</v>
      </c>
      <c r="C1161" s="82" t="str">
        <f>VLOOKUP($B$7:$B$5000,SUM!$L$6:$L$500,1,FALSE)</f>
        <v>#N/A</v>
      </c>
      <c r="D1161" s="160" t="s">
        <v>1725</v>
      </c>
      <c r="E1161" s="100" t="s">
        <v>58</v>
      </c>
      <c r="F1161" s="84" t="s">
        <v>105</v>
      </c>
      <c r="G1161" s="161" t="s">
        <v>1749</v>
      </c>
      <c r="H1161" s="164" t="s">
        <v>1757</v>
      </c>
      <c r="I1161" s="163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8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1" t="s">
        <v>2146</v>
      </c>
      <c r="C1162" s="82" t="str">
        <f>VLOOKUP($B$7:$B$5000,SUM!$L$6:$L$500,1,FALSE)</f>
        <v>#N/A</v>
      </c>
      <c r="D1162" s="160" t="s">
        <v>1725</v>
      </c>
      <c r="E1162" s="100" t="s">
        <v>58</v>
      </c>
      <c r="F1162" s="84" t="s">
        <v>105</v>
      </c>
      <c r="G1162" s="161" t="s">
        <v>1749</v>
      </c>
      <c r="H1162" s="164" t="s">
        <v>1759</v>
      </c>
      <c r="I1162" s="163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8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31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1" t="s">
        <v>2147</v>
      </c>
      <c r="C1163" s="82" t="str">
        <f>VLOOKUP($B$7:$B$5000,SUM!$L$6:$L$500,1,FALSE)</f>
        <v>#N/A</v>
      </c>
      <c r="D1163" s="160" t="s">
        <v>1725</v>
      </c>
      <c r="E1163" s="100" t="s">
        <v>58</v>
      </c>
      <c r="F1163" s="84" t="s">
        <v>105</v>
      </c>
      <c r="G1163" s="161" t="s">
        <v>1761</v>
      </c>
      <c r="H1163" s="164" t="s">
        <v>1762</v>
      </c>
      <c r="I1163" s="163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8" t="s">
        <v>433</v>
      </c>
      <c r="O1163" s="90" t="s">
        <v>67</v>
      </c>
      <c r="P1163" s="90" t="s">
        <v>68</v>
      </c>
      <c r="Q1163" s="150">
        <v>46162.0</v>
      </c>
      <c r="R1163" s="103" t="s">
        <v>597</v>
      </c>
      <c r="S1163" s="150">
        <v>46166.0</v>
      </c>
      <c r="T1163" s="103"/>
      <c r="U1163" s="90" t="s">
        <v>31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1" t="s">
        <v>2149</v>
      </c>
      <c r="C1164" s="82" t="str">
        <f>VLOOKUP($B$7:$B$5000,SUM!$L$6:$L$500,1,FALSE)</f>
        <v>#N/A</v>
      </c>
      <c r="D1164" s="160" t="s">
        <v>1725</v>
      </c>
      <c r="E1164" s="100" t="s">
        <v>58</v>
      </c>
      <c r="F1164" s="84" t="s">
        <v>105</v>
      </c>
      <c r="G1164" s="161" t="s">
        <v>1765</v>
      </c>
      <c r="H1164" s="164" t="s">
        <v>1766</v>
      </c>
      <c r="I1164" s="163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8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31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1" t="s">
        <v>2150</v>
      </c>
      <c r="C1165" s="82" t="str">
        <f>VLOOKUP($B$7:$B$5000,SUM!$L$6:$L$500,1,FALSE)</f>
        <v>#N/A</v>
      </c>
      <c r="D1165" s="160" t="s">
        <v>1725</v>
      </c>
      <c r="E1165" s="100" t="s">
        <v>58</v>
      </c>
      <c r="F1165" s="84" t="s">
        <v>105</v>
      </c>
      <c r="G1165" s="161" t="s">
        <v>1765</v>
      </c>
      <c r="H1165" s="164" t="s">
        <v>1768</v>
      </c>
      <c r="I1165" s="163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8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1" t="s">
        <v>2151</v>
      </c>
      <c r="C1166" s="82" t="str">
        <f>VLOOKUP($B$7:$B$5000,SUM!$L$6:$L$500,1,FALSE)</f>
        <v>#N/A</v>
      </c>
      <c r="D1166" s="160" t="s">
        <v>1725</v>
      </c>
      <c r="E1166" s="100" t="s">
        <v>58</v>
      </c>
      <c r="F1166" s="84" t="s">
        <v>105</v>
      </c>
      <c r="G1166" s="161" t="s">
        <v>1765</v>
      </c>
      <c r="H1166" s="164" t="s">
        <v>1770</v>
      </c>
      <c r="I1166" s="163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8" t="s">
        <v>433</v>
      </c>
      <c r="O1166" s="90" t="s">
        <v>67</v>
      </c>
      <c r="P1166" s="90" t="s">
        <v>68</v>
      </c>
      <c r="Q1166" s="154" t="s">
        <v>2132</v>
      </c>
      <c r="R1166" s="154" t="s">
        <v>66</v>
      </c>
      <c r="S1166" s="155">
        <v>46189.0</v>
      </c>
      <c r="T1166" s="156"/>
      <c r="U1166" s="154" t="s">
        <v>31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1" t="s">
        <v>2152</v>
      </c>
      <c r="C1167" s="82" t="str">
        <f>VLOOKUP($B$7:$B$5000,SUM!$L$6:$L$500,1,FALSE)</f>
        <v>#N/A</v>
      </c>
      <c r="D1167" s="160" t="s">
        <v>1725</v>
      </c>
      <c r="E1167" s="100" t="s">
        <v>58</v>
      </c>
      <c r="F1167" s="84" t="s">
        <v>105</v>
      </c>
      <c r="G1167" s="161" t="s">
        <v>1761</v>
      </c>
      <c r="H1167" s="164" t="s">
        <v>1772</v>
      </c>
      <c r="I1167" s="163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8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31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1" t="s">
        <v>2154</v>
      </c>
      <c r="C1168" s="82" t="str">
        <f>VLOOKUP($B$7:$B$5000,SUM!$L$6:$L$500,1,FALSE)</f>
        <v>#N/A</v>
      </c>
      <c r="D1168" s="160" t="s">
        <v>1725</v>
      </c>
      <c r="E1168" s="100" t="s">
        <v>58</v>
      </c>
      <c r="F1168" s="84" t="s">
        <v>105</v>
      </c>
      <c r="G1168" s="161" t="s">
        <v>1761</v>
      </c>
      <c r="H1168" s="164" t="s">
        <v>1774</v>
      </c>
      <c r="I1168" s="163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8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31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1" t="s">
        <v>2156</v>
      </c>
      <c r="C1169" s="82" t="str">
        <f>VLOOKUP($B$7:$B$5000,SUM!$L$6:$L$500,1,FALSE)</f>
        <v>#N/A</v>
      </c>
      <c r="D1169" s="160" t="s">
        <v>1725</v>
      </c>
      <c r="E1169" s="100" t="s">
        <v>58</v>
      </c>
      <c r="F1169" s="84" t="s">
        <v>105</v>
      </c>
      <c r="G1169" s="161" t="s">
        <v>1761</v>
      </c>
      <c r="H1169" s="164" t="s">
        <v>1776</v>
      </c>
      <c r="I1169" s="163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8" t="s">
        <v>433</v>
      </c>
      <c r="O1169" s="90" t="s">
        <v>67</v>
      </c>
      <c r="P1169" s="90" t="s">
        <v>68</v>
      </c>
      <c r="Q1169" s="150">
        <v>46162.0</v>
      </c>
      <c r="R1169" s="103" t="s">
        <v>597</v>
      </c>
      <c r="S1169" s="150">
        <v>46166.0</v>
      </c>
      <c r="T1169" s="103"/>
      <c r="U1169" s="90" t="s">
        <v>31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1" t="s">
        <v>2158</v>
      </c>
      <c r="C1170" s="82" t="str">
        <f>VLOOKUP($B$7:$B$5000,SUM!$L$6:$L$500,1,FALSE)</f>
        <v>#N/A</v>
      </c>
      <c r="D1170" s="160" t="s">
        <v>1725</v>
      </c>
      <c r="E1170" s="100" t="s">
        <v>58</v>
      </c>
      <c r="F1170" s="84" t="s">
        <v>105</v>
      </c>
      <c r="G1170" s="161" t="s">
        <v>1761</v>
      </c>
      <c r="H1170" s="164" t="s">
        <v>1779</v>
      </c>
      <c r="I1170" s="163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8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31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1" t="s">
        <v>2161</v>
      </c>
      <c r="C1171" s="82" t="str">
        <f>VLOOKUP($B$7:$B$5000,SUM!$L$6:$L$500,1,FALSE)</f>
        <v>#N/A</v>
      </c>
      <c r="D1171" s="160" t="s">
        <v>1725</v>
      </c>
      <c r="E1171" s="100" t="s">
        <v>58</v>
      </c>
      <c r="F1171" s="84" t="s">
        <v>105</v>
      </c>
      <c r="G1171" s="161" t="s">
        <v>1782</v>
      </c>
      <c r="H1171" s="164" t="s">
        <v>1783</v>
      </c>
      <c r="I1171" s="163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8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1" t="s">
        <v>2162</v>
      </c>
      <c r="C1172" s="82" t="str">
        <f>VLOOKUP($B$7:$B$5000,SUM!$L$6:$L$500,1,FALSE)</f>
        <v>#N/A</v>
      </c>
      <c r="D1172" s="160" t="s">
        <v>1725</v>
      </c>
      <c r="E1172" s="100" t="s">
        <v>58</v>
      </c>
      <c r="F1172" s="84" t="s">
        <v>105</v>
      </c>
      <c r="G1172" s="161" t="s">
        <v>1746</v>
      </c>
      <c r="H1172" s="164" t="s">
        <v>1785</v>
      </c>
      <c r="I1172" s="163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8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1" t="s">
        <v>2163</v>
      </c>
      <c r="C1173" s="82" t="str">
        <f>VLOOKUP($B$7:$B$5000,SUM!$L$6:$L$500,1,FALSE)</f>
        <v>#N/A</v>
      </c>
      <c r="D1173" s="160" t="s">
        <v>1725</v>
      </c>
      <c r="E1173" s="100" t="s">
        <v>58</v>
      </c>
      <c r="F1173" s="84" t="s">
        <v>105</v>
      </c>
      <c r="G1173" s="161" t="s">
        <v>1761</v>
      </c>
      <c r="H1173" s="164" t="s">
        <v>1787</v>
      </c>
      <c r="I1173" s="163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8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31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1" t="s">
        <v>2165</v>
      </c>
      <c r="C1174" s="82" t="str">
        <f>VLOOKUP($B$7:$B$5000,SUM!$L$6:$L$500,1,FALSE)</f>
        <v>#N/A</v>
      </c>
      <c r="D1174" s="160" t="s">
        <v>1725</v>
      </c>
      <c r="E1174" s="100" t="s">
        <v>58</v>
      </c>
      <c r="F1174" s="84" t="s">
        <v>105</v>
      </c>
      <c r="G1174" s="161" t="s">
        <v>1789</v>
      </c>
      <c r="H1174" s="164" t="s">
        <v>1790</v>
      </c>
      <c r="I1174" s="163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8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31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1" t="s">
        <v>2166</v>
      </c>
      <c r="C1175" s="82" t="str">
        <f>VLOOKUP($B$7:$B$5000,SUM!$L$6:$L$500,1,FALSE)</f>
        <v>#N/A</v>
      </c>
      <c r="D1175" s="160" t="s">
        <v>1725</v>
      </c>
      <c r="E1175" s="100" t="s">
        <v>58</v>
      </c>
      <c r="F1175" s="84" t="s">
        <v>105</v>
      </c>
      <c r="G1175" s="161" t="s">
        <v>1789</v>
      </c>
      <c r="H1175" s="164" t="s">
        <v>1792</v>
      </c>
      <c r="I1175" s="163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8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31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1" t="s">
        <v>2167</v>
      </c>
      <c r="C1176" s="82" t="str">
        <f>VLOOKUP($B$7:$B$5000,SUM!$L$6:$L$500,1,FALSE)</f>
        <v>#N/A</v>
      </c>
      <c r="D1176" s="160" t="s">
        <v>1725</v>
      </c>
      <c r="E1176" s="100" t="s">
        <v>58</v>
      </c>
      <c r="F1176" s="84" t="s">
        <v>105</v>
      </c>
      <c r="G1176" s="161" t="s">
        <v>1761</v>
      </c>
      <c r="H1176" s="164" t="s">
        <v>1794</v>
      </c>
      <c r="I1176" s="163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8" t="s">
        <v>433</v>
      </c>
      <c r="O1176" s="90" t="s">
        <v>67</v>
      </c>
      <c r="P1176" s="90" t="s">
        <v>68</v>
      </c>
      <c r="Q1176" s="150">
        <v>46162.0</v>
      </c>
      <c r="R1176" s="103" t="s">
        <v>597</v>
      </c>
      <c r="S1176" s="150">
        <v>46166.0</v>
      </c>
      <c r="T1176" s="103"/>
      <c r="U1176" s="90" t="s">
        <v>31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1" t="s">
        <v>2168</v>
      </c>
      <c r="C1177" s="82" t="str">
        <f>VLOOKUP($B$7:$B$5000,SUM!$L$6:$L$500,1,FALSE)</f>
        <v>#N/A</v>
      </c>
      <c r="D1177" s="160" t="s">
        <v>1725</v>
      </c>
      <c r="E1177" s="100" t="s">
        <v>58</v>
      </c>
      <c r="F1177" s="84" t="s">
        <v>105</v>
      </c>
      <c r="G1177" s="161" t="s">
        <v>1765</v>
      </c>
      <c r="H1177" s="164" t="s">
        <v>1796</v>
      </c>
      <c r="I1177" s="163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8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31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1" t="s">
        <v>2169</v>
      </c>
      <c r="C1178" s="82" t="str">
        <f>VLOOKUP($B$7:$B$5000,SUM!$L$6:$L$500,1,FALSE)</f>
        <v>#N/A</v>
      </c>
      <c r="D1178" s="160" t="s">
        <v>1725</v>
      </c>
      <c r="E1178" s="100" t="s">
        <v>58</v>
      </c>
      <c r="F1178" s="84" t="s">
        <v>105</v>
      </c>
      <c r="G1178" s="161" t="s">
        <v>1765</v>
      </c>
      <c r="H1178" s="164" t="s">
        <v>1798</v>
      </c>
      <c r="I1178" s="163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8" t="s">
        <v>433</v>
      </c>
      <c r="O1178" s="90" t="s">
        <v>67</v>
      </c>
      <c r="P1178" s="90" t="s">
        <v>68</v>
      </c>
      <c r="Q1178" s="154" t="s">
        <v>2132</v>
      </c>
      <c r="R1178" s="154" t="s">
        <v>66</v>
      </c>
      <c r="S1178" s="155">
        <v>46189.0</v>
      </c>
      <c r="T1178" s="156"/>
      <c r="U1178" s="154" t="s">
        <v>31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1" t="s">
        <v>2170</v>
      </c>
      <c r="C1179" s="82" t="str">
        <f>VLOOKUP($B$7:$B$5000,SUM!$L$6:$L$500,1,FALSE)</f>
        <v>#N/A</v>
      </c>
      <c r="D1179" s="160" t="s">
        <v>1725</v>
      </c>
      <c r="E1179" s="100" t="s">
        <v>58</v>
      </c>
      <c r="F1179" s="84" t="s">
        <v>105</v>
      </c>
      <c r="G1179" s="161" t="s">
        <v>1765</v>
      </c>
      <c r="H1179" s="164" t="s">
        <v>1800</v>
      </c>
      <c r="I1179" s="163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8" t="s">
        <v>433</v>
      </c>
      <c r="O1179" s="90" t="s">
        <v>67</v>
      </c>
      <c r="P1179" s="90" t="s">
        <v>68</v>
      </c>
      <c r="Q1179" s="154" t="s">
        <v>2132</v>
      </c>
      <c r="R1179" s="154" t="s">
        <v>66</v>
      </c>
      <c r="S1179" s="155">
        <v>46189.0</v>
      </c>
      <c r="T1179" s="156"/>
      <c r="U1179" s="154" t="s">
        <v>31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1" t="s">
        <v>2171</v>
      </c>
      <c r="C1180" s="82" t="str">
        <f>VLOOKUP($B$7:$B$5000,SUM!$L$6:$L$500,1,FALSE)</f>
        <v>#N/A</v>
      </c>
      <c r="D1180" s="160" t="s">
        <v>1725</v>
      </c>
      <c r="E1180" s="100" t="s">
        <v>58</v>
      </c>
      <c r="F1180" s="84" t="s">
        <v>105</v>
      </c>
      <c r="G1180" s="161" t="s">
        <v>1761</v>
      </c>
      <c r="H1180" s="164" t="s">
        <v>1802</v>
      </c>
      <c r="I1180" s="163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8" t="s">
        <v>433</v>
      </c>
      <c r="O1180" s="90" t="s">
        <v>67</v>
      </c>
      <c r="P1180" s="90" t="s">
        <v>68</v>
      </c>
      <c r="Q1180" s="150">
        <v>46162.0</v>
      </c>
      <c r="R1180" s="103" t="s">
        <v>597</v>
      </c>
      <c r="S1180" s="150">
        <v>46166.0</v>
      </c>
      <c r="T1180" s="103"/>
      <c r="U1180" s="90" t="s">
        <v>31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1" t="s">
        <v>2172</v>
      </c>
      <c r="C1181" s="82" t="str">
        <f>VLOOKUP($B$7:$B$5000,SUM!$L$6:$L$500,1,FALSE)</f>
        <v>#N/A</v>
      </c>
      <c r="D1181" s="160" t="s">
        <v>1725</v>
      </c>
      <c r="E1181" s="100" t="s">
        <v>58</v>
      </c>
      <c r="F1181" s="84" t="s">
        <v>105</v>
      </c>
      <c r="G1181" s="161" t="s">
        <v>1761</v>
      </c>
      <c r="H1181" s="164" t="s">
        <v>1804</v>
      </c>
      <c r="I1181" s="163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8" t="s">
        <v>433</v>
      </c>
      <c r="O1181" s="90" t="s">
        <v>67</v>
      </c>
      <c r="P1181" s="90" t="s">
        <v>68</v>
      </c>
      <c r="Q1181" s="150">
        <v>46162.0</v>
      </c>
      <c r="R1181" s="103" t="s">
        <v>597</v>
      </c>
      <c r="S1181" s="150">
        <v>46166.0</v>
      </c>
      <c r="T1181" s="103"/>
      <c r="U1181" s="90" t="s">
        <v>31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1" t="s">
        <v>2173</v>
      </c>
      <c r="C1182" s="82" t="str">
        <f>VLOOKUP($B$7:$B$5000,SUM!$L$6:$L$500,1,FALSE)</f>
        <v>#N/A</v>
      </c>
      <c r="D1182" s="160" t="s">
        <v>1725</v>
      </c>
      <c r="E1182" s="100" t="s">
        <v>58</v>
      </c>
      <c r="F1182" s="84" t="s">
        <v>105</v>
      </c>
      <c r="G1182" s="161" t="s">
        <v>1806</v>
      </c>
      <c r="H1182" s="164" t="s">
        <v>1807</v>
      </c>
      <c r="I1182" s="163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8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1" t="s">
        <v>2174</v>
      </c>
      <c r="C1183" s="82" t="str">
        <f>VLOOKUP($B$7:$B$5000,SUM!$L$6:$L$500,1,FALSE)</f>
        <v>#N/A</v>
      </c>
      <c r="D1183" s="160" t="s">
        <v>1725</v>
      </c>
      <c r="E1183" s="100" t="s">
        <v>58</v>
      </c>
      <c r="F1183" s="84" t="s">
        <v>105</v>
      </c>
      <c r="G1183" s="161" t="s">
        <v>1809</v>
      </c>
      <c r="H1183" s="164" t="s">
        <v>1810</v>
      </c>
      <c r="I1183" s="163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8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1" t="s">
        <v>2176</v>
      </c>
      <c r="C1184" s="82" t="str">
        <f>VLOOKUP($B$7:$B$5000,SUM!$L$6:$L$500,1,FALSE)</f>
        <v>#N/A</v>
      </c>
      <c r="D1184" s="160" t="s">
        <v>1725</v>
      </c>
      <c r="E1184" s="100" t="s">
        <v>58</v>
      </c>
      <c r="F1184" s="84" t="s">
        <v>105</v>
      </c>
      <c r="G1184" s="161" t="s">
        <v>1813</v>
      </c>
      <c r="H1184" s="164" t="s">
        <v>1814</v>
      </c>
      <c r="I1184" s="163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8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1" t="s">
        <v>2178</v>
      </c>
      <c r="C1185" s="82" t="str">
        <f>VLOOKUP($B$7:$B$5000,SUM!$L$6:$L$500,1,FALSE)</f>
        <v>#N/A</v>
      </c>
      <c r="D1185" s="160" t="s">
        <v>1725</v>
      </c>
      <c r="E1185" s="100" t="s">
        <v>58</v>
      </c>
      <c r="F1185" s="84" t="s">
        <v>105</v>
      </c>
      <c r="G1185" s="161" t="s">
        <v>1813</v>
      </c>
      <c r="H1185" s="164" t="s">
        <v>1817</v>
      </c>
      <c r="I1185" s="163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8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1" t="s">
        <v>2180</v>
      </c>
      <c r="C1186" s="82" t="str">
        <f>VLOOKUP($B$7:$B$5000,SUM!$L$6:$L$500,1,FALSE)</f>
        <v>#N/A</v>
      </c>
      <c r="D1186" s="160" t="s">
        <v>1725</v>
      </c>
      <c r="E1186" s="100" t="s">
        <v>58</v>
      </c>
      <c r="F1186" s="84" t="s">
        <v>105</v>
      </c>
      <c r="G1186" s="161" t="s">
        <v>1820</v>
      </c>
      <c r="H1186" s="164" t="s">
        <v>1821</v>
      </c>
      <c r="I1186" s="163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8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1" t="s">
        <v>2182</v>
      </c>
      <c r="C1187" s="82" t="str">
        <f>VLOOKUP($B$7:$B$5000,SUM!$L$6:$L$500,1,FALSE)</f>
        <v>#N/A</v>
      </c>
      <c r="D1187" s="160" t="s">
        <v>1725</v>
      </c>
      <c r="E1187" s="100" t="s">
        <v>58</v>
      </c>
      <c r="F1187" s="84" t="s">
        <v>105</v>
      </c>
      <c r="G1187" s="161" t="s">
        <v>1824</v>
      </c>
      <c r="H1187" s="164" t="s">
        <v>1825</v>
      </c>
      <c r="I1187" s="163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8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31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1" t="s">
        <v>2184</v>
      </c>
      <c r="C1188" s="82" t="str">
        <f>VLOOKUP($B$7:$B$5000,SUM!$L$6:$L$500,1,FALSE)</f>
        <v>#N/A</v>
      </c>
      <c r="D1188" s="160" t="s">
        <v>1725</v>
      </c>
      <c r="E1188" s="100" t="s">
        <v>58</v>
      </c>
      <c r="F1188" s="84" t="s">
        <v>105</v>
      </c>
      <c r="G1188" s="161" t="s">
        <v>1362</v>
      </c>
      <c r="H1188" s="164" t="s">
        <v>1827</v>
      </c>
      <c r="I1188" s="163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8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31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1" t="s">
        <v>2186</v>
      </c>
      <c r="C1189" s="82" t="str">
        <f>VLOOKUP($B$7:$B$5000,SUM!$L$6:$L$500,1,FALSE)</f>
        <v>#N/A</v>
      </c>
      <c r="D1189" s="160" t="s">
        <v>1725</v>
      </c>
      <c r="E1189" s="100" t="s">
        <v>58</v>
      </c>
      <c r="F1189" s="84" t="s">
        <v>105</v>
      </c>
      <c r="G1189" s="161" t="s">
        <v>1362</v>
      </c>
      <c r="H1189" s="164" t="s">
        <v>1830</v>
      </c>
      <c r="I1189" s="163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8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31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1" t="s">
        <v>2187</v>
      </c>
      <c r="C1190" s="82" t="str">
        <f>VLOOKUP($B$7:$B$5000,SUM!$L$6:$L$500,1,FALSE)</f>
        <v>#N/A</v>
      </c>
      <c r="D1190" s="160" t="s">
        <v>1725</v>
      </c>
      <c r="E1190" s="100" t="s">
        <v>58</v>
      </c>
      <c r="F1190" s="84" t="s">
        <v>105</v>
      </c>
      <c r="G1190" s="161" t="s">
        <v>1362</v>
      </c>
      <c r="H1190" s="164" t="s">
        <v>1832</v>
      </c>
      <c r="I1190" s="163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8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31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1" t="s">
        <v>2188</v>
      </c>
      <c r="C1191" s="82" t="str">
        <f>VLOOKUP($B$7:$B$5000,SUM!$L$6:$L$500,1,FALSE)</f>
        <v>#N/A</v>
      </c>
      <c r="D1191" s="160" t="s">
        <v>1725</v>
      </c>
      <c r="E1191" s="100" t="s">
        <v>58</v>
      </c>
      <c r="F1191" s="84" t="s">
        <v>105</v>
      </c>
      <c r="G1191" s="161" t="s">
        <v>1362</v>
      </c>
      <c r="H1191" s="164" t="s">
        <v>1834</v>
      </c>
      <c r="I1191" s="163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8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31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1" t="s">
        <v>2189</v>
      </c>
      <c r="C1192" s="82" t="str">
        <f>VLOOKUP($B$7:$B$5000,SUM!$L$6:$L$500,1,FALSE)</f>
        <v>#N/A</v>
      </c>
      <c r="D1192" s="160" t="s">
        <v>1725</v>
      </c>
      <c r="E1192" s="100" t="s">
        <v>58</v>
      </c>
      <c r="F1192" s="84" t="s">
        <v>105</v>
      </c>
      <c r="G1192" s="161" t="s">
        <v>1362</v>
      </c>
      <c r="H1192" s="164" t="s">
        <v>1836</v>
      </c>
      <c r="I1192" s="163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8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31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1" t="s">
        <v>2190</v>
      </c>
      <c r="C1193" s="82" t="str">
        <f>VLOOKUP($B$7:$B$5000,SUM!$L$6:$L$500,1,FALSE)</f>
        <v>#N/A</v>
      </c>
      <c r="D1193" s="160" t="s">
        <v>1725</v>
      </c>
      <c r="E1193" s="100" t="s">
        <v>58</v>
      </c>
      <c r="F1193" s="84" t="s">
        <v>105</v>
      </c>
      <c r="G1193" s="161" t="s">
        <v>1362</v>
      </c>
      <c r="H1193" s="164" t="s">
        <v>1838</v>
      </c>
      <c r="I1193" s="163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8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31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1" t="s">
        <v>2191</v>
      </c>
      <c r="C1194" s="82" t="str">
        <f>VLOOKUP($B$7:$B$5000,SUM!$L$6:$L$500,1,FALSE)</f>
        <v>#N/A</v>
      </c>
      <c r="D1194" s="160" t="s">
        <v>1725</v>
      </c>
      <c r="E1194" s="100" t="s">
        <v>58</v>
      </c>
      <c r="F1194" s="84" t="s">
        <v>105</v>
      </c>
      <c r="G1194" s="161" t="s">
        <v>1362</v>
      </c>
      <c r="H1194" s="164" t="s">
        <v>1840</v>
      </c>
      <c r="I1194" s="163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8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31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1" t="s">
        <v>2192</v>
      </c>
      <c r="C1195" s="82" t="str">
        <f>VLOOKUP($B$7:$B$5000,SUM!$L$6:$L$500,1,FALSE)</f>
        <v>#N/A</v>
      </c>
      <c r="D1195" s="160" t="s">
        <v>1725</v>
      </c>
      <c r="E1195" s="100" t="s">
        <v>58</v>
      </c>
      <c r="F1195" s="84" t="s">
        <v>105</v>
      </c>
      <c r="G1195" s="161" t="s">
        <v>1362</v>
      </c>
      <c r="H1195" s="164" t="s">
        <v>1842</v>
      </c>
      <c r="I1195" s="163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8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31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1" t="s">
        <v>2193</v>
      </c>
      <c r="C1196" s="82" t="str">
        <f>VLOOKUP($B$7:$B$5000,SUM!$L$6:$L$500,1,FALSE)</f>
        <v>#N/A</v>
      </c>
      <c r="D1196" s="160" t="s">
        <v>1725</v>
      </c>
      <c r="E1196" s="100" t="s">
        <v>58</v>
      </c>
      <c r="F1196" s="84" t="s">
        <v>105</v>
      </c>
      <c r="G1196" s="161" t="s">
        <v>1362</v>
      </c>
      <c r="H1196" s="164" t="s">
        <v>1844</v>
      </c>
      <c r="I1196" s="163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8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31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1" t="s">
        <v>2194</v>
      </c>
      <c r="C1197" s="82" t="str">
        <f>VLOOKUP($B$7:$B$5000,SUM!$L$6:$L$500,1,FALSE)</f>
        <v>#N/A</v>
      </c>
      <c r="D1197" s="160" t="s">
        <v>1725</v>
      </c>
      <c r="E1197" s="100" t="s">
        <v>58</v>
      </c>
      <c r="F1197" s="84" t="s">
        <v>105</v>
      </c>
      <c r="G1197" s="161" t="s">
        <v>1362</v>
      </c>
      <c r="H1197" s="164" t="s">
        <v>1846</v>
      </c>
      <c r="I1197" s="163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8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31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1" t="s">
        <v>2195</v>
      </c>
      <c r="C1198" s="82" t="str">
        <f>VLOOKUP($B$7:$B$5000,SUM!$L$6:$L$500,1,FALSE)</f>
        <v>#N/A</v>
      </c>
      <c r="D1198" s="160" t="s">
        <v>1725</v>
      </c>
      <c r="E1198" s="100" t="s">
        <v>58</v>
      </c>
      <c r="F1198" s="84" t="s">
        <v>105</v>
      </c>
      <c r="G1198" s="161" t="s">
        <v>1362</v>
      </c>
      <c r="H1198" s="164" t="s">
        <v>1848</v>
      </c>
      <c r="I1198" s="163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8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31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1" t="s">
        <v>2196</v>
      </c>
      <c r="C1199" s="82" t="str">
        <f>VLOOKUP($B$7:$B$5000,SUM!$L$6:$L$500,1,FALSE)</f>
        <v>#N/A</v>
      </c>
      <c r="D1199" s="160" t="s">
        <v>1725</v>
      </c>
      <c r="E1199" s="100" t="s">
        <v>58</v>
      </c>
      <c r="F1199" s="84" t="s">
        <v>105</v>
      </c>
      <c r="G1199" s="161" t="s">
        <v>1362</v>
      </c>
      <c r="H1199" s="164" t="s">
        <v>1850</v>
      </c>
      <c r="I1199" s="163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8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31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1" t="s">
        <v>2197</v>
      </c>
      <c r="C1200" s="82" t="str">
        <f>VLOOKUP($B$7:$B$5000,SUM!$L$6:$L$500,1,FALSE)</f>
        <v>#N/A</v>
      </c>
      <c r="D1200" s="160" t="s">
        <v>1725</v>
      </c>
      <c r="E1200" s="100" t="s">
        <v>58</v>
      </c>
      <c r="F1200" s="84" t="s">
        <v>105</v>
      </c>
      <c r="G1200" s="161" t="s">
        <v>1362</v>
      </c>
      <c r="H1200" s="164" t="s">
        <v>1852</v>
      </c>
      <c r="I1200" s="163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8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31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1" t="s">
        <v>2198</v>
      </c>
      <c r="C1201" s="82" t="str">
        <f>VLOOKUP($B$7:$B$5000,SUM!$L$6:$L$500,1,FALSE)</f>
        <v>#N/A</v>
      </c>
      <c r="D1201" s="160" t="s">
        <v>1725</v>
      </c>
      <c r="E1201" s="100" t="s">
        <v>58</v>
      </c>
      <c r="F1201" s="84" t="s">
        <v>105</v>
      </c>
      <c r="G1201" s="161" t="s">
        <v>1362</v>
      </c>
      <c r="H1201" s="164" t="s">
        <v>1854</v>
      </c>
      <c r="I1201" s="163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8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31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1" t="s">
        <v>2199</v>
      </c>
      <c r="C1202" s="82" t="str">
        <f>VLOOKUP($B$7:$B$5000,SUM!$L$6:$L$500,1,FALSE)</f>
        <v>#N/A</v>
      </c>
      <c r="D1202" s="160" t="s">
        <v>1725</v>
      </c>
      <c r="E1202" s="100" t="s">
        <v>58</v>
      </c>
      <c r="F1202" s="84" t="s">
        <v>105</v>
      </c>
      <c r="G1202" s="161" t="s">
        <v>1362</v>
      </c>
      <c r="H1202" s="164" t="s">
        <v>1856</v>
      </c>
      <c r="I1202" s="163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8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31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1" t="s">
        <v>2200</v>
      </c>
      <c r="C1203" s="82" t="str">
        <f>VLOOKUP($B$7:$B$5000,SUM!$L$6:$L$500,1,FALSE)</f>
        <v>#N/A</v>
      </c>
      <c r="D1203" s="160" t="s">
        <v>1725</v>
      </c>
      <c r="E1203" s="100" t="s">
        <v>58</v>
      </c>
      <c r="F1203" s="84" t="s">
        <v>105</v>
      </c>
      <c r="G1203" s="161" t="s">
        <v>1362</v>
      </c>
      <c r="H1203" s="164" t="s">
        <v>1858</v>
      </c>
      <c r="I1203" s="163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8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31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1" t="s">
        <v>2201</v>
      </c>
      <c r="C1204" s="82" t="str">
        <f>VLOOKUP($B$7:$B$5000,SUM!$L$6:$L$500,1,FALSE)</f>
        <v>#N/A</v>
      </c>
      <c r="D1204" s="160" t="s">
        <v>1725</v>
      </c>
      <c r="E1204" s="100" t="s">
        <v>58</v>
      </c>
      <c r="F1204" s="84" t="s">
        <v>105</v>
      </c>
      <c r="G1204" s="161" t="s">
        <v>1362</v>
      </c>
      <c r="H1204" s="164" t="s">
        <v>1860</v>
      </c>
      <c r="I1204" s="163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8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31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1" t="s">
        <v>2202</v>
      </c>
      <c r="C1205" s="82" t="str">
        <f>VLOOKUP($B$7:$B$5000,SUM!$L$6:$L$500,1,FALSE)</f>
        <v>#N/A</v>
      </c>
      <c r="D1205" s="160" t="s">
        <v>1725</v>
      </c>
      <c r="E1205" s="100" t="s">
        <v>58</v>
      </c>
      <c r="F1205" s="84" t="s">
        <v>105</v>
      </c>
      <c r="G1205" s="161" t="s">
        <v>1362</v>
      </c>
      <c r="H1205" s="164" t="s">
        <v>1862</v>
      </c>
      <c r="I1205" s="163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8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31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1" t="s">
        <v>2203</v>
      </c>
      <c r="C1206" s="82" t="str">
        <f>VLOOKUP($B$7:$B$5000,SUM!$L$6:$L$500,1,FALSE)</f>
        <v>#N/A</v>
      </c>
      <c r="D1206" s="160" t="s">
        <v>1725</v>
      </c>
      <c r="E1206" s="100" t="s">
        <v>58</v>
      </c>
      <c r="F1206" s="84" t="s">
        <v>105</v>
      </c>
      <c r="G1206" s="161" t="s">
        <v>1362</v>
      </c>
      <c r="H1206" s="164" t="s">
        <v>1864</v>
      </c>
      <c r="I1206" s="163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8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31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1" t="s">
        <v>2205</v>
      </c>
      <c r="C1207" s="82" t="str">
        <f>VLOOKUP($B$7:$B$5000,SUM!$L$6:$L$500,1,FALSE)</f>
        <v>#N/A</v>
      </c>
      <c r="D1207" s="160" t="s">
        <v>1725</v>
      </c>
      <c r="E1207" s="100" t="s">
        <v>58</v>
      </c>
      <c r="F1207" s="84" t="s">
        <v>105</v>
      </c>
      <c r="G1207" s="161" t="s">
        <v>1362</v>
      </c>
      <c r="H1207" s="164" t="s">
        <v>1867</v>
      </c>
      <c r="I1207" s="163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8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31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1" t="s">
        <v>2206</v>
      </c>
      <c r="C1208" s="82" t="str">
        <f>VLOOKUP($B$7:$B$5000,SUM!$L$6:$L$500,1,FALSE)</f>
        <v>#N/A</v>
      </c>
      <c r="D1208" s="160" t="s">
        <v>1725</v>
      </c>
      <c r="E1208" s="100" t="s">
        <v>58</v>
      </c>
      <c r="F1208" s="84" t="s">
        <v>105</v>
      </c>
      <c r="G1208" s="161" t="s">
        <v>1824</v>
      </c>
      <c r="H1208" s="164" t="s">
        <v>1869</v>
      </c>
      <c r="I1208" s="163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8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31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1" t="s">
        <v>2208</v>
      </c>
      <c r="C1209" s="82" t="str">
        <f>VLOOKUP($B$7:$B$5000,SUM!$L$6:$L$500,1,FALSE)</f>
        <v>#N/A</v>
      </c>
      <c r="D1209" s="160" t="s">
        <v>1725</v>
      </c>
      <c r="E1209" s="100" t="s">
        <v>58</v>
      </c>
      <c r="F1209" s="84" t="s">
        <v>105</v>
      </c>
      <c r="G1209" s="161" t="s">
        <v>1871</v>
      </c>
      <c r="H1209" s="164" t="s">
        <v>1872</v>
      </c>
      <c r="I1209" s="163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8" t="s">
        <v>433</v>
      </c>
      <c r="O1209" s="90" t="s">
        <v>67</v>
      </c>
      <c r="P1209" s="90" t="s">
        <v>68</v>
      </c>
      <c r="Q1209" s="154" t="s">
        <v>2132</v>
      </c>
      <c r="R1209" s="154" t="s">
        <v>66</v>
      </c>
      <c r="S1209" s="155">
        <v>46189.0</v>
      </c>
      <c r="T1209" s="156"/>
      <c r="U1209" s="154" t="s">
        <v>31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1" t="s">
        <v>2210</v>
      </c>
      <c r="C1210" s="82" t="str">
        <f>VLOOKUP($B$7:$B$5000,SUM!$L$6:$L$500,1,FALSE)</f>
        <v>#N/A</v>
      </c>
      <c r="D1210" s="160" t="s">
        <v>1725</v>
      </c>
      <c r="E1210" s="100" t="s">
        <v>58</v>
      </c>
      <c r="F1210" s="84" t="s">
        <v>105</v>
      </c>
      <c r="G1210" s="161" t="s">
        <v>1871</v>
      </c>
      <c r="H1210" s="164" t="s">
        <v>1875</v>
      </c>
      <c r="I1210" s="163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8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1" t="s">
        <v>2211</v>
      </c>
      <c r="C1211" s="82" t="str">
        <f>VLOOKUP($B$7:$B$5000,SUM!$L$6:$L$500,1,FALSE)</f>
        <v>#N/A</v>
      </c>
      <c r="D1211" s="160" t="s">
        <v>1725</v>
      </c>
      <c r="E1211" s="100" t="s">
        <v>58</v>
      </c>
      <c r="F1211" s="84" t="s">
        <v>105</v>
      </c>
      <c r="G1211" s="161" t="s">
        <v>1871</v>
      </c>
      <c r="H1211" s="164" t="s">
        <v>1877</v>
      </c>
      <c r="I1211" s="163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8" t="s">
        <v>433</v>
      </c>
      <c r="O1211" s="90" t="s">
        <v>67</v>
      </c>
      <c r="P1211" s="90" t="s">
        <v>68</v>
      </c>
      <c r="Q1211" s="154" t="s">
        <v>2132</v>
      </c>
      <c r="R1211" s="154" t="s">
        <v>66</v>
      </c>
      <c r="S1211" s="155">
        <v>46189.0</v>
      </c>
      <c r="T1211" s="156"/>
      <c r="U1211" s="154" t="s">
        <v>31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1" t="s">
        <v>2212</v>
      </c>
      <c r="C1212" s="82" t="str">
        <f>VLOOKUP($B$7:$B$5000,SUM!$L$6:$L$500,1,FALSE)</f>
        <v>#N/A</v>
      </c>
      <c r="D1212" s="160" t="s">
        <v>1725</v>
      </c>
      <c r="E1212" s="100" t="s">
        <v>58</v>
      </c>
      <c r="F1212" s="84" t="s">
        <v>105</v>
      </c>
      <c r="G1212" s="161" t="s">
        <v>1871</v>
      </c>
      <c r="H1212" s="164" t="s">
        <v>1879</v>
      </c>
      <c r="I1212" s="163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8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1" t="s">
        <v>2214</v>
      </c>
      <c r="C1213" s="82" t="str">
        <f>VLOOKUP($B$7:$B$5000,SUM!$L$6:$L$500,1,FALSE)</f>
        <v>#N/A</v>
      </c>
      <c r="D1213" s="160" t="s">
        <v>1725</v>
      </c>
      <c r="E1213" s="100" t="s">
        <v>58</v>
      </c>
      <c r="F1213" s="84" t="s">
        <v>105</v>
      </c>
      <c r="G1213" s="161" t="s">
        <v>1871</v>
      </c>
      <c r="H1213" s="164" t="s">
        <v>1882</v>
      </c>
      <c r="I1213" s="163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8" t="s">
        <v>433</v>
      </c>
      <c r="O1213" s="90" t="s">
        <v>67</v>
      </c>
      <c r="P1213" s="90" t="s">
        <v>68</v>
      </c>
      <c r="Q1213" s="154" t="s">
        <v>2132</v>
      </c>
      <c r="R1213" s="154" t="s">
        <v>66</v>
      </c>
      <c r="S1213" s="155">
        <v>46189.0</v>
      </c>
      <c r="T1213" s="156"/>
      <c r="U1213" s="154" t="s">
        <v>31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1" t="s">
        <v>2215</v>
      </c>
      <c r="C1214" s="82" t="str">
        <f>VLOOKUP($B$7:$B$5000,SUM!$L$6:$L$500,1,FALSE)</f>
        <v>#N/A</v>
      </c>
      <c r="D1214" s="160" t="s">
        <v>1725</v>
      </c>
      <c r="E1214" s="100" t="s">
        <v>58</v>
      </c>
      <c r="F1214" s="84" t="s">
        <v>105</v>
      </c>
      <c r="G1214" s="161" t="s">
        <v>1871</v>
      </c>
      <c r="H1214" s="164" t="s">
        <v>1884</v>
      </c>
      <c r="I1214" s="163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8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1" t="s">
        <v>2216</v>
      </c>
      <c r="C1215" s="82" t="str">
        <f>VLOOKUP($B$7:$B$5000,SUM!$L$6:$L$500,1,FALSE)</f>
        <v>#N/A</v>
      </c>
      <c r="D1215" s="160" t="s">
        <v>1725</v>
      </c>
      <c r="E1215" s="100" t="s">
        <v>58</v>
      </c>
      <c r="F1215" s="84" t="s">
        <v>105</v>
      </c>
      <c r="G1215" s="161" t="s">
        <v>1329</v>
      </c>
      <c r="H1215" s="164" t="s">
        <v>1886</v>
      </c>
      <c r="I1215" s="163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8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1" t="s">
        <v>2218</v>
      </c>
      <c r="C1216" s="82" t="str">
        <f>VLOOKUP($B$7:$B$5000,SUM!$L$6:$L$500,1,FALSE)</f>
        <v>#N/A</v>
      </c>
      <c r="D1216" s="160" t="s">
        <v>1725</v>
      </c>
      <c r="E1216" s="100" t="s">
        <v>58</v>
      </c>
      <c r="F1216" s="84" t="s">
        <v>105</v>
      </c>
      <c r="G1216" s="161" t="s">
        <v>1765</v>
      </c>
      <c r="H1216" s="164" t="s">
        <v>1889</v>
      </c>
      <c r="I1216" s="163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8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1" t="s">
        <v>2219</v>
      </c>
      <c r="C1217" s="82" t="str">
        <f>VLOOKUP($B$7:$B$5000,SUM!$L$6:$L$500,1,FALSE)</f>
        <v>#N/A</v>
      </c>
      <c r="D1217" s="160" t="s">
        <v>1725</v>
      </c>
      <c r="E1217" s="100" t="s">
        <v>58</v>
      </c>
      <c r="F1217" s="84" t="s">
        <v>105</v>
      </c>
      <c r="G1217" s="161" t="s">
        <v>1765</v>
      </c>
      <c r="H1217" s="164" t="s">
        <v>1891</v>
      </c>
      <c r="I1217" s="163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8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1" t="s">
        <v>2220</v>
      </c>
      <c r="C1218" s="82" t="str">
        <f>VLOOKUP($B$7:$B$5000,SUM!$L$6:$L$500,1,FALSE)</f>
        <v>#N/A</v>
      </c>
      <c r="D1218" s="160" t="s">
        <v>1725</v>
      </c>
      <c r="E1218" s="100" t="s">
        <v>58</v>
      </c>
      <c r="F1218" s="84" t="s">
        <v>105</v>
      </c>
      <c r="G1218" s="161" t="s">
        <v>1734</v>
      </c>
      <c r="H1218" s="164" t="s">
        <v>1893</v>
      </c>
      <c r="I1218" s="163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8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1" t="s">
        <v>2221</v>
      </c>
      <c r="C1219" s="82" t="str">
        <f>VLOOKUP($B$7:$B$5000,SUM!$L$6:$L$500,1,FALSE)</f>
        <v>#N/A</v>
      </c>
      <c r="D1219" s="160" t="s">
        <v>1725</v>
      </c>
      <c r="E1219" s="100" t="s">
        <v>58</v>
      </c>
      <c r="F1219" s="84" t="s">
        <v>105</v>
      </c>
      <c r="G1219" s="161" t="s">
        <v>1734</v>
      </c>
      <c r="H1219" s="164" t="s">
        <v>1895</v>
      </c>
      <c r="I1219" s="163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8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1" t="s">
        <v>2222</v>
      </c>
      <c r="C1220" s="82" t="str">
        <f>VLOOKUP($B$7:$B$5000,SUM!$L$6:$L$500,1,FALSE)</f>
        <v>#N/A</v>
      </c>
      <c r="D1220" s="160" t="s">
        <v>1725</v>
      </c>
      <c r="E1220" s="100" t="s">
        <v>58</v>
      </c>
      <c r="F1220" s="84" t="s">
        <v>105</v>
      </c>
      <c r="G1220" s="161" t="s">
        <v>1419</v>
      </c>
      <c r="H1220" s="164" t="s">
        <v>1897</v>
      </c>
      <c r="I1220" s="163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8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1" t="s">
        <v>2223</v>
      </c>
      <c r="C1221" s="82" t="str">
        <f>VLOOKUP($B$7:$B$5000,SUM!$L$6:$L$500,1,FALSE)</f>
        <v>#N/A</v>
      </c>
      <c r="D1221" s="160" t="s">
        <v>1725</v>
      </c>
      <c r="E1221" s="100" t="s">
        <v>58</v>
      </c>
      <c r="F1221" s="84" t="s">
        <v>105</v>
      </c>
      <c r="G1221" s="161" t="s">
        <v>1419</v>
      </c>
      <c r="H1221" s="164" t="s">
        <v>1899</v>
      </c>
      <c r="I1221" s="163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8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1" t="s">
        <v>2224</v>
      </c>
      <c r="C1222" s="82" t="str">
        <f>VLOOKUP($B$7:$B$5000,SUM!$L$6:$L$500,1,FALSE)</f>
        <v>#N/A</v>
      </c>
      <c r="D1222" s="160" t="s">
        <v>1725</v>
      </c>
      <c r="E1222" s="100" t="s">
        <v>58</v>
      </c>
      <c r="F1222" s="84" t="s">
        <v>105</v>
      </c>
      <c r="G1222" s="161" t="s">
        <v>1871</v>
      </c>
      <c r="H1222" s="164" t="s">
        <v>1901</v>
      </c>
      <c r="I1222" s="163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8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1" t="s">
        <v>2225</v>
      </c>
      <c r="C1223" s="82" t="str">
        <f>VLOOKUP($B$7:$B$5000,SUM!$L$6:$L$500,1,FALSE)</f>
        <v>#N/A</v>
      </c>
      <c r="D1223" s="160" t="s">
        <v>1725</v>
      </c>
      <c r="E1223" s="100" t="s">
        <v>58</v>
      </c>
      <c r="F1223" s="84" t="s">
        <v>105</v>
      </c>
      <c r="G1223" s="161" t="s">
        <v>1319</v>
      </c>
      <c r="H1223" s="164" t="s">
        <v>1903</v>
      </c>
      <c r="I1223" s="163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8" t="s">
        <v>433</v>
      </c>
      <c r="O1223" s="90" t="s">
        <v>67</v>
      </c>
      <c r="P1223" s="90" t="s">
        <v>68</v>
      </c>
      <c r="Q1223" s="154" t="s">
        <v>2132</v>
      </c>
      <c r="R1223" s="154" t="s">
        <v>66</v>
      </c>
      <c r="S1223" s="155">
        <v>46189.0</v>
      </c>
      <c r="T1223" s="156"/>
      <c r="U1223" s="154" t="s">
        <v>31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1" t="s">
        <v>2226</v>
      </c>
      <c r="C1224" s="82" t="str">
        <f>VLOOKUP($B$7:$B$5000,SUM!$L$6:$L$500,1,FALSE)</f>
        <v>#N/A</v>
      </c>
      <c r="D1224" s="160" t="s">
        <v>1725</v>
      </c>
      <c r="E1224" s="100" t="s">
        <v>58</v>
      </c>
      <c r="F1224" s="84" t="s">
        <v>105</v>
      </c>
      <c r="G1224" s="161" t="s">
        <v>1319</v>
      </c>
      <c r="H1224" s="164" t="s">
        <v>1905</v>
      </c>
      <c r="I1224" s="163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8" t="s">
        <v>433</v>
      </c>
      <c r="O1224" s="90" t="s">
        <v>67</v>
      </c>
      <c r="P1224" s="90" t="s">
        <v>68</v>
      </c>
      <c r="Q1224" s="154" t="s">
        <v>2132</v>
      </c>
      <c r="R1224" s="154" t="s">
        <v>66</v>
      </c>
      <c r="S1224" s="155">
        <v>46189.0</v>
      </c>
      <c r="T1224" s="156"/>
      <c r="U1224" s="154" t="s">
        <v>31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1" t="s">
        <v>2227</v>
      </c>
      <c r="C1225" s="82" t="str">
        <f>VLOOKUP($B$7:$B$5000,SUM!$L$6:$L$500,1,FALSE)</f>
        <v>#N/A</v>
      </c>
      <c r="D1225" s="160" t="s">
        <v>1725</v>
      </c>
      <c r="E1225" s="100" t="s">
        <v>58</v>
      </c>
      <c r="F1225" s="84" t="s">
        <v>105</v>
      </c>
      <c r="G1225" s="161" t="s">
        <v>1319</v>
      </c>
      <c r="H1225" s="164" t="s">
        <v>1907</v>
      </c>
      <c r="I1225" s="163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8" t="s">
        <v>433</v>
      </c>
      <c r="O1225" s="90" t="s">
        <v>67</v>
      </c>
      <c r="P1225" s="90" t="s">
        <v>68</v>
      </c>
      <c r="Q1225" s="154" t="s">
        <v>2132</v>
      </c>
      <c r="R1225" s="154" t="s">
        <v>66</v>
      </c>
      <c r="S1225" s="155">
        <v>46189.0</v>
      </c>
      <c r="T1225" s="156"/>
      <c r="U1225" s="154" t="s">
        <v>31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1" t="s">
        <v>2228</v>
      </c>
      <c r="C1226" s="82" t="str">
        <f>VLOOKUP($B$7:$B$5000,SUM!$L$6:$L$500,1,FALSE)</f>
        <v>#N/A</v>
      </c>
      <c r="D1226" s="160" t="s">
        <v>1725</v>
      </c>
      <c r="E1226" s="100" t="s">
        <v>58</v>
      </c>
      <c r="F1226" s="84" t="s">
        <v>105</v>
      </c>
      <c r="G1226" s="161" t="s">
        <v>1329</v>
      </c>
      <c r="H1226" s="164" t="s">
        <v>1909</v>
      </c>
      <c r="I1226" s="163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8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31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1" t="s">
        <v>2230</v>
      </c>
      <c r="C1227" s="82" t="str">
        <f>VLOOKUP($B$7:$B$5000,SUM!$L$6:$L$500,1,FALSE)</f>
        <v>#N/A</v>
      </c>
      <c r="D1227" s="160" t="s">
        <v>1725</v>
      </c>
      <c r="E1227" s="100" t="s">
        <v>58</v>
      </c>
      <c r="F1227" s="84" t="s">
        <v>105</v>
      </c>
      <c r="G1227" s="161" t="s">
        <v>1329</v>
      </c>
      <c r="H1227" s="164" t="s">
        <v>1911</v>
      </c>
      <c r="I1227" s="163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8" t="s">
        <v>433</v>
      </c>
      <c r="O1227" s="90" t="s">
        <v>67</v>
      </c>
      <c r="P1227" s="90" t="s">
        <v>68</v>
      </c>
      <c r="Q1227" s="150">
        <v>46161.0</v>
      </c>
      <c r="R1227" s="103" t="s">
        <v>597</v>
      </c>
      <c r="S1227" s="104">
        <v>46166.0</v>
      </c>
      <c r="T1227" s="103"/>
      <c r="U1227" s="90" t="s">
        <v>31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1" t="s">
        <v>2232</v>
      </c>
      <c r="C1228" s="82" t="str">
        <f>VLOOKUP($B$7:$B$5000,SUM!$L$6:$L$500,1,FALSE)</f>
        <v>#N/A</v>
      </c>
      <c r="D1228" s="160" t="s">
        <v>1725</v>
      </c>
      <c r="E1228" s="100" t="s">
        <v>58</v>
      </c>
      <c r="F1228" s="84" t="s">
        <v>105</v>
      </c>
      <c r="G1228" s="161" t="s">
        <v>1329</v>
      </c>
      <c r="H1228" s="164" t="s">
        <v>1914</v>
      </c>
      <c r="I1228" s="163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8" t="s">
        <v>433</v>
      </c>
      <c r="O1228" s="90" t="s">
        <v>67</v>
      </c>
      <c r="P1228" s="90" t="s">
        <v>68</v>
      </c>
      <c r="Q1228" s="150">
        <v>46161.0</v>
      </c>
      <c r="R1228" s="103" t="s">
        <v>597</v>
      </c>
      <c r="S1228" s="104">
        <v>46166.0</v>
      </c>
      <c r="T1228" s="103"/>
      <c r="U1228" s="90" t="s">
        <v>31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1" t="s">
        <v>2233</v>
      </c>
      <c r="C1229" s="82" t="str">
        <f>VLOOKUP($B$7:$B$5000,SUM!$L$6:$L$500,1,FALSE)</f>
        <v>#N/A</v>
      </c>
      <c r="D1229" s="160" t="s">
        <v>1725</v>
      </c>
      <c r="E1229" s="100" t="s">
        <v>58</v>
      </c>
      <c r="F1229" s="84" t="s">
        <v>105</v>
      </c>
      <c r="G1229" s="161" t="s">
        <v>1329</v>
      </c>
      <c r="H1229" s="164" t="s">
        <v>1916</v>
      </c>
      <c r="I1229" s="163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8" t="s">
        <v>433</v>
      </c>
      <c r="O1229" s="90" t="s">
        <v>67</v>
      </c>
      <c r="P1229" s="90" t="s">
        <v>68</v>
      </c>
      <c r="Q1229" s="150">
        <v>46161.0</v>
      </c>
      <c r="R1229" s="103" t="s">
        <v>597</v>
      </c>
      <c r="S1229" s="104">
        <v>46166.0</v>
      </c>
      <c r="T1229" s="103"/>
      <c r="U1229" s="90" t="s">
        <v>31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1" t="s">
        <v>2234</v>
      </c>
      <c r="C1230" s="82" t="str">
        <f>VLOOKUP($B$7:$B$5000,SUM!$L$6:$L$500,1,FALSE)</f>
        <v>#N/A</v>
      </c>
      <c r="D1230" s="160" t="s">
        <v>1725</v>
      </c>
      <c r="E1230" s="100" t="s">
        <v>58</v>
      </c>
      <c r="F1230" s="84" t="s">
        <v>105</v>
      </c>
      <c r="G1230" s="161" t="s">
        <v>1329</v>
      </c>
      <c r="H1230" s="164" t="s">
        <v>1918</v>
      </c>
      <c r="I1230" s="163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8" t="s">
        <v>433</v>
      </c>
      <c r="O1230" s="90" t="s">
        <v>67</v>
      </c>
      <c r="P1230" s="90" t="s">
        <v>68</v>
      </c>
      <c r="Q1230" s="150">
        <v>46161.0</v>
      </c>
      <c r="R1230" s="103" t="s">
        <v>597</v>
      </c>
      <c r="S1230" s="104">
        <v>46166.0</v>
      </c>
      <c r="T1230" s="103"/>
      <c r="U1230" s="90" t="s">
        <v>31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1" t="s">
        <v>2235</v>
      </c>
      <c r="C1231" s="82" t="str">
        <f>VLOOKUP($B$7:$B$5000,SUM!$L$6:$L$500,1,FALSE)</f>
        <v>#N/A</v>
      </c>
      <c r="D1231" s="160" t="s">
        <v>1725</v>
      </c>
      <c r="E1231" s="100" t="s">
        <v>58</v>
      </c>
      <c r="F1231" s="84" t="s">
        <v>105</v>
      </c>
      <c r="G1231" s="161" t="s">
        <v>1329</v>
      </c>
      <c r="H1231" s="164" t="s">
        <v>1920</v>
      </c>
      <c r="I1231" s="163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8" t="s">
        <v>433</v>
      </c>
      <c r="O1231" s="90" t="s">
        <v>67</v>
      </c>
      <c r="P1231" s="90" t="s">
        <v>68</v>
      </c>
      <c r="Q1231" s="150">
        <v>46165.0</v>
      </c>
      <c r="R1231" s="103" t="s">
        <v>597</v>
      </c>
      <c r="S1231" s="150">
        <v>46166.0</v>
      </c>
      <c r="T1231" s="103"/>
      <c r="U1231" s="90" t="s">
        <v>31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1" t="s">
        <v>2236</v>
      </c>
      <c r="C1232" s="82" t="str">
        <f>VLOOKUP($B$7:$B$5000,SUM!$L$6:$L$500,1,FALSE)</f>
        <v>#N/A</v>
      </c>
      <c r="D1232" s="160" t="s">
        <v>1725</v>
      </c>
      <c r="E1232" s="100" t="s">
        <v>58</v>
      </c>
      <c r="F1232" s="84" t="s">
        <v>105</v>
      </c>
      <c r="G1232" s="161" t="s">
        <v>1329</v>
      </c>
      <c r="H1232" s="164" t="s">
        <v>1922</v>
      </c>
      <c r="I1232" s="163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8" t="s">
        <v>433</v>
      </c>
      <c r="O1232" s="90" t="s">
        <v>67</v>
      </c>
      <c r="P1232" s="90" t="s">
        <v>68</v>
      </c>
      <c r="Q1232" s="150">
        <v>46162.0</v>
      </c>
      <c r="R1232" s="103" t="s">
        <v>597</v>
      </c>
      <c r="S1232" s="150">
        <v>46166.0</v>
      </c>
      <c r="T1232" s="103"/>
      <c r="U1232" s="90" t="s">
        <v>31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1" t="s">
        <v>2237</v>
      </c>
      <c r="C1233" s="82" t="str">
        <f>VLOOKUP($B$7:$B$5000,SUM!$L$6:$L$500,1,FALSE)</f>
        <v>#N/A</v>
      </c>
      <c r="D1233" s="160" t="s">
        <v>1725</v>
      </c>
      <c r="E1233" s="100" t="s">
        <v>58</v>
      </c>
      <c r="F1233" s="84" t="s">
        <v>105</v>
      </c>
      <c r="G1233" s="161" t="s">
        <v>1329</v>
      </c>
      <c r="H1233" s="164" t="s">
        <v>1924</v>
      </c>
      <c r="I1233" s="163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8" t="s">
        <v>433</v>
      </c>
      <c r="O1233" s="90" t="s">
        <v>67</v>
      </c>
      <c r="P1233" s="90" t="s">
        <v>68</v>
      </c>
      <c r="Q1233" s="150">
        <v>46162.0</v>
      </c>
      <c r="R1233" s="103" t="s">
        <v>597</v>
      </c>
      <c r="S1233" s="150">
        <v>46166.0</v>
      </c>
      <c r="T1233" s="103"/>
      <c r="U1233" s="90" t="s">
        <v>31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1" t="s">
        <v>2238</v>
      </c>
      <c r="C1234" s="82" t="str">
        <f>VLOOKUP($B$7:$B$5000,SUM!$L$6:$L$500,1,FALSE)</f>
        <v>#N/A</v>
      </c>
      <c r="D1234" s="160" t="s">
        <v>1725</v>
      </c>
      <c r="E1234" s="100" t="s">
        <v>58</v>
      </c>
      <c r="F1234" s="84" t="s">
        <v>105</v>
      </c>
      <c r="G1234" s="161" t="s">
        <v>1329</v>
      </c>
      <c r="H1234" s="164" t="s">
        <v>1926</v>
      </c>
      <c r="I1234" s="163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8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31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1" t="s">
        <v>2239</v>
      </c>
      <c r="C1235" s="82" t="str">
        <f>VLOOKUP($B$7:$B$5000,SUM!$L$6:$L$500,1,FALSE)</f>
        <v>#N/A</v>
      </c>
      <c r="D1235" s="160" t="s">
        <v>1725</v>
      </c>
      <c r="E1235" s="100" t="s">
        <v>58</v>
      </c>
      <c r="F1235" s="84" t="s">
        <v>105</v>
      </c>
      <c r="G1235" s="161" t="s">
        <v>1329</v>
      </c>
      <c r="H1235" s="164" t="s">
        <v>1928</v>
      </c>
      <c r="I1235" s="163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8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31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1" t="s">
        <v>2240</v>
      </c>
      <c r="C1236" s="82" t="str">
        <f>VLOOKUP($B$7:$B$5000,SUM!$L$6:$L$500,1,FALSE)</f>
        <v>#N/A</v>
      </c>
      <c r="D1236" s="160" t="s">
        <v>1725</v>
      </c>
      <c r="E1236" s="100" t="s">
        <v>58</v>
      </c>
      <c r="F1236" s="84" t="s">
        <v>105</v>
      </c>
      <c r="G1236" s="161" t="s">
        <v>1329</v>
      </c>
      <c r="H1236" s="164" t="s">
        <v>1930</v>
      </c>
      <c r="I1236" s="163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8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31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1" t="s">
        <v>2241</v>
      </c>
      <c r="C1237" s="82" t="str">
        <f>VLOOKUP($B$7:$B$5000,SUM!$L$6:$L$500,1,FALSE)</f>
        <v>#N/A</v>
      </c>
      <c r="D1237" s="160" t="s">
        <v>1725</v>
      </c>
      <c r="E1237" s="100" t="s">
        <v>58</v>
      </c>
      <c r="F1237" s="84" t="s">
        <v>105</v>
      </c>
      <c r="G1237" s="161" t="s">
        <v>1329</v>
      </c>
      <c r="H1237" s="164" t="s">
        <v>1932</v>
      </c>
      <c r="I1237" s="163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8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31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1" t="s">
        <v>2242</v>
      </c>
      <c r="C1238" s="82" t="str">
        <f>VLOOKUP($B$7:$B$5000,SUM!$L$6:$L$500,1,FALSE)</f>
        <v>#N/A</v>
      </c>
      <c r="D1238" s="160" t="s">
        <v>1725</v>
      </c>
      <c r="E1238" s="100" t="s">
        <v>58</v>
      </c>
      <c r="F1238" s="84" t="s">
        <v>105</v>
      </c>
      <c r="G1238" s="161" t="s">
        <v>1329</v>
      </c>
      <c r="H1238" s="164" t="s">
        <v>1934</v>
      </c>
      <c r="I1238" s="163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8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31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1" t="s">
        <v>2243</v>
      </c>
      <c r="C1239" s="82" t="str">
        <f>VLOOKUP($B$7:$B$5000,SUM!$L$6:$L$500,1,FALSE)</f>
        <v>#N/A</v>
      </c>
      <c r="D1239" s="160" t="s">
        <v>1725</v>
      </c>
      <c r="E1239" s="100" t="s">
        <v>58</v>
      </c>
      <c r="F1239" s="84" t="s">
        <v>105</v>
      </c>
      <c r="G1239" s="161" t="s">
        <v>1329</v>
      </c>
      <c r="H1239" s="164" t="s">
        <v>1936</v>
      </c>
      <c r="I1239" s="163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8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31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1" t="s">
        <v>2244</v>
      </c>
      <c r="C1240" s="82" t="str">
        <f>VLOOKUP($B$7:$B$5000,SUM!$L$6:$L$500,1,FALSE)</f>
        <v>#N/A</v>
      </c>
      <c r="D1240" s="160" t="s">
        <v>1725</v>
      </c>
      <c r="E1240" s="100" t="s">
        <v>58</v>
      </c>
      <c r="F1240" s="84" t="s">
        <v>105</v>
      </c>
      <c r="G1240" s="161" t="s">
        <v>1329</v>
      </c>
      <c r="H1240" s="164" t="s">
        <v>1938</v>
      </c>
      <c r="I1240" s="163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8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31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1" t="s">
        <v>2245</v>
      </c>
      <c r="C1241" s="82" t="str">
        <f>VLOOKUP($B$7:$B$5000,SUM!$L$6:$L$500,1,FALSE)</f>
        <v>#N/A</v>
      </c>
      <c r="D1241" s="160" t="s">
        <v>1725</v>
      </c>
      <c r="E1241" s="100" t="s">
        <v>58</v>
      </c>
      <c r="F1241" s="84" t="s">
        <v>105</v>
      </c>
      <c r="G1241" s="161" t="s">
        <v>1329</v>
      </c>
      <c r="H1241" s="164" t="s">
        <v>1940</v>
      </c>
      <c r="I1241" s="163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8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31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1" t="s">
        <v>2246</v>
      </c>
      <c r="C1242" s="82" t="str">
        <f>VLOOKUP($B$7:$B$5000,SUM!$L$6:$L$500,1,FALSE)</f>
        <v>#N/A</v>
      </c>
      <c r="D1242" s="160" t="s">
        <v>1725</v>
      </c>
      <c r="E1242" s="100" t="s">
        <v>58</v>
      </c>
      <c r="F1242" s="84" t="s">
        <v>105</v>
      </c>
      <c r="G1242" s="161" t="s">
        <v>1362</v>
      </c>
      <c r="H1242" s="164" t="s">
        <v>1942</v>
      </c>
      <c r="I1242" s="163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8" t="s">
        <v>433</v>
      </c>
      <c r="O1242" s="90" t="s">
        <v>67</v>
      </c>
      <c r="P1242" s="90" t="s">
        <v>68</v>
      </c>
      <c r="Q1242" s="150">
        <v>46161.0</v>
      </c>
      <c r="R1242" s="103" t="s">
        <v>597</v>
      </c>
      <c r="S1242" s="104">
        <v>46166.0</v>
      </c>
      <c r="T1242" s="103"/>
      <c r="U1242" s="90" t="s">
        <v>31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1" t="s">
        <v>2248</v>
      </c>
      <c r="C1243" s="82" t="str">
        <f>VLOOKUP($B$7:$B$5000,SUM!$L$6:$L$500,1,FALSE)</f>
        <v>#N/A</v>
      </c>
      <c r="D1243" s="160" t="s">
        <v>1725</v>
      </c>
      <c r="E1243" s="100" t="s">
        <v>58</v>
      </c>
      <c r="F1243" s="84" t="s">
        <v>105</v>
      </c>
      <c r="G1243" s="161" t="s">
        <v>1362</v>
      </c>
      <c r="H1243" s="164" t="s">
        <v>1945</v>
      </c>
      <c r="I1243" s="163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8" t="s">
        <v>433</v>
      </c>
      <c r="O1243" s="90" t="s">
        <v>67</v>
      </c>
      <c r="P1243" s="90" t="s">
        <v>68</v>
      </c>
      <c r="Q1243" s="150">
        <v>46161.0</v>
      </c>
      <c r="R1243" s="103" t="s">
        <v>597</v>
      </c>
      <c r="S1243" s="104">
        <v>46166.0</v>
      </c>
      <c r="T1243" s="103"/>
      <c r="U1243" s="90" t="s">
        <v>31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1" t="s">
        <v>2249</v>
      </c>
      <c r="C1244" s="82" t="str">
        <f>VLOOKUP($B$7:$B$5000,SUM!$L$6:$L$500,1,FALSE)</f>
        <v>#N/A</v>
      </c>
      <c r="D1244" s="160" t="s">
        <v>1725</v>
      </c>
      <c r="E1244" s="100" t="s">
        <v>58</v>
      </c>
      <c r="F1244" s="84" t="s">
        <v>105</v>
      </c>
      <c r="G1244" s="161" t="s">
        <v>1362</v>
      </c>
      <c r="H1244" s="164" t="s">
        <v>1947</v>
      </c>
      <c r="I1244" s="163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8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1" t="s">
        <v>2250</v>
      </c>
      <c r="C1245" s="82" t="str">
        <f>VLOOKUP($B$7:$B$5000,SUM!$L$6:$L$500,1,FALSE)</f>
        <v>#N/A</v>
      </c>
      <c r="D1245" s="160" t="s">
        <v>1725</v>
      </c>
      <c r="E1245" s="100" t="s">
        <v>58</v>
      </c>
      <c r="F1245" s="84" t="s">
        <v>105</v>
      </c>
      <c r="G1245" s="161" t="s">
        <v>1362</v>
      </c>
      <c r="H1245" s="164" t="s">
        <v>1949</v>
      </c>
      <c r="I1245" s="163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8" t="s">
        <v>433</v>
      </c>
      <c r="O1245" s="90" t="s">
        <v>67</v>
      </c>
      <c r="P1245" s="90" t="s">
        <v>68</v>
      </c>
      <c r="Q1245" s="150">
        <v>46161.0</v>
      </c>
      <c r="R1245" s="103" t="s">
        <v>597</v>
      </c>
      <c r="S1245" s="104">
        <v>46166.0</v>
      </c>
      <c r="T1245" s="103"/>
      <c r="U1245" s="90" t="s">
        <v>31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1" t="s">
        <v>2251</v>
      </c>
      <c r="C1246" s="82" t="str">
        <f>VLOOKUP($B$7:$B$5000,SUM!$L$6:$L$500,1,FALSE)</f>
        <v>#N/A</v>
      </c>
      <c r="D1246" s="160" t="s">
        <v>1725</v>
      </c>
      <c r="E1246" s="100" t="s">
        <v>58</v>
      </c>
      <c r="F1246" s="84" t="s">
        <v>105</v>
      </c>
      <c r="G1246" s="161" t="s">
        <v>1362</v>
      </c>
      <c r="H1246" s="164" t="s">
        <v>1951</v>
      </c>
      <c r="I1246" s="163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8" t="s">
        <v>433</v>
      </c>
      <c r="O1246" s="90" t="s">
        <v>67</v>
      </c>
      <c r="P1246" s="90" t="s">
        <v>68</v>
      </c>
      <c r="Q1246" s="150">
        <v>46161.0</v>
      </c>
      <c r="R1246" s="103" t="s">
        <v>597</v>
      </c>
      <c r="S1246" s="104">
        <v>46166.0</v>
      </c>
      <c r="T1246" s="103"/>
      <c r="U1246" s="90" t="s">
        <v>31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1" t="s">
        <v>2252</v>
      </c>
      <c r="C1247" s="82" t="str">
        <f>VLOOKUP($B$7:$B$5000,SUM!$L$6:$L$500,1,FALSE)</f>
        <v>#N/A</v>
      </c>
      <c r="D1247" s="160" t="s">
        <v>1725</v>
      </c>
      <c r="E1247" s="100" t="s">
        <v>58</v>
      </c>
      <c r="F1247" s="84" t="s">
        <v>105</v>
      </c>
      <c r="G1247" s="161" t="s">
        <v>1362</v>
      </c>
      <c r="H1247" s="164" t="s">
        <v>1953</v>
      </c>
      <c r="I1247" s="163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8" t="s">
        <v>433</v>
      </c>
      <c r="O1247" s="90" t="s">
        <v>67</v>
      </c>
      <c r="P1247" s="90" t="s">
        <v>68</v>
      </c>
      <c r="Q1247" s="150">
        <v>46161.0</v>
      </c>
      <c r="R1247" s="103" t="s">
        <v>597</v>
      </c>
      <c r="S1247" s="104">
        <v>46166.0</v>
      </c>
      <c r="T1247" s="103"/>
      <c r="U1247" s="90" t="s">
        <v>31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1" t="s">
        <v>2253</v>
      </c>
      <c r="C1248" s="82" t="str">
        <f>VLOOKUP($B$7:$B$5000,SUM!$L$6:$L$500,1,FALSE)</f>
        <v>#N/A</v>
      </c>
      <c r="D1248" s="160" t="s">
        <v>1725</v>
      </c>
      <c r="E1248" s="100" t="s">
        <v>58</v>
      </c>
      <c r="F1248" s="84" t="s">
        <v>105</v>
      </c>
      <c r="G1248" s="161" t="s">
        <v>1955</v>
      </c>
      <c r="H1248" s="164" t="s">
        <v>1956</v>
      </c>
      <c r="I1248" s="163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8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1" t="s">
        <v>2254</v>
      </c>
      <c r="C1249" s="82" t="str">
        <f>VLOOKUP($B$7:$B$5000,SUM!$L$6:$L$500,1,FALSE)</f>
        <v>#N/A</v>
      </c>
      <c r="D1249" s="160" t="s">
        <v>1725</v>
      </c>
      <c r="E1249" s="100" t="s">
        <v>58</v>
      </c>
      <c r="F1249" s="84" t="s">
        <v>105</v>
      </c>
      <c r="G1249" s="161" t="s">
        <v>1955</v>
      </c>
      <c r="H1249" s="164" t="s">
        <v>1958</v>
      </c>
      <c r="I1249" s="163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8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1" t="s">
        <v>2255</v>
      </c>
      <c r="C1250" s="82" t="str">
        <f>VLOOKUP($B$7:$B$5000,SUM!$L$6:$L$500,1,FALSE)</f>
        <v>#N/A</v>
      </c>
      <c r="D1250" s="160" t="s">
        <v>1725</v>
      </c>
      <c r="E1250" s="100" t="s">
        <v>58</v>
      </c>
      <c r="F1250" s="84" t="s">
        <v>105</v>
      </c>
      <c r="G1250" s="161" t="s">
        <v>1955</v>
      </c>
      <c r="H1250" s="164" t="s">
        <v>1960</v>
      </c>
      <c r="I1250" s="163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8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1" t="s">
        <v>2256</v>
      </c>
      <c r="C1251" s="82" t="str">
        <f>VLOOKUP($B$7:$B$5000,SUM!$L$6:$L$500,1,FALSE)</f>
        <v>#N/A</v>
      </c>
      <c r="D1251" s="160" t="s">
        <v>1725</v>
      </c>
      <c r="E1251" s="100" t="s">
        <v>58</v>
      </c>
      <c r="F1251" s="84" t="s">
        <v>105</v>
      </c>
      <c r="G1251" s="161" t="s">
        <v>1734</v>
      </c>
      <c r="H1251" s="164" t="s">
        <v>1962</v>
      </c>
      <c r="I1251" s="163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8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1" t="s">
        <v>2257</v>
      </c>
      <c r="C1252" s="82" t="str">
        <f>VLOOKUP($B$7:$B$5000,SUM!$L$6:$L$500,1,FALSE)</f>
        <v>#N/A</v>
      </c>
      <c r="D1252" s="160" t="s">
        <v>1725</v>
      </c>
      <c r="E1252" s="100" t="s">
        <v>58</v>
      </c>
      <c r="F1252" s="84" t="s">
        <v>105</v>
      </c>
      <c r="G1252" s="161" t="s">
        <v>1964</v>
      </c>
      <c r="H1252" s="164" t="s">
        <v>1965</v>
      </c>
      <c r="I1252" s="163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8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31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1" t="s">
        <v>2260</v>
      </c>
      <c r="C1253" s="82" t="str">
        <f>VLOOKUP($B$7:$B$5000,SUM!$L$6:$L$500,1,FALSE)</f>
        <v>#N/A</v>
      </c>
      <c r="D1253" s="160" t="s">
        <v>1725</v>
      </c>
      <c r="E1253" s="100" t="s">
        <v>58</v>
      </c>
      <c r="F1253" s="84" t="s">
        <v>105</v>
      </c>
      <c r="G1253" s="161" t="s">
        <v>1964</v>
      </c>
      <c r="H1253" s="164" t="s">
        <v>1968</v>
      </c>
      <c r="I1253" s="163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8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31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1" t="s">
        <v>2262</v>
      </c>
      <c r="C1254" s="82" t="str">
        <f>VLOOKUP($B$7:$B$5000,SUM!$L$6:$L$500,1,FALSE)</f>
        <v>#N/A</v>
      </c>
      <c r="D1254" s="160" t="s">
        <v>1725</v>
      </c>
      <c r="E1254" s="100" t="s">
        <v>58</v>
      </c>
      <c r="F1254" s="84" t="s">
        <v>105</v>
      </c>
      <c r="G1254" s="161" t="s">
        <v>1964</v>
      </c>
      <c r="H1254" s="164" t="s">
        <v>1970</v>
      </c>
      <c r="I1254" s="163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8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31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1" t="s">
        <v>2264</v>
      </c>
      <c r="C1255" s="82" t="str">
        <f>VLOOKUP($B$7:$B$5000,SUM!$L$6:$L$500,1,FALSE)</f>
        <v>#N/A</v>
      </c>
      <c r="D1255" s="160" t="s">
        <v>1725</v>
      </c>
      <c r="E1255" s="100" t="s">
        <v>58</v>
      </c>
      <c r="F1255" s="84" t="s">
        <v>105</v>
      </c>
      <c r="G1255" s="161" t="s">
        <v>1972</v>
      </c>
      <c r="H1255" s="164" t="s">
        <v>1973</v>
      </c>
      <c r="I1255" s="163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8" t="s">
        <v>433</v>
      </c>
      <c r="O1255" s="90" t="s">
        <v>67</v>
      </c>
      <c r="P1255" s="90" t="s">
        <v>68</v>
      </c>
      <c r="Q1255" s="150">
        <v>46165.0</v>
      </c>
      <c r="R1255" s="103" t="s">
        <v>597</v>
      </c>
      <c r="S1255" s="150">
        <v>46166.0</v>
      </c>
      <c r="T1255" s="103"/>
      <c r="U1255" s="90" t="s">
        <v>31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1" t="s">
        <v>2266</v>
      </c>
      <c r="C1256" s="82" t="str">
        <f>VLOOKUP($B$7:$B$5000,SUM!$L$6:$L$500,1,FALSE)</f>
        <v>#N/A</v>
      </c>
      <c r="D1256" s="160" t="s">
        <v>1725</v>
      </c>
      <c r="E1256" s="100" t="s">
        <v>58</v>
      </c>
      <c r="F1256" s="84" t="s">
        <v>105</v>
      </c>
      <c r="G1256" s="161" t="s">
        <v>1972</v>
      </c>
      <c r="H1256" s="164" t="s">
        <v>1976</v>
      </c>
      <c r="I1256" s="163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8" t="s">
        <v>433</v>
      </c>
      <c r="O1256" s="90" t="s">
        <v>67</v>
      </c>
      <c r="P1256" s="90" t="s">
        <v>68</v>
      </c>
      <c r="Q1256" s="150">
        <v>46165.0</v>
      </c>
      <c r="R1256" s="103" t="s">
        <v>597</v>
      </c>
      <c r="S1256" s="150">
        <v>46166.0</v>
      </c>
      <c r="T1256" s="103"/>
      <c r="U1256" s="90" t="s">
        <v>31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1" t="s">
        <v>2267</v>
      </c>
      <c r="C1257" s="82" t="str">
        <f>VLOOKUP($B$7:$B$5000,SUM!$L$6:$L$500,1,FALSE)</f>
        <v>#N/A</v>
      </c>
      <c r="D1257" s="160" t="s">
        <v>1725</v>
      </c>
      <c r="E1257" s="100" t="s">
        <v>58</v>
      </c>
      <c r="F1257" s="84" t="s">
        <v>105</v>
      </c>
      <c r="G1257" s="161" t="s">
        <v>1972</v>
      </c>
      <c r="H1257" s="164" t="s">
        <v>1978</v>
      </c>
      <c r="I1257" s="163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8" t="s">
        <v>433</v>
      </c>
      <c r="O1257" s="90" t="s">
        <v>67</v>
      </c>
      <c r="P1257" s="90" t="s">
        <v>68</v>
      </c>
      <c r="Q1257" s="150">
        <v>46162.0</v>
      </c>
      <c r="R1257" s="103" t="s">
        <v>597</v>
      </c>
      <c r="S1257" s="150">
        <v>46166.0</v>
      </c>
      <c r="T1257" s="103"/>
      <c r="U1257" s="90" t="s">
        <v>31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1" t="s">
        <v>2268</v>
      </c>
      <c r="C1258" s="82" t="str">
        <f>VLOOKUP($B$7:$B$5000,SUM!$L$6:$L$500,1,FALSE)</f>
        <v>#N/A</v>
      </c>
      <c r="D1258" s="160" t="s">
        <v>1725</v>
      </c>
      <c r="E1258" s="100" t="s">
        <v>58</v>
      </c>
      <c r="F1258" s="84" t="s">
        <v>105</v>
      </c>
      <c r="G1258" s="161" t="s">
        <v>1972</v>
      </c>
      <c r="H1258" s="164" t="s">
        <v>1980</v>
      </c>
      <c r="I1258" s="163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8" t="s">
        <v>433</v>
      </c>
      <c r="O1258" s="90" t="s">
        <v>67</v>
      </c>
      <c r="P1258" s="90" t="s">
        <v>68</v>
      </c>
      <c r="Q1258" s="150">
        <v>46162.0</v>
      </c>
      <c r="R1258" s="103" t="s">
        <v>597</v>
      </c>
      <c r="S1258" s="150">
        <v>46166.0</v>
      </c>
      <c r="T1258" s="103"/>
      <c r="U1258" s="90" t="s">
        <v>31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1" t="s">
        <v>2269</v>
      </c>
      <c r="C1259" s="82" t="str">
        <f>VLOOKUP($B$7:$B$5000,SUM!$L$6:$L$500,1,FALSE)</f>
        <v>#N/A</v>
      </c>
      <c r="D1259" s="160" t="s">
        <v>1725</v>
      </c>
      <c r="E1259" s="100" t="s">
        <v>58</v>
      </c>
      <c r="F1259" s="84" t="s">
        <v>105</v>
      </c>
      <c r="G1259" s="161" t="s">
        <v>1982</v>
      </c>
      <c r="H1259" s="164" t="s">
        <v>1983</v>
      </c>
      <c r="I1259" s="163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8" t="s">
        <v>433</v>
      </c>
      <c r="O1259" s="90" t="s">
        <v>67</v>
      </c>
      <c r="P1259" s="90" t="s">
        <v>68</v>
      </c>
      <c r="Q1259" s="150">
        <v>46162.0</v>
      </c>
      <c r="R1259" s="103" t="s">
        <v>597</v>
      </c>
      <c r="S1259" s="150">
        <v>46166.0</v>
      </c>
      <c r="T1259" s="103"/>
      <c r="U1259" s="90" t="s">
        <v>31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1" t="s">
        <v>2270</v>
      </c>
      <c r="C1260" s="82" t="str">
        <f>VLOOKUP($B$7:$B$5000,SUM!$L$6:$L$500,1,FALSE)</f>
        <v>#N/A</v>
      </c>
      <c r="D1260" s="160" t="s">
        <v>1725</v>
      </c>
      <c r="E1260" s="100" t="s">
        <v>58</v>
      </c>
      <c r="F1260" s="84" t="s">
        <v>105</v>
      </c>
      <c r="G1260" s="161" t="s">
        <v>1982</v>
      </c>
      <c r="H1260" s="164" t="s">
        <v>1985</v>
      </c>
      <c r="I1260" s="163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8" t="s">
        <v>433</v>
      </c>
      <c r="O1260" s="90" t="s">
        <v>67</v>
      </c>
      <c r="P1260" s="90" t="s">
        <v>68</v>
      </c>
      <c r="Q1260" s="150">
        <v>46162.0</v>
      </c>
      <c r="R1260" s="103" t="s">
        <v>597</v>
      </c>
      <c r="S1260" s="150">
        <v>46166.0</v>
      </c>
      <c r="T1260" s="103"/>
      <c r="U1260" s="90" t="s">
        <v>31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1" t="s">
        <v>2271</v>
      </c>
      <c r="C1261" s="82" t="str">
        <f>VLOOKUP($B$7:$B$5000,SUM!$L$6:$L$500,1,FALSE)</f>
        <v>#N/A</v>
      </c>
      <c r="D1261" s="160" t="s">
        <v>1725</v>
      </c>
      <c r="E1261" s="100" t="s">
        <v>58</v>
      </c>
      <c r="F1261" s="84" t="s">
        <v>105</v>
      </c>
      <c r="G1261" s="161" t="s">
        <v>1987</v>
      </c>
      <c r="H1261" s="164" t="s">
        <v>1988</v>
      </c>
      <c r="I1261" s="163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8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31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1" t="s">
        <v>2274</v>
      </c>
      <c r="C1262" s="82" t="str">
        <f>VLOOKUP($B$7:$B$5000,SUM!$L$6:$L$500,1,FALSE)</f>
        <v>#N/A</v>
      </c>
      <c r="D1262" s="160" t="s">
        <v>1725</v>
      </c>
      <c r="E1262" s="100" t="s">
        <v>58</v>
      </c>
      <c r="F1262" s="84" t="s">
        <v>105</v>
      </c>
      <c r="G1262" s="161" t="s">
        <v>1991</v>
      </c>
      <c r="H1262" s="164" t="s">
        <v>1992</v>
      </c>
      <c r="I1262" s="163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8" t="s">
        <v>433</v>
      </c>
      <c r="O1262" s="90" t="s">
        <v>67</v>
      </c>
      <c r="P1262" s="90" t="s">
        <v>68</v>
      </c>
      <c r="Q1262" s="150">
        <v>46165.0</v>
      </c>
      <c r="R1262" s="103" t="s">
        <v>597</v>
      </c>
      <c r="S1262" s="150">
        <v>46166.0</v>
      </c>
      <c r="T1262" s="103"/>
      <c r="U1262" s="90" t="s">
        <v>31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1" t="s">
        <v>2275</v>
      </c>
      <c r="C1263" s="82" t="str">
        <f>VLOOKUP($B$7:$B$5000,SUM!$L$6:$L$500,1,FALSE)</f>
        <v>#N/A</v>
      </c>
      <c r="D1263" s="160" t="s">
        <v>1725</v>
      </c>
      <c r="E1263" s="100" t="s">
        <v>58</v>
      </c>
      <c r="F1263" s="84" t="s">
        <v>105</v>
      </c>
      <c r="G1263" s="161" t="s">
        <v>1991</v>
      </c>
      <c r="H1263" s="164" t="s">
        <v>1994</v>
      </c>
      <c r="I1263" s="163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8" t="s">
        <v>433</v>
      </c>
      <c r="O1263" s="90" t="s">
        <v>67</v>
      </c>
      <c r="P1263" s="90" t="s">
        <v>68</v>
      </c>
      <c r="Q1263" s="150">
        <v>46165.0</v>
      </c>
      <c r="R1263" s="103" t="s">
        <v>597</v>
      </c>
      <c r="S1263" s="150">
        <v>46166.0</v>
      </c>
      <c r="T1263" s="103"/>
      <c r="U1263" s="90" t="s">
        <v>31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1" t="s">
        <v>2276</v>
      </c>
      <c r="C1264" s="82" t="str">
        <f>VLOOKUP($B$7:$B$5000,SUM!$L$6:$L$500,1,FALSE)</f>
        <v>#N/A</v>
      </c>
      <c r="D1264" s="160" t="s">
        <v>1725</v>
      </c>
      <c r="E1264" s="100" t="s">
        <v>58</v>
      </c>
      <c r="F1264" s="84" t="s">
        <v>105</v>
      </c>
      <c r="G1264" s="161" t="s">
        <v>1996</v>
      </c>
      <c r="H1264" s="164" t="s">
        <v>1997</v>
      </c>
      <c r="I1264" s="163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8" t="s">
        <v>433</v>
      </c>
      <c r="O1264" s="90" t="s">
        <v>67</v>
      </c>
      <c r="P1264" s="90" t="s">
        <v>68</v>
      </c>
      <c r="Q1264" s="150">
        <v>46162.0</v>
      </c>
      <c r="R1264" s="103" t="s">
        <v>597</v>
      </c>
      <c r="S1264" s="150">
        <v>46166.0</v>
      </c>
      <c r="T1264" s="103"/>
      <c r="U1264" s="90" t="s">
        <v>31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1" t="s">
        <v>2277</v>
      </c>
      <c r="C1265" s="82" t="str">
        <f>VLOOKUP($B$7:$B$5000,SUM!$L$6:$L$500,1,FALSE)</f>
        <v>#N/A</v>
      </c>
      <c r="D1265" s="160" t="s">
        <v>1725</v>
      </c>
      <c r="E1265" s="100" t="s">
        <v>58</v>
      </c>
      <c r="F1265" s="84" t="s">
        <v>105</v>
      </c>
      <c r="G1265" s="161" t="s">
        <v>1999</v>
      </c>
      <c r="H1265" s="164" t="s">
        <v>2000</v>
      </c>
      <c r="I1265" s="163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8" t="s">
        <v>433</v>
      </c>
      <c r="O1265" s="90" t="s">
        <v>67</v>
      </c>
      <c r="P1265" s="90" t="s">
        <v>68</v>
      </c>
      <c r="Q1265" s="150">
        <v>46165.0</v>
      </c>
      <c r="R1265" s="103" t="s">
        <v>597</v>
      </c>
      <c r="S1265" s="150">
        <v>46166.0</v>
      </c>
      <c r="T1265" s="103"/>
      <c r="U1265" s="90" t="s">
        <v>31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1" t="s">
        <v>2278</v>
      </c>
      <c r="C1266" s="82" t="str">
        <f>VLOOKUP($B$7:$B$5000,SUM!$L$6:$L$500,1,FALSE)</f>
        <v>#N/A</v>
      </c>
      <c r="D1266" s="160" t="s">
        <v>1725</v>
      </c>
      <c r="E1266" s="100" t="s">
        <v>58</v>
      </c>
      <c r="F1266" s="84" t="s">
        <v>105</v>
      </c>
      <c r="G1266" s="161" t="s">
        <v>1999</v>
      </c>
      <c r="H1266" s="164" t="s">
        <v>2002</v>
      </c>
      <c r="I1266" s="163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8" t="s">
        <v>433</v>
      </c>
      <c r="O1266" s="90" t="s">
        <v>67</v>
      </c>
      <c r="P1266" s="90" t="s">
        <v>68</v>
      </c>
      <c r="Q1266" s="150">
        <v>46165.0</v>
      </c>
      <c r="R1266" s="103" t="s">
        <v>597</v>
      </c>
      <c r="S1266" s="150">
        <v>46166.0</v>
      </c>
      <c r="T1266" s="103"/>
      <c r="U1266" s="90" t="s">
        <v>31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1" t="s">
        <v>2280</v>
      </c>
      <c r="C1267" s="82" t="str">
        <f>VLOOKUP($B$7:$B$5000,SUM!$L$6:$L$500,1,FALSE)</f>
        <v>#N/A</v>
      </c>
      <c r="D1267" s="160" t="s">
        <v>1725</v>
      </c>
      <c r="E1267" s="100" t="s">
        <v>58</v>
      </c>
      <c r="F1267" s="84" t="s">
        <v>105</v>
      </c>
      <c r="G1267" s="161" t="s">
        <v>1999</v>
      </c>
      <c r="H1267" s="164" t="s">
        <v>2005</v>
      </c>
      <c r="I1267" s="163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8" t="s">
        <v>433</v>
      </c>
      <c r="O1267" s="90" t="s">
        <v>67</v>
      </c>
      <c r="P1267" s="90" t="s">
        <v>68</v>
      </c>
      <c r="Q1267" s="150">
        <v>46162.0</v>
      </c>
      <c r="R1267" s="103" t="s">
        <v>597</v>
      </c>
      <c r="S1267" s="150">
        <v>46166.0</v>
      </c>
      <c r="T1267" s="103"/>
      <c r="U1267" s="90" t="s">
        <v>31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1" t="s">
        <v>2281</v>
      </c>
      <c r="C1268" s="82" t="str">
        <f>VLOOKUP($B$7:$B$5000,SUM!$L$6:$L$500,1,FALSE)</f>
        <v>#N/A</v>
      </c>
      <c r="D1268" s="160" t="s">
        <v>1725</v>
      </c>
      <c r="E1268" s="100" t="s">
        <v>58</v>
      </c>
      <c r="F1268" s="84" t="s">
        <v>105</v>
      </c>
      <c r="G1268" s="161" t="s">
        <v>1999</v>
      </c>
      <c r="H1268" s="164" t="s">
        <v>2007</v>
      </c>
      <c r="I1268" s="163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8" t="s">
        <v>433</v>
      </c>
      <c r="O1268" s="90" t="s">
        <v>67</v>
      </c>
      <c r="P1268" s="90" t="s">
        <v>68</v>
      </c>
      <c r="Q1268" s="150">
        <v>46162.0</v>
      </c>
      <c r="R1268" s="103" t="s">
        <v>597</v>
      </c>
      <c r="S1268" s="150">
        <v>46166.0</v>
      </c>
      <c r="T1268" s="103"/>
      <c r="U1268" s="90" t="s">
        <v>31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1" t="s">
        <v>2282</v>
      </c>
      <c r="C1269" s="82" t="str">
        <f>VLOOKUP($B$7:$B$5000,SUM!$L$6:$L$500,1,FALSE)</f>
        <v>#N/A</v>
      </c>
      <c r="D1269" s="160" t="s">
        <v>1725</v>
      </c>
      <c r="E1269" s="100" t="s">
        <v>58</v>
      </c>
      <c r="F1269" s="84" t="s">
        <v>105</v>
      </c>
      <c r="G1269" s="161" t="s">
        <v>1999</v>
      </c>
      <c r="H1269" s="164" t="s">
        <v>2009</v>
      </c>
      <c r="I1269" s="163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8" t="s">
        <v>433</v>
      </c>
      <c r="O1269" s="90" t="s">
        <v>67</v>
      </c>
      <c r="P1269" s="90" t="s">
        <v>68</v>
      </c>
      <c r="Q1269" s="150">
        <v>46162.0</v>
      </c>
      <c r="R1269" s="103" t="s">
        <v>597</v>
      </c>
      <c r="S1269" s="150">
        <v>46166.0</v>
      </c>
      <c r="T1269" s="103"/>
      <c r="U1269" s="90" t="s">
        <v>31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1" t="s">
        <v>2283</v>
      </c>
      <c r="C1270" s="82" t="str">
        <f>VLOOKUP($B$7:$B$5000,SUM!$L$6:$L$500,1,FALSE)</f>
        <v>#N/A</v>
      </c>
      <c r="D1270" s="160" t="s">
        <v>1725</v>
      </c>
      <c r="E1270" s="100" t="s">
        <v>58</v>
      </c>
      <c r="F1270" s="84" t="s">
        <v>105</v>
      </c>
      <c r="G1270" s="161" t="s">
        <v>1999</v>
      </c>
      <c r="H1270" s="164" t="s">
        <v>2011</v>
      </c>
      <c r="I1270" s="163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8" t="s">
        <v>433</v>
      </c>
      <c r="O1270" s="90" t="s">
        <v>67</v>
      </c>
      <c r="P1270" s="90" t="s">
        <v>68</v>
      </c>
      <c r="Q1270" s="150">
        <v>46165.0</v>
      </c>
      <c r="R1270" s="103" t="s">
        <v>597</v>
      </c>
      <c r="S1270" s="150">
        <v>46166.0</v>
      </c>
      <c r="T1270" s="103"/>
      <c r="U1270" s="90" t="s">
        <v>31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1" t="s">
        <v>2284</v>
      </c>
      <c r="C1271" s="82" t="str">
        <f>VLOOKUP($B$7:$B$5000,SUM!$L$6:$L$500,1,FALSE)</f>
        <v>#N/A</v>
      </c>
      <c r="D1271" s="160" t="s">
        <v>1725</v>
      </c>
      <c r="E1271" s="100" t="s">
        <v>58</v>
      </c>
      <c r="F1271" s="84" t="s">
        <v>105</v>
      </c>
      <c r="G1271" s="161" t="s">
        <v>1999</v>
      </c>
      <c r="H1271" s="164" t="s">
        <v>2013</v>
      </c>
      <c r="I1271" s="163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8" t="s">
        <v>433</v>
      </c>
      <c r="O1271" s="90" t="s">
        <v>67</v>
      </c>
      <c r="P1271" s="90" t="s">
        <v>68</v>
      </c>
      <c r="Q1271" s="150">
        <v>46162.0</v>
      </c>
      <c r="R1271" s="103" t="s">
        <v>597</v>
      </c>
      <c r="S1271" s="150">
        <v>46166.0</v>
      </c>
      <c r="T1271" s="103"/>
      <c r="U1271" s="90" t="s">
        <v>31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1" t="s">
        <v>2285</v>
      </c>
      <c r="C1272" s="82" t="str">
        <f>VLOOKUP($B$7:$B$5000,SUM!$L$6:$L$500,1,FALSE)</f>
        <v>#N/A</v>
      </c>
      <c r="D1272" s="160" t="s">
        <v>1725</v>
      </c>
      <c r="E1272" s="100" t="s">
        <v>58</v>
      </c>
      <c r="F1272" s="84" t="s">
        <v>105</v>
      </c>
      <c r="G1272" s="161" t="s">
        <v>1999</v>
      </c>
      <c r="H1272" s="164" t="s">
        <v>2015</v>
      </c>
      <c r="I1272" s="163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8" t="s">
        <v>433</v>
      </c>
      <c r="O1272" s="90" t="s">
        <v>67</v>
      </c>
      <c r="P1272" s="90" t="s">
        <v>68</v>
      </c>
      <c r="Q1272" s="150">
        <v>46162.0</v>
      </c>
      <c r="R1272" s="103" t="s">
        <v>597</v>
      </c>
      <c r="S1272" s="150">
        <v>46166.0</v>
      </c>
      <c r="T1272" s="103"/>
      <c r="U1272" s="90" t="s">
        <v>31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1" t="s">
        <v>2286</v>
      </c>
      <c r="C1273" s="82" t="str">
        <f>VLOOKUP($B$7:$B$5000,SUM!$L$6:$L$500,1,FALSE)</f>
        <v>#N/A</v>
      </c>
      <c r="D1273" s="160" t="s">
        <v>1725</v>
      </c>
      <c r="E1273" s="100" t="s">
        <v>58</v>
      </c>
      <c r="F1273" s="84" t="s">
        <v>105</v>
      </c>
      <c r="G1273" s="161" t="s">
        <v>1964</v>
      </c>
      <c r="H1273" s="164" t="s">
        <v>2017</v>
      </c>
      <c r="I1273" s="163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8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31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1" t="s">
        <v>2289</v>
      </c>
      <c r="C1274" s="82" t="str">
        <f>VLOOKUP($B$7:$B$5000,SUM!$L$6:$L$500,1,FALSE)</f>
        <v>#N/A</v>
      </c>
      <c r="D1274" s="160" t="s">
        <v>1725</v>
      </c>
      <c r="E1274" s="100" t="s">
        <v>58</v>
      </c>
      <c r="F1274" s="84" t="s">
        <v>105</v>
      </c>
      <c r="G1274" s="161" t="s">
        <v>1964</v>
      </c>
      <c r="H1274" s="164" t="s">
        <v>2020</v>
      </c>
      <c r="I1274" s="163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8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31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1" t="s">
        <v>2291</v>
      </c>
      <c r="C1275" s="82" t="str">
        <f>VLOOKUP($B$7:$B$5000,SUM!$L$6:$L$500,1,FALSE)</f>
        <v>#N/A</v>
      </c>
      <c r="D1275" s="160" t="s">
        <v>1725</v>
      </c>
      <c r="E1275" s="100" t="s">
        <v>58</v>
      </c>
      <c r="F1275" s="84" t="s">
        <v>105</v>
      </c>
      <c r="G1275" s="161" t="s">
        <v>1964</v>
      </c>
      <c r="H1275" s="164" t="s">
        <v>2022</v>
      </c>
      <c r="I1275" s="163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8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31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1" t="s">
        <v>2293</v>
      </c>
      <c r="C1276" s="82" t="str">
        <f>VLOOKUP($B$7:$B$5000,SUM!$L$6:$L$500,1,FALSE)</f>
        <v>#N/A</v>
      </c>
      <c r="D1276" s="160" t="s">
        <v>1725</v>
      </c>
      <c r="E1276" s="100" t="s">
        <v>58</v>
      </c>
      <c r="F1276" s="84" t="s">
        <v>105</v>
      </c>
      <c r="G1276" s="161" t="s">
        <v>1972</v>
      </c>
      <c r="H1276" s="164" t="s">
        <v>2024</v>
      </c>
      <c r="I1276" s="163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8" t="s">
        <v>433</v>
      </c>
      <c r="O1276" s="90" t="s">
        <v>67</v>
      </c>
      <c r="P1276" s="90" t="s">
        <v>68</v>
      </c>
      <c r="Q1276" s="150">
        <v>46162.0</v>
      </c>
      <c r="R1276" s="103" t="s">
        <v>597</v>
      </c>
      <c r="S1276" s="150">
        <v>46166.0</v>
      </c>
      <c r="T1276" s="103"/>
      <c r="U1276" s="90" t="s">
        <v>31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1" t="s">
        <v>2294</v>
      </c>
      <c r="C1277" s="82" t="str">
        <f>VLOOKUP($B$7:$B$5000,SUM!$L$6:$L$500,1,FALSE)</f>
        <v>#N/A</v>
      </c>
      <c r="D1277" s="160" t="s">
        <v>1725</v>
      </c>
      <c r="E1277" s="100" t="s">
        <v>58</v>
      </c>
      <c r="F1277" s="84" t="s">
        <v>105</v>
      </c>
      <c r="G1277" s="161" t="s">
        <v>1972</v>
      </c>
      <c r="H1277" s="164" t="s">
        <v>2026</v>
      </c>
      <c r="I1277" s="163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8" t="s">
        <v>433</v>
      </c>
      <c r="O1277" s="90" t="s">
        <v>67</v>
      </c>
      <c r="P1277" s="90" t="s">
        <v>68</v>
      </c>
      <c r="Q1277" s="150">
        <v>46162.0</v>
      </c>
      <c r="R1277" s="103" t="s">
        <v>597</v>
      </c>
      <c r="S1277" s="150">
        <v>46166.0</v>
      </c>
      <c r="T1277" s="103"/>
      <c r="U1277" s="90" t="s">
        <v>31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1" t="s">
        <v>2295</v>
      </c>
      <c r="C1278" s="82" t="str">
        <f>VLOOKUP($B$7:$B$5000,SUM!$L$6:$L$500,1,FALSE)</f>
        <v>#N/A</v>
      </c>
      <c r="D1278" s="160" t="s">
        <v>1725</v>
      </c>
      <c r="E1278" s="100" t="s">
        <v>58</v>
      </c>
      <c r="F1278" s="84" t="s">
        <v>105</v>
      </c>
      <c r="G1278" s="161" t="s">
        <v>1972</v>
      </c>
      <c r="H1278" s="164" t="s">
        <v>2028</v>
      </c>
      <c r="I1278" s="163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8" t="s">
        <v>433</v>
      </c>
      <c r="O1278" s="90" t="s">
        <v>67</v>
      </c>
      <c r="P1278" s="90" t="s">
        <v>68</v>
      </c>
      <c r="Q1278" s="150">
        <v>46162.0</v>
      </c>
      <c r="R1278" s="103" t="s">
        <v>597</v>
      </c>
      <c r="S1278" s="150">
        <v>46166.0</v>
      </c>
      <c r="T1278" s="103"/>
      <c r="U1278" s="90" t="s">
        <v>31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1" t="s">
        <v>2296</v>
      </c>
      <c r="C1279" s="82" t="str">
        <f>VLOOKUP($B$7:$B$5000,SUM!$L$6:$L$500,1,FALSE)</f>
        <v>#N/A</v>
      </c>
      <c r="D1279" s="160" t="s">
        <v>1725</v>
      </c>
      <c r="E1279" s="100" t="s">
        <v>58</v>
      </c>
      <c r="F1279" s="84" t="s">
        <v>105</v>
      </c>
      <c r="G1279" s="161" t="s">
        <v>1972</v>
      </c>
      <c r="H1279" s="164" t="s">
        <v>2030</v>
      </c>
      <c r="I1279" s="163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8" t="s">
        <v>433</v>
      </c>
      <c r="O1279" s="90" t="s">
        <v>67</v>
      </c>
      <c r="P1279" s="90" t="s">
        <v>68</v>
      </c>
      <c r="Q1279" s="150">
        <v>46162.0</v>
      </c>
      <c r="R1279" s="103" t="s">
        <v>597</v>
      </c>
      <c r="S1279" s="150">
        <v>46166.0</v>
      </c>
      <c r="T1279" s="103"/>
      <c r="U1279" s="90" t="s">
        <v>31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1" t="s">
        <v>2297</v>
      </c>
      <c r="C1280" s="82" t="str">
        <f>VLOOKUP($B$7:$B$5000,SUM!$L$6:$L$500,1,FALSE)</f>
        <v>#N/A</v>
      </c>
      <c r="D1280" s="160" t="s">
        <v>1725</v>
      </c>
      <c r="E1280" s="100" t="s">
        <v>58</v>
      </c>
      <c r="F1280" s="84" t="s">
        <v>105</v>
      </c>
      <c r="G1280" s="161" t="s">
        <v>2032</v>
      </c>
      <c r="H1280" s="164" t="s">
        <v>2033</v>
      </c>
      <c r="I1280" s="163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8" t="s">
        <v>433</v>
      </c>
      <c r="O1280" s="90" t="s">
        <v>67</v>
      </c>
      <c r="P1280" s="90" t="s">
        <v>68</v>
      </c>
      <c r="Q1280" s="150">
        <v>46162.0</v>
      </c>
      <c r="R1280" s="103" t="s">
        <v>597</v>
      </c>
      <c r="S1280" s="150">
        <v>46166.0</v>
      </c>
      <c r="T1280" s="103"/>
      <c r="U1280" s="90" t="s">
        <v>31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1" t="s">
        <v>2298</v>
      </c>
      <c r="C1281" s="82" t="str">
        <f>VLOOKUP($B$7:$B$5000,SUM!$L$6:$L$500,1,FALSE)</f>
        <v>#N/A</v>
      </c>
      <c r="D1281" s="160" t="s">
        <v>1725</v>
      </c>
      <c r="E1281" s="100" t="s">
        <v>58</v>
      </c>
      <c r="F1281" s="84" t="s">
        <v>105</v>
      </c>
      <c r="G1281" s="161" t="s">
        <v>2032</v>
      </c>
      <c r="H1281" s="164" t="s">
        <v>2035</v>
      </c>
      <c r="I1281" s="163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8" t="s">
        <v>433</v>
      </c>
      <c r="O1281" s="90" t="s">
        <v>67</v>
      </c>
      <c r="P1281" s="90" t="s">
        <v>68</v>
      </c>
      <c r="Q1281" s="150">
        <v>46162.0</v>
      </c>
      <c r="R1281" s="103" t="s">
        <v>597</v>
      </c>
      <c r="S1281" s="150">
        <v>46166.0</v>
      </c>
      <c r="T1281" s="103"/>
      <c r="U1281" s="90" t="s">
        <v>31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1" t="s">
        <v>2299</v>
      </c>
      <c r="C1282" s="82" t="str">
        <f>VLOOKUP($B$7:$B$5000,SUM!$L$6:$L$500,1,FALSE)</f>
        <v>#N/A</v>
      </c>
      <c r="D1282" s="160" t="s">
        <v>1725</v>
      </c>
      <c r="E1282" s="100" t="s">
        <v>58</v>
      </c>
      <c r="F1282" s="84" t="s">
        <v>105</v>
      </c>
      <c r="G1282" s="161" t="s">
        <v>1761</v>
      </c>
      <c r="H1282" s="164" t="s">
        <v>2037</v>
      </c>
      <c r="I1282" s="163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8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31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1" t="s">
        <v>2302</v>
      </c>
      <c r="C1283" s="82" t="str">
        <f>VLOOKUP($B$7:$B$5000,SUM!$L$6:$L$500,1,FALSE)</f>
        <v>#N/A</v>
      </c>
      <c r="D1283" s="160" t="s">
        <v>1725</v>
      </c>
      <c r="E1283" s="100" t="s">
        <v>58</v>
      </c>
      <c r="F1283" s="84" t="s">
        <v>105</v>
      </c>
      <c r="G1283" s="161" t="s">
        <v>1761</v>
      </c>
      <c r="H1283" s="164" t="s">
        <v>2040</v>
      </c>
      <c r="I1283" s="163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8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31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1" t="s">
        <v>2304</v>
      </c>
      <c r="C1284" s="82" t="str">
        <f>VLOOKUP($B$7:$B$5000,SUM!$L$6:$L$500,1,FALSE)</f>
        <v>#N/A</v>
      </c>
      <c r="D1284" s="160" t="s">
        <v>1725</v>
      </c>
      <c r="E1284" s="100" t="s">
        <v>58</v>
      </c>
      <c r="F1284" s="84" t="s">
        <v>105</v>
      </c>
      <c r="G1284" s="161" t="s">
        <v>1761</v>
      </c>
      <c r="H1284" s="164" t="s">
        <v>2042</v>
      </c>
      <c r="I1284" s="163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8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31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1" t="s">
        <v>2306</v>
      </c>
      <c r="C1285" s="82" t="str">
        <f>VLOOKUP($B$7:$B$5000,SUM!$L$6:$L$500,1,FALSE)</f>
        <v>#N/A</v>
      </c>
      <c r="D1285" s="160" t="s">
        <v>1725</v>
      </c>
      <c r="E1285" s="100" t="s">
        <v>58</v>
      </c>
      <c r="F1285" s="84" t="s">
        <v>105</v>
      </c>
      <c r="G1285" s="161" t="s">
        <v>1761</v>
      </c>
      <c r="H1285" s="164" t="s">
        <v>2044</v>
      </c>
      <c r="I1285" s="163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8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31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1" t="s">
        <v>2308</v>
      </c>
      <c r="C1286" s="82" t="str">
        <f>VLOOKUP($B$7:$B$5000,SUM!$L$6:$L$500,1,FALSE)</f>
        <v>#N/A</v>
      </c>
      <c r="D1286" s="160" t="s">
        <v>1725</v>
      </c>
      <c r="E1286" s="100" t="s">
        <v>58</v>
      </c>
      <c r="F1286" s="84" t="s">
        <v>105</v>
      </c>
      <c r="G1286" s="161" t="s">
        <v>1761</v>
      </c>
      <c r="H1286" s="164" t="s">
        <v>2046</v>
      </c>
      <c r="I1286" s="163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8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31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1" t="s">
        <v>2310</v>
      </c>
      <c r="C1287" s="82" t="str">
        <f>VLOOKUP($B$7:$B$5000,SUM!$L$6:$L$500,1,FALSE)</f>
        <v>#N/A</v>
      </c>
      <c r="D1287" s="160" t="s">
        <v>1725</v>
      </c>
      <c r="E1287" s="100" t="s">
        <v>58</v>
      </c>
      <c r="F1287" s="84" t="s">
        <v>105</v>
      </c>
      <c r="G1287" s="161" t="s">
        <v>1761</v>
      </c>
      <c r="H1287" s="164" t="s">
        <v>2048</v>
      </c>
      <c r="I1287" s="163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8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31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1" t="s">
        <v>2312</v>
      </c>
      <c r="C1288" s="82" t="str">
        <f>VLOOKUP($B$7:$B$5000,SUM!$L$6:$L$500,1,FALSE)</f>
        <v>#N/A</v>
      </c>
      <c r="D1288" s="160" t="s">
        <v>1725</v>
      </c>
      <c r="E1288" s="100" t="s">
        <v>58</v>
      </c>
      <c r="F1288" s="84" t="s">
        <v>105</v>
      </c>
      <c r="G1288" s="161" t="s">
        <v>1987</v>
      </c>
      <c r="H1288" s="164" t="s">
        <v>2050</v>
      </c>
      <c r="I1288" s="163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8" t="s">
        <v>433</v>
      </c>
      <c r="O1288" s="90" t="s">
        <v>67</v>
      </c>
      <c r="P1288" s="90" t="s">
        <v>68</v>
      </c>
      <c r="Q1288" s="150">
        <v>46165.0</v>
      </c>
      <c r="R1288" s="103" t="s">
        <v>597</v>
      </c>
      <c r="S1288" s="150">
        <v>46166.0</v>
      </c>
      <c r="T1288" s="103"/>
      <c r="U1288" s="90" t="s">
        <v>31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1" t="s">
        <v>2313</v>
      </c>
      <c r="C1289" s="82" t="str">
        <f>VLOOKUP($B$7:$B$5000,SUM!$L$6:$L$500,1,FALSE)</f>
        <v>#N/A</v>
      </c>
      <c r="D1289" s="160" t="s">
        <v>1725</v>
      </c>
      <c r="E1289" s="100" t="s">
        <v>58</v>
      </c>
      <c r="F1289" s="84" t="s">
        <v>105</v>
      </c>
      <c r="G1289" s="161" t="s">
        <v>2052</v>
      </c>
      <c r="H1289" s="164" t="s">
        <v>2053</v>
      </c>
      <c r="I1289" s="163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8" t="s">
        <v>433</v>
      </c>
      <c r="O1289" s="90" t="s">
        <v>67</v>
      </c>
      <c r="P1289" s="90" t="s">
        <v>68</v>
      </c>
      <c r="Q1289" s="150">
        <v>46165.0</v>
      </c>
      <c r="R1289" s="103" t="s">
        <v>597</v>
      </c>
      <c r="S1289" s="150">
        <v>46166.0</v>
      </c>
      <c r="T1289" s="103"/>
      <c r="U1289" s="90" t="s">
        <v>31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1" t="s">
        <v>2315</v>
      </c>
      <c r="C1290" s="82" t="str">
        <f>VLOOKUP($B$7:$B$5000,SUM!$L$6:$L$500,1,FALSE)</f>
        <v>#N/A</v>
      </c>
      <c r="D1290" s="160" t="s">
        <v>1725</v>
      </c>
      <c r="E1290" s="100" t="s">
        <v>58</v>
      </c>
      <c r="F1290" s="84" t="s">
        <v>105</v>
      </c>
      <c r="G1290" s="161" t="s">
        <v>2056</v>
      </c>
      <c r="H1290" s="164" t="s">
        <v>2057</v>
      </c>
      <c r="I1290" s="163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8" t="s">
        <v>433</v>
      </c>
      <c r="O1290" s="90" t="s">
        <v>67</v>
      </c>
      <c r="P1290" s="90" t="s">
        <v>68</v>
      </c>
      <c r="Q1290" s="150">
        <v>46165.0</v>
      </c>
      <c r="R1290" s="103" t="s">
        <v>597</v>
      </c>
      <c r="S1290" s="150">
        <v>46166.0</v>
      </c>
      <c r="T1290" s="103"/>
      <c r="U1290" s="90" t="s">
        <v>31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1" t="s">
        <v>2316</v>
      </c>
      <c r="C1291" s="82" t="str">
        <f>VLOOKUP($B$7:$B$5000,SUM!$L$6:$L$500,1,FALSE)</f>
        <v>#N/A</v>
      </c>
      <c r="D1291" s="160" t="s">
        <v>1725</v>
      </c>
      <c r="E1291" s="100" t="s">
        <v>58</v>
      </c>
      <c r="F1291" s="84" t="s">
        <v>105</v>
      </c>
      <c r="G1291" s="161" t="s">
        <v>2059</v>
      </c>
      <c r="H1291" s="164" t="s">
        <v>2060</v>
      </c>
      <c r="I1291" s="163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8" t="s">
        <v>433</v>
      </c>
      <c r="O1291" s="90" t="s">
        <v>67</v>
      </c>
      <c r="P1291" s="90" t="s">
        <v>68</v>
      </c>
      <c r="Q1291" s="150">
        <v>46165.0</v>
      </c>
      <c r="R1291" s="103" t="s">
        <v>597</v>
      </c>
      <c r="S1291" s="150">
        <v>46166.0</v>
      </c>
      <c r="T1291" s="103"/>
      <c r="U1291" s="90" t="s">
        <v>31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1" t="s">
        <v>2317</v>
      </c>
      <c r="C1292" s="82" t="str">
        <f>VLOOKUP($B$7:$B$5000,SUM!$L$6:$L$500,1,FALSE)</f>
        <v>#N/A</v>
      </c>
      <c r="D1292" s="160" t="s">
        <v>1725</v>
      </c>
      <c r="E1292" s="100" t="s">
        <v>58</v>
      </c>
      <c r="F1292" s="84" t="s">
        <v>105</v>
      </c>
      <c r="G1292" s="161" t="s">
        <v>2062</v>
      </c>
      <c r="H1292" s="164" t="s">
        <v>2063</v>
      </c>
      <c r="I1292" s="163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8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1" t="s">
        <v>2319</v>
      </c>
      <c r="C1293" s="82" t="str">
        <f>VLOOKUP($B$7:$B$5000,SUM!$L$6:$L$500,1,FALSE)</f>
        <v>#N/A</v>
      </c>
      <c r="D1293" s="160" t="s">
        <v>1725</v>
      </c>
      <c r="E1293" s="100" t="s">
        <v>58</v>
      </c>
      <c r="F1293" s="84" t="s">
        <v>105</v>
      </c>
      <c r="G1293" s="161" t="s">
        <v>2062</v>
      </c>
      <c r="H1293" s="164" t="s">
        <v>2066</v>
      </c>
      <c r="I1293" s="163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8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1" t="s">
        <v>2321</v>
      </c>
      <c r="C1294" s="82" t="str">
        <f>VLOOKUP($B$7:$B$5000,SUM!$L$6:$L$500,1,FALSE)</f>
        <v>#N/A</v>
      </c>
      <c r="D1294" s="160" t="s">
        <v>1725</v>
      </c>
      <c r="E1294" s="100" t="s">
        <v>58</v>
      </c>
      <c r="F1294" s="84" t="s">
        <v>105</v>
      </c>
      <c r="G1294" s="161" t="s">
        <v>2069</v>
      </c>
      <c r="H1294" s="164" t="s">
        <v>2070</v>
      </c>
      <c r="I1294" s="163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8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1" t="s">
        <v>2322</v>
      </c>
      <c r="C1295" s="82" t="str">
        <f>VLOOKUP($B$7:$B$5000,SUM!$L$6:$L$500,1,FALSE)</f>
        <v>#N/A</v>
      </c>
      <c r="D1295" s="160" t="s">
        <v>1725</v>
      </c>
      <c r="E1295" s="100" t="s">
        <v>58</v>
      </c>
      <c r="F1295" s="84" t="s">
        <v>105</v>
      </c>
      <c r="G1295" s="161" t="s">
        <v>2069</v>
      </c>
      <c r="H1295" s="164" t="s">
        <v>2072</v>
      </c>
      <c r="I1295" s="163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8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1" t="s">
        <v>2323</v>
      </c>
      <c r="C1296" s="82" t="str">
        <f>VLOOKUP($B$7:$B$5000,SUM!$L$6:$L$500,1,FALSE)</f>
        <v>#N/A</v>
      </c>
      <c r="D1296" s="160" t="s">
        <v>1725</v>
      </c>
      <c r="E1296" s="100" t="s">
        <v>58</v>
      </c>
      <c r="F1296" s="84" t="s">
        <v>105</v>
      </c>
      <c r="G1296" s="161" t="s">
        <v>2069</v>
      </c>
      <c r="H1296" s="164" t="s">
        <v>2074</v>
      </c>
      <c r="I1296" s="163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8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1" t="s">
        <v>2324</v>
      </c>
      <c r="C1297" s="82" t="str">
        <f>VLOOKUP($B$7:$B$5000,SUM!$L$6:$L$500,1,FALSE)</f>
        <v>#N/A</v>
      </c>
      <c r="D1297" s="160" t="s">
        <v>1725</v>
      </c>
      <c r="E1297" s="100" t="s">
        <v>58</v>
      </c>
      <c r="F1297" s="84" t="s">
        <v>105</v>
      </c>
      <c r="G1297" s="161" t="s">
        <v>2069</v>
      </c>
      <c r="H1297" s="164" t="s">
        <v>2076</v>
      </c>
      <c r="I1297" s="163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8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1" t="s">
        <v>2325</v>
      </c>
      <c r="C1298" s="82" t="str">
        <f>VLOOKUP($B$7:$B$5000,SUM!$L$6:$L$500,1,FALSE)</f>
        <v>#N/A</v>
      </c>
      <c r="D1298" s="160" t="s">
        <v>1725</v>
      </c>
      <c r="E1298" s="100" t="s">
        <v>58</v>
      </c>
      <c r="F1298" s="84" t="s">
        <v>105</v>
      </c>
      <c r="G1298" s="161" t="s">
        <v>2069</v>
      </c>
      <c r="H1298" s="164" t="s">
        <v>2078</v>
      </c>
      <c r="I1298" s="163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8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1" t="s">
        <v>2326</v>
      </c>
      <c r="C1299" s="82" t="str">
        <f>VLOOKUP($B$7:$B$5000,SUM!$L$6:$L$500,1,FALSE)</f>
        <v>#N/A</v>
      </c>
      <c r="D1299" s="160" t="s">
        <v>1725</v>
      </c>
      <c r="E1299" s="100" t="s">
        <v>58</v>
      </c>
      <c r="F1299" s="84" t="s">
        <v>105</v>
      </c>
      <c r="G1299" s="161" t="s">
        <v>2069</v>
      </c>
      <c r="H1299" s="164" t="s">
        <v>2080</v>
      </c>
      <c r="I1299" s="163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8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1" t="s">
        <v>2327</v>
      </c>
      <c r="C1300" s="82" t="str">
        <f>VLOOKUP($B$7:$B$5000,SUM!$L$6:$L$500,1,FALSE)</f>
        <v>#N/A</v>
      </c>
      <c r="D1300" s="160" t="s">
        <v>1725</v>
      </c>
      <c r="E1300" s="100" t="s">
        <v>58</v>
      </c>
      <c r="F1300" s="84" t="s">
        <v>105</v>
      </c>
      <c r="G1300" s="161" t="s">
        <v>2069</v>
      </c>
      <c r="H1300" s="164" t="s">
        <v>2082</v>
      </c>
      <c r="I1300" s="163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8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1" t="s">
        <v>2328</v>
      </c>
      <c r="C1301" s="82" t="str">
        <f>VLOOKUP($B$7:$B$5000,SUM!$L$6:$L$500,1,FALSE)</f>
        <v>#N/A</v>
      </c>
      <c r="D1301" s="160" t="s">
        <v>1725</v>
      </c>
      <c r="E1301" s="100" t="s">
        <v>58</v>
      </c>
      <c r="F1301" s="84" t="s">
        <v>105</v>
      </c>
      <c r="G1301" s="161" t="s">
        <v>2069</v>
      </c>
      <c r="H1301" s="164" t="s">
        <v>2084</v>
      </c>
      <c r="I1301" s="163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8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1" t="s">
        <v>2329</v>
      </c>
      <c r="C1302" s="82" t="str">
        <f>VLOOKUP($B$7:$B$5000,SUM!$L$6:$L$500,1,FALSE)</f>
        <v>#N/A</v>
      </c>
      <c r="D1302" s="160" t="s">
        <v>1725</v>
      </c>
      <c r="E1302" s="100" t="s">
        <v>58</v>
      </c>
      <c r="F1302" s="84" t="s">
        <v>105</v>
      </c>
      <c r="G1302" s="161" t="s">
        <v>2086</v>
      </c>
      <c r="H1302" s="164" t="s">
        <v>2087</v>
      </c>
      <c r="I1302" s="163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8" t="s">
        <v>433</v>
      </c>
      <c r="O1302" s="90" t="s">
        <v>67</v>
      </c>
      <c r="P1302" s="90" t="s">
        <v>68</v>
      </c>
      <c r="Q1302" s="150">
        <v>46165.0</v>
      </c>
      <c r="R1302" s="103" t="s">
        <v>597</v>
      </c>
      <c r="S1302" s="150">
        <v>46166.0</v>
      </c>
      <c r="T1302" s="103"/>
      <c r="U1302" s="90" t="s">
        <v>31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1" t="s">
        <v>2331</v>
      </c>
      <c r="C1303" s="82" t="str">
        <f>VLOOKUP($B$7:$B$5000,SUM!$L$6:$L$500,1,FALSE)</f>
        <v>#N/A</v>
      </c>
      <c r="D1303" s="160" t="s">
        <v>1725</v>
      </c>
      <c r="E1303" s="100" t="s">
        <v>58</v>
      </c>
      <c r="F1303" s="84" t="s">
        <v>105</v>
      </c>
      <c r="G1303" s="161" t="s">
        <v>2086</v>
      </c>
      <c r="H1303" s="164" t="s">
        <v>2090</v>
      </c>
      <c r="I1303" s="163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8" t="s">
        <v>433</v>
      </c>
      <c r="O1303" s="90" t="s">
        <v>67</v>
      </c>
      <c r="P1303" s="90" t="s">
        <v>68</v>
      </c>
      <c r="Q1303" s="150">
        <v>46165.0</v>
      </c>
      <c r="R1303" s="103" t="s">
        <v>597</v>
      </c>
      <c r="S1303" s="150">
        <v>46166.0</v>
      </c>
      <c r="T1303" s="103"/>
      <c r="U1303" s="90" t="s">
        <v>31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1" t="s">
        <v>2332</v>
      </c>
      <c r="C1304" s="82" t="str">
        <f>VLOOKUP($B$7:$B$5000,SUM!$L$6:$L$500,1,FALSE)</f>
        <v>#N/A</v>
      </c>
      <c r="D1304" s="160" t="s">
        <v>1725</v>
      </c>
      <c r="E1304" s="100" t="s">
        <v>58</v>
      </c>
      <c r="F1304" s="84" t="s">
        <v>105</v>
      </c>
      <c r="G1304" s="161" t="s">
        <v>2092</v>
      </c>
      <c r="H1304" s="164" t="s">
        <v>2093</v>
      </c>
      <c r="I1304" s="163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8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1" t="s">
        <v>2333</v>
      </c>
      <c r="C1305" s="82" t="str">
        <f>VLOOKUP($B$7:$B$5000,SUM!$L$6:$L$500,1,FALSE)</f>
        <v>#N/A</v>
      </c>
      <c r="D1305" s="160" t="s">
        <v>1725</v>
      </c>
      <c r="E1305" s="100" t="s">
        <v>58</v>
      </c>
      <c r="F1305" s="84" t="s">
        <v>105</v>
      </c>
      <c r="G1305" s="161" t="s">
        <v>2092</v>
      </c>
      <c r="H1305" s="164" t="s">
        <v>2095</v>
      </c>
      <c r="I1305" s="163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8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1" t="s">
        <v>2334</v>
      </c>
      <c r="C1306" s="82" t="str">
        <f>VLOOKUP($B$7:$B$5000,SUM!$L$6:$L$500,1,FALSE)</f>
        <v>#N/A</v>
      </c>
      <c r="D1306" s="160" t="s">
        <v>1725</v>
      </c>
      <c r="E1306" s="100" t="s">
        <v>58</v>
      </c>
      <c r="F1306" s="84" t="s">
        <v>105</v>
      </c>
      <c r="G1306" s="161" t="s">
        <v>2097</v>
      </c>
      <c r="H1306" s="164" t="s">
        <v>2098</v>
      </c>
      <c r="I1306" s="163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8" t="s">
        <v>433</v>
      </c>
      <c r="O1306" s="90" t="s">
        <v>67</v>
      </c>
      <c r="P1306" s="90" t="s">
        <v>68</v>
      </c>
      <c r="Q1306" s="150">
        <v>46164.0</v>
      </c>
      <c r="R1306" s="103" t="s">
        <v>597</v>
      </c>
      <c r="S1306" s="150">
        <v>46166.0</v>
      </c>
      <c r="T1306" s="103"/>
      <c r="U1306" s="90" t="s">
        <v>31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1" t="s">
        <v>2335</v>
      </c>
      <c r="C1307" s="82" t="str">
        <f>VLOOKUP($B$7:$B$5000,SUM!$L$6:$L$500,1,FALSE)</f>
        <v>#N/A</v>
      </c>
      <c r="D1307" s="160" t="s">
        <v>1725</v>
      </c>
      <c r="E1307" s="100" t="s">
        <v>58</v>
      </c>
      <c r="F1307" s="84" t="s">
        <v>105</v>
      </c>
      <c r="G1307" s="161" t="s">
        <v>2097</v>
      </c>
      <c r="H1307" s="164" t="s">
        <v>2100</v>
      </c>
      <c r="I1307" s="163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8" t="s">
        <v>433</v>
      </c>
      <c r="O1307" s="90" t="s">
        <v>67</v>
      </c>
      <c r="P1307" s="90" t="s">
        <v>68</v>
      </c>
      <c r="Q1307" s="150">
        <v>46162.0</v>
      </c>
      <c r="R1307" s="103" t="s">
        <v>597</v>
      </c>
      <c r="S1307" s="150">
        <v>46166.0</v>
      </c>
      <c r="T1307" s="103"/>
      <c r="U1307" s="90" t="s">
        <v>31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1" t="s">
        <v>2336</v>
      </c>
      <c r="C1308" s="82" t="str">
        <f>VLOOKUP($B$7:$B$5000,SUM!$L$6:$L$500,1,FALSE)</f>
        <v>#N/A</v>
      </c>
      <c r="D1308" s="160" t="s">
        <v>1725</v>
      </c>
      <c r="E1308" s="100" t="s">
        <v>58</v>
      </c>
      <c r="F1308" s="84" t="s">
        <v>105</v>
      </c>
      <c r="G1308" s="161" t="s">
        <v>2097</v>
      </c>
      <c r="H1308" s="164" t="s">
        <v>2102</v>
      </c>
      <c r="I1308" s="163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8" t="s">
        <v>433</v>
      </c>
      <c r="O1308" s="90" t="s">
        <v>67</v>
      </c>
      <c r="P1308" s="90" t="s">
        <v>68</v>
      </c>
      <c r="Q1308" s="150">
        <v>46164.0</v>
      </c>
      <c r="R1308" s="103" t="s">
        <v>597</v>
      </c>
      <c r="S1308" s="150">
        <v>46166.0</v>
      </c>
      <c r="T1308" s="103"/>
      <c r="U1308" s="90" t="s">
        <v>31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1" t="s">
        <v>2337</v>
      </c>
      <c r="C1309" s="82" t="str">
        <f>VLOOKUP($B$7:$B$5000,SUM!$L$6:$L$500,1,FALSE)</f>
        <v>#N/A</v>
      </c>
      <c r="D1309" s="160" t="s">
        <v>1725</v>
      </c>
      <c r="E1309" s="100" t="s">
        <v>58</v>
      </c>
      <c r="F1309" s="84" t="s">
        <v>105</v>
      </c>
      <c r="G1309" s="161" t="s">
        <v>2104</v>
      </c>
      <c r="H1309" s="164" t="s">
        <v>2105</v>
      </c>
      <c r="I1309" s="163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8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1" t="s">
        <v>2338</v>
      </c>
      <c r="C1310" s="82" t="str">
        <f>VLOOKUP($B$7:$B$5000,SUM!$L$6:$L$500,1,FALSE)</f>
        <v>#N/A</v>
      </c>
      <c r="D1310" s="160" t="s">
        <v>1725</v>
      </c>
      <c r="E1310" s="100" t="s">
        <v>58</v>
      </c>
      <c r="F1310" s="84" t="s">
        <v>105</v>
      </c>
      <c r="G1310" s="161" t="s">
        <v>2104</v>
      </c>
      <c r="H1310" s="164" t="s">
        <v>2107</v>
      </c>
      <c r="I1310" s="163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8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1" t="s">
        <v>2339</v>
      </c>
      <c r="C1311" s="82" t="str">
        <f>VLOOKUP($B$7:$B$5000,SUM!$L$6:$L$500,1,FALSE)</f>
        <v>#N/A</v>
      </c>
      <c r="D1311" s="160" t="s">
        <v>1725</v>
      </c>
      <c r="E1311" s="100" t="s">
        <v>58</v>
      </c>
      <c r="F1311" s="84" t="s">
        <v>105</v>
      </c>
      <c r="G1311" s="161" t="s">
        <v>2104</v>
      </c>
      <c r="H1311" s="164" t="s">
        <v>2109</v>
      </c>
      <c r="I1311" s="163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8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31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1" t="s">
        <v>2340</v>
      </c>
      <c r="C1312" s="82" t="str">
        <f>VLOOKUP($B$7:$B$5000,SUM!$L$6:$L$500,1,FALSE)</f>
        <v>#N/A</v>
      </c>
      <c r="D1312" s="160" t="s">
        <v>1725</v>
      </c>
      <c r="E1312" s="100" t="s">
        <v>58</v>
      </c>
      <c r="F1312" s="84" t="s">
        <v>105</v>
      </c>
      <c r="G1312" s="161" t="s">
        <v>2104</v>
      </c>
      <c r="H1312" s="164" t="s">
        <v>2111</v>
      </c>
      <c r="I1312" s="163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8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1" t="s">
        <v>2341</v>
      </c>
      <c r="C1313" s="82" t="str">
        <f>VLOOKUP($B$7:$B$5000,SUM!$L$6:$L$500,1,FALSE)</f>
        <v>#N/A</v>
      </c>
      <c r="D1313" s="160" t="s">
        <v>1725</v>
      </c>
      <c r="E1313" s="100" t="s">
        <v>58</v>
      </c>
      <c r="F1313" s="84" t="s">
        <v>105</v>
      </c>
      <c r="G1313" s="161" t="s">
        <v>2104</v>
      </c>
      <c r="H1313" s="164" t="s">
        <v>2113</v>
      </c>
      <c r="I1313" s="163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8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31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1" t="s">
        <v>2342</v>
      </c>
      <c r="C1314" s="82" t="str">
        <f>VLOOKUP($B$7:$B$5000,SUM!$L$6:$L$500,1,FALSE)</f>
        <v>#N/A</v>
      </c>
      <c r="D1314" s="160" t="s">
        <v>1725</v>
      </c>
      <c r="E1314" s="100" t="s">
        <v>58</v>
      </c>
      <c r="F1314" s="84" t="s">
        <v>105</v>
      </c>
      <c r="G1314" s="161" t="s">
        <v>2115</v>
      </c>
      <c r="H1314" s="164" t="s">
        <v>2116</v>
      </c>
      <c r="I1314" s="163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8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31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1" t="s">
        <v>2343</v>
      </c>
      <c r="C1315" s="82" t="str">
        <f>VLOOKUP($B$7:$B$5000,SUM!$L$6:$L$500,1,FALSE)</f>
        <v>#N/A</v>
      </c>
      <c r="D1315" s="160" t="s">
        <v>1725</v>
      </c>
      <c r="E1315" s="100" t="s">
        <v>58</v>
      </c>
      <c r="F1315" s="84" t="s">
        <v>105</v>
      </c>
      <c r="G1315" s="161" t="s">
        <v>1761</v>
      </c>
      <c r="H1315" s="164" t="s">
        <v>2119</v>
      </c>
      <c r="I1315" s="163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8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31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1" t="s">
        <v>2346</v>
      </c>
      <c r="C1316" s="82" t="str">
        <f>VLOOKUP($B$7:$B$5000,SUM!$L$6:$L$500,1,FALSE)</f>
        <v>#N/A</v>
      </c>
      <c r="D1316" s="160" t="s">
        <v>1725</v>
      </c>
      <c r="E1316" s="100" t="s">
        <v>58</v>
      </c>
      <c r="F1316" s="84" t="s">
        <v>105</v>
      </c>
      <c r="G1316" s="161" t="s">
        <v>1761</v>
      </c>
      <c r="H1316" s="164" t="s">
        <v>2122</v>
      </c>
      <c r="I1316" s="163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8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31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1" t="s">
        <v>2348</v>
      </c>
      <c r="C1317" s="82" t="str">
        <f>VLOOKUP($B$7:$B$5000,SUM!$L$6:$L$500,1,FALSE)</f>
        <v>#N/A</v>
      </c>
      <c r="D1317" s="160" t="s">
        <v>1725</v>
      </c>
      <c r="E1317" s="100" t="s">
        <v>58</v>
      </c>
      <c r="F1317" s="84" t="s">
        <v>105</v>
      </c>
      <c r="G1317" s="161" t="s">
        <v>2124</v>
      </c>
      <c r="H1317" s="164" t="s">
        <v>2125</v>
      </c>
      <c r="I1317" s="163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8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31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1" t="s">
        <v>2350</v>
      </c>
      <c r="C1318" s="82" t="str">
        <f>VLOOKUP($B$7:$B$5000,SUM!$L$6:$L$500,1,FALSE)</f>
        <v>#N/A</v>
      </c>
      <c r="D1318" s="160" t="s">
        <v>1725</v>
      </c>
      <c r="E1318" s="100" t="s">
        <v>58</v>
      </c>
      <c r="F1318" s="84" t="s">
        <v>105</v>
      </c>
      <c r="G1318" s="161" t="s">
        <v>1761</v>
      </c>
      <c r="H1318" s="164" t="s">
        <v>2037</v>
      </c>
      <c r="I1318" s="163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8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1" t="s">
        <v>2352</v>
      </c>
      <c r="C1319" s="82" t="str">
        <f>VLOOKUP($B$7:$B$5000,SUM!$L$6:$L$500,1,FALSE)</f>
        <v>#N/A</v>
      </c>
      <c r="D1319" s="160" t="s">
        <v>1725</v>
      </c>
      <c r="E1319" s="100" t="s">
        <v>58</v>
      </c>
      <c r="F1319" s="84" t="s">
        <v>105</v>
      </c>
      <c r="G1319" s="161" t="s">
        <v>1761</v>
      </c>
      <c r="H1319" s="164" t="s">
        <v>2040</v>
      </c>
      <c r="I1319" s="163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8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1" t="s">
        <v>2353</v>
      </c>
      <c r="C1320" s="82" t="str">
        <f>VLOOKUP($B$7:$B$5000,SUM!$L$6:$L$500,1,FALSE)</f>
        <v>#N/A</v>
      </c>
      <c r="D1320" s="160" t="s">
        <v>1725</v>
      </c>
      <c r="E1320" s="100" t="s">
        <v>58</v>
      </c>
      <c r="F1320" s="84" t="s">
        <v>105</v>
      </c>
      <c r="G1320" s="161" t="s">
        <v>1761</v>
      </c>
      <c r="H1320" s="164" t="s">
        <v>2042</v>
      </c>
      <c r="I1320" s="163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8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1" t="s">
        <v>2354</v>
      </c>
      <c r="C1321" s="82" t="str">
        <f>VLOOKUP($B$7:$B$5000,SUM!$L$6:$L$500,1,FALSE)</f>
        <v>#N/A</v>
      </c>
      <c r="D1321" s="160" t="s">
        <v>1725</v>
      </c>
      <c r="E1321" s="100" t="s">
        <v>58</v>
      </c>
      <c r="F1321" s="84" t="s">
        <v>105</v>
      </c>
      <c r="G1321" s="161" t="s">
        <v>1761</v>
      </c>
      <c r="H1321" s="164" t="s">
        <v>2044</v>
      </c>
      <c r="I1321" s="163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8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1" t="s">
        <v>2355</v>
      </c>
      <c r="C1322" s="82" t="str">
        <f>VLOOKUP($B$7:$B$5000,SUM!$L$6:$L$500,1,FALSE)</f>
        <v>#N/A</v>
      </c>
      <c r="D1322" s="160" t="s">
        <v>1725</v>
      </c>
      <c r="E1322" s="100" t="s">
        <v>58</v>
      </c>
      <c r="F1322" s="84" t="s">
        <v>105</v>
      </c>
      <c r="G1322" s="161" t="s">
        <v>1761</v>
      </c>
      <c r="H1322" s="164" t="s">
        <v>2046</v>
      </c>
      <c r="I1322" s="163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8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1" t="s">
        <v>2356</v>
      </c>
      <c r="C1323" s="82" t="str">
        <f>VLOOKUP($B$7:$B$5000,SUM!$L$6:$L$500,1,FALSE)</f>
        <v>#N/A</v>
      </c>
      <c r="D1323" s="160" t="s">
        <v>1725</v>
      </c>
      <c r="E1323" s="100" t="s">
        <v>58</v>
      </c>
      <c r="F1323" s="84" t="s">
        <v>105</v>
      </c>
      <c r="G1323" s="161" t="s">
        <v>1761</v>
      </c>
      <c r="H1323" s="164" t="s">
        <v>2048</v>
      </c>
      <c r="I1323" s="163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8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1" t="s">
        <v>2357</v>
      </c>
      <c r="C1324" s="82" t="str">
        <f>VLOOKUP($B$7:$B$5000,SUM!$L$6:$L$500,1,FALSE)</f>
        <v>#N/A</v>
      </c>
      <c r="D1324" s="160" t="s">
        <v>1725</v>
      </c>
      <c r="E1324" s="100" t="s">
        <v>58</v>
      </c>
      <c r="F1324" s="84" t="s">
        <v>105</v>
      </c>
      <c r="G1324" s="161" t="s">
        <v>1761</v>
      </c>
      <c r="H1324" s="164" t="s">
        <v>2119</v>
      </c>
      <c r="I1324" s="163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8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1" t="s">
        <v>2359</v>
      </c>
      <c r="C1325" s="82" t="str">
        <f>VLOOKUP($B$7:$B$5000,SUM!$L$6:$L$500,1,FALSE)</f>
        <v>#N/A</v>
      </c>
      <c r="D1325" s="160" t="s">
        <v>1725</v>
      </c>
      <c r="E1325" s="100" t="s">
        <v>58</v>
      </c>
      <c r="F1325" s="84" t="s">
        <v>105</v>
      </c>
      <c r="G1325" s="161" t="s">
        <v>1761</v>
      </c>
      <c r="H1325" s="164" t="s">
        <v>2122</v>
      </c>
      <c r="I1325" s="163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8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1">
        <v>1320.0</v>
      </c>
      <c r="B1326" s="141" t="s">
        <v>2360</v>
      </c>
      <c r="C1326" s="82" t="str">
        <f>VLOOKUP($B$7:$B$5000,SUM!$L$6:$L$500,1,FALSE)</f>
        <v>#N/A</v>
      </c>
      <c r="D1326" s="81" t="s">
        <v>2361</v>
      </c>
      <c r="E1326" s="165" t="s">
        <v>58</v>
      </c>
      <c r="F1326" s="81" t="s">
        <v>105</v>
      </c>
      <c r="G1326" s="125" t="s">
        <v>2362</v>
      </c>
      <c r="H1326" s="81" t="s">
        <v>2363</v>
      </c>
      <c r="I1326" s="149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8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1">
        <v>1321.0</v>
      </c>
      <c r="B1327" s="141" t="s">
        <v>2365</v>
      </c>
      <c r="C1327" s="82" t="str">
        <f>VLOOKUP($B$7:$B$5000,SUM!$L$6:$L$500,1,FALSE)</f>
        <v>#N/A</v>
      </c>
      <c r="D1327" s="81" t="s">
        <v>2361</v>
      </c>
      <c r="E1327" s="165" t="s">
        <v>58</v>
      </c>
      <c r="F1327" s="81" t="s">
        <v>105</v>
      </c>
      <c r="G1327" s="125" t="s">
        <v>2362</v>
      </c>
      <c r="H1327" s="81" t="s">
        <v>2363</v>
      </c>
      <c r="I1327" s="149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8">
        <v>46134.0</v>
      </c>
      <c r="O1327" s="90" t="s">
        <v>67</v>
      </c>
      <c r="P1327" s="90" t="s">
        <v>68</v>
      </c>
      <c r="Q1327" s="150">
        <v>46165.0</v>
      </c>
      <c r="R1327" s="103" t="s">
        <v>597</v>
      </c>
      <c r="S1327" s="150">
        <v>46166.0</v>
      </c>
      <c r="T1327" s="103"/>
      <c r="U1327" s="90" t="s">
        <v>31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1">
        <v>1322.0</v>
      </c>
      <c r="B1328" s="141" t="s">
        <v>2367</v>
      </c>
      <c r="C1328" s="82" t="str">
        <f>VLOOKUP($B$7:$B$5000,SUM!$L$6:$L$500,1,FALSE)</f>
        <v>#N/A</v>
      </c>
      <c r="D1328" s="81" t="s">
        <v>2361</v>
      </c>
      <c r="E1328" s="165" t="s">
        <v>58</v>
      </c>
      <c r="F1328" s="81" t="s">
        <v>105</v>
      </c>
      <c r="G1328" s="125" t="s">
        <v>235</v>
      </c>
      <c r="H1328" s="81" t="s">
        <v>2368</v>
      </c>
      <c r="I1328" s="149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8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1">
        <v>1323.0</v>
      </c>
      <c r="B1329" s="141" t="s">
        <v>2370</v>
      </c>
      <c r="C1329" s="82" t="str">
        <f>VLOOKUP($B$7:$B$5000,SUM!$L$6:$L$500,1,FALSE)</f>
        <v>#N/A</v>
      </c>
      <c r="D1329" s="81" t="s">
        <v>2361</v>
      </c>
      <c r="E1329" s="165" t="s">
        <v>58</v>
      </c>
      <c r="F1329" s="81" t="s">
        <v>105</v>
      </c>
      <c r="G1329" s="125" t="s">
        <v>235</v>
      </c>
      <c r="H1329" s="81" t="s">
        <v>2371</v>
      </c>
      <c r="I1329" s="149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8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1">
        <v>1324.0</v>
      </c>
      <c r="B1330" s="141" t="s">
        <v>2372</v>
      </c>
      <c r="C1330" s="82" t="str">
        <f>VLOOKUP($B$7:$B$5000,SUM!$L$6:$L$500,1,FALSE)</f>
        <v>#N/A</v>
      </c>
      <c r="D1330" s="81" t="s">
        <v>2361</v>
      </c>
      <c r="E1330" s="165" t="s">
        <v>58</v>
      </c>
      <c r="F1330" s="81" t="s">
        <v>105</v>
      </c>
      <c r="G1330" s="125" t="s">
        <v>235</v>
      </c>
      <c r="H1330" s="81" t="s">
        <v>2373</v>
      </c>
      <c r="I1330" s="149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8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1">
        <v>1325.0</v>
      </c>
      <c r="B1331" s="141" t="s">
        <v>2374</v>
      </c>
      <c r="C1331" s="82" t="str">
        <f>VLOOKUP($B$7:$B$5000,SUM!$L$6:$L$500,1,FALSE)</f>
        <v>#N/A</v>
      </c>
      <c r="D1331" s="81" t="s">
        <v>2361</v>
      </c>
      <c r="E1331" s="165" t="s">
        <v>58</v>
      </c>
      <c r="F1331" s="81" t="s">
        <v>105</v>
      </c>
      <c r="G1331" s="125" t="s">
        <v>235</v>
      </c>
      <c r="H1331" s="81" t="s">
        <v>2375</v>
      </c>
      <c r="I1331" s="149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8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1">
        <v>1326.0</v>
      </c>
      <c r="B1332" s="141" t="s">
        <v>2376</v>
      </c>
      <c r="C1332" s="82" t="str">
        <f>VLOOKUP($B$7:$B$5000,SUM!$L$6:$L$500,1,FALSE)</f>
        <v>#N/A</v>
      </c>
      <c r="D1332" s="81" t="s">
        <v>2361</v>
      </c>
      <c r="E1332" s="165" t="s">
        <v>58</v>
      </c>
      <c r="F1332" s="81" t="s">
        <v>105</v>
      </c>
      <c r="G1332" s="125" t="s">
        <v>235</v>
      </c>
      <c r="H1332" s="81" t="s">
        <v>2377</v>
      </c>
      <c r="I1332" s="149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8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1">
        <v>1327.0</v>
      </c>
      <c r="B1333" s="141" t="s">
        <v>2378</v>
      </c>
      <c r="C1333" s="82" t="str">
        <f>VLOOKUP($B$7:$B$5000,SUM!$L$6:$L$500,1,FALSE)</f>
        <v>#N/A</v>
      </c>
      <c r="D1333" s="81" t="s">
        <v>2361</v>
      </c>
      <c r="E1333" s="165" t="s">
        <v>58</v>
      </c>
      <c r="F1333" s="81" t="s">
        <v>105</v>
      </c>
      <c r="G1333" s="125" t="s">
        <v>235</v>
      </c>
      <c r="H1333" s="81" t="s">
        <v>2379</v>
      </c>
      <c r="I1333" s="149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8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1">
        <v>1328.0</v>
      </c>
      <c r="B1334" s="141" t="s">
        <v>2380</v>
      </c>
      <c r="C1334" s="82" t="str">
        <f>VLOOKUP($B$7:$B$5000,SUM!$L$6:$L$500,1,FALSE)</f>
        <v>#N/A</v>
      </c>
      <c r="D1334" s="81" t="s">
        <v>2361</v>
      </c>
      <c r="E1334" s="165" t="s">
        <v>58</v>
      </c>
      <c r="F1334" s="81" t="s">
        <v>105</v>
      </c>
      <c r="G1334" s="125" t="s">
        <v>235</v>
      </c>
      <c r="H1334" s="81" t="s">
        <v>2381</v>
      </c>
      <c r="I1334" s="149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8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1">
        <v>1329.0</v>
      </c>
      <c r="B1335" s="141" t="s">
        <v>2382</v>
      </c>
      <c r="C1335" s="82" t="str">
        <f>VLOOKUP($B$7:$B$5000,SUM!$L$6:$L$500,1,FALSE)</f>
        <v>#N/A</v>
      </c>
      <c r="D1335" s="81" t="s">
        <v>2361</v>
      </c>
      <c r="E1335" s="165" t="s">
        <v>58</v>
      </c>
      <c r="F1335" s="81" t="s">
        <v>105</v>
      </c>
      <c r="G1335" s="125" t="s">
        <v>235</v>
      </c>
      <c r="H1335" s="81" t="s">
        <v>2383</v>
      </c>
      <c r="I1335" s="149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8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1">
        <v>1330.0</v>
      </c>
      <c r="B1336" s="141" t="s">
        <v>2384</v>
      </c>
      <c r="C1336" s="82" t="str">
        <f>VLOOKUP($B$7:$B$5000,SUM!$L$6:$L$500,1,FALSE)</f>
        <v>#N/A</v>
      </c>
      <c r="D1336" s="81" t="s">
        <v>2361</v>
      </c>
      <c r="E1336" s="165" t="s">
        <v>58</v>
      </c>
      <c r="F1336" s="81" t="s">
        <v>105</v>
      </c>
      <c r="G1336" s="125" t="s">
        <v>235</v>
      </c>
      <c r="H1336" s="81" t="s">
        <v>2385</v>
      </c>
      <c r="I1336" s="149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8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1">
        <v>1331.0</v>
      </c>
      <c r="B1337" s="141" t="s">
        <v>2386</v>
      </c>
      <c r="C1337" s="82" t="str">
        <f>VLOOKUP($B$7:$B$5000,SUM!$L$6:$L$500,1,FALSE)</f>
        <v>#N/A</v>
      </c>
      <c r="D1337" s="81" t="s">
        <v>2361</v>
      </c>
      <c r="E1337" s="165" t="s">
        <v>58</v>
      </c>
      <c r="F1337" s="81" t="s">
        <v>105</v>
      </c>
      <c r="G1337" s="125" t="s">
        <v>235</v>
      </c>
      <c r="H1337" s="81" t="s">
        <v>2387</v>
      </c>
      <c r="I1337" s="149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8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1">
        <v>1332.0</v>
      </c>
      <c r="B1338" s="141" t="s">
        <v>2388</v>
      </c>
      <c r="C1338" s="82" t="str">
        <f>VLOOKUP($B$7:$B$5000,SUM!$L$6:$L$500,1,FALSE)</f>
        <v>#N/A</v>
      </c>
      <c r="D1338" s="81" t="s">
        <v>2361</v>
      </c>
      <c r="E1338" s="165" t="s">
        <v>58</v>
      </c>
      <c r="F1338" s="81" t="s">
        <v>105</v>
      </c>
      <c r="G1338" s="125" t="s">
        <v>235</v>
      </c>
      <c r="H1338" s="81" t="s">
        <v>2389</v>
      </c>
      <c r="I1338" s="149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8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1">
        <v>1333.0</v>
      </c>
      <c r="B1339" s="141" t="s">
        <v>2390</v>
      </c>
      <c r="C1339" s="82" t="str">
        <f>VLOOKUP($B$7:$B$5000,SUM!$L$6:$L$500,1,FALSE)</f>
        <v>#N/A</v>
      </c>
      <c r="D1339" s="81" t="s">
        <v>2361</v>
      </c>
      <c r="E1339" s="165" t="s">
        <v>58</v>
      </c>
      <c r="F1339" s="81" t="s">
        <v>105</v>
      </c>
      <c r="G1339" s="125" t="s">
        <v>235</v>
      </c>
      <c r="H1339" s="81" t="s">
        <v>2391</v>
      </c>
      <c r="I1339" s="149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8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1">
        <v>1334.0</v>
      </c>
      <c r="B1340" s="141" t="s">
        <v>2392</v>
      </c>
      <c r="C1340" s="82" t="str">
        <f>VLOOKUP($B$7:$B$5000,SUM!$L$6:$L$500,1,FALSE)</f>
        <v>#N/A</v>
      </c>
      <c r="D1340" s="81" t="s">
        <v>2361</v>
      </c>
      <c r="E1340" s="165" t="s">
        <v>58</v>
      </c>
      <c r="F1340" s="81" t="s">
        <v>105</v>
      </c>
      <c r="G1340" s="125" t="s">
        <v>235</v>
      </c>
      <c r="H1340" s="81" t="s">
        <v>2393</v>
      </c>
      <c r="I1340" s="149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8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1">
        <v>1335.0</v>
      </c>
      <c r="B1341" s="141" t="s">
        <v>2394</v>
      </c>
      <c r="C1341" s="82" t="str">
        <f>VLOOKUP($B$7:$B$5000,SUM!$L$6:$L$500,1,FALSE)</f>
        <v>#N/A</v>
      </c>
      <c r="D1341" s="81" t="s">
        <v>2361</v>
      </c>
      <c r="E1341" s="165" t="s">
        <v>58</v>
      </c>
      <c r="F1341" s="81" t="s">
        <v>105</v>
      </c>
      <c r="G1341" s="125" t="s">
        <v>235</v>
      </c>
      <c r="H1341" s="81" t="s">
        <v>2395</v>
      </c>
      <c r="I1341" s="149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8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1">
        <v>1336.0</v>
      </c>
      <c r="B1342" s="141" t="s">
        <v>2396</v>
      </c>
      <c r="C1342" s="82" t="str">
        <f>VLOOKUP($B$7:$B$5000,SUM!$L$6:$L$500,1,FALSE)</f>
        <v>#N/A</v>
      </c>
      <c r="D1342" s="81" t="s">
        <v>2361</v>
      </c>
      <c r="E1342" s="165" t="s">
        <v>58</v>
      </c>
      <c r="F1342" s="81" t="s">
        <v>105</v>
      </c>
      <c r="G1342" s="125" t="s">
        <v>235</v>
      </c>
      <c r="H1342" s="81" t="s">
        <v>2397</v>
      </c>
      <c r="I1342" s="149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8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1">
        <v>1337.0</v>
      </c>
      <c r="B1343" s="141" t="s">
        <v>2398</v>
      </c>
      <c r="C1343" s="82" t="str">
        <f>VLOOKUP($B$7:$B$5000,SUM!$L$6:$L$500,1,FALSE)</f>
        <v>#N/A</v>
      </c>
      <c r="D1343" s="81" t="s">
        <v>2361</v>
      </c>
      <c r="E1343" s="165" t="s">
        <v>58</v>
      </c>
      <c r="F1343" s="81" t="s">
        <v>105</v>
      </c>
      <c r="G1343" s="125" t="s">
        <v>235</v>
      </c>
      <c r="H1343" s="81" t="s">
        <v>2399</v>
      </c>
      <c r="I1343" s="149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8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1">
        <v>1338.0</v>
      </c>
      <c r="B1344" s="141" t="s">
        <v>2400</v>
      </c>
      <c r="C1344" s="82" t="str">
        <f>VLOOKUP($B$7:$B$5000,SUM!$L$6:$L$500,1,FALSE)</f>
        <v>#N/A</v>
      </c>
      <c r="D1344" s="81" t="s">
        <v>2361</v>
      </c>
      <c r="E1344" s="165" t="s">
        <v>58</v>
      </c>
      <c r="F1344" s="81" t="s">
        <v>105</v>
      </c>
      <c r="G1344" s="125" t="s">
        <v>235</v>
      </c>
      <c r="H1344" s="81" t="s">
        <v>2401</v>
      </c>
      <c r="I1344" s="149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8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1">
        <v>1339.0</v>
      </c>
      <c r="B1345" s="141" t="s">
        <v>2402</v>
      </c>
      <c r="C1345" s="82" t="str">
        <f>VLOOKUP($B$7:$B$5000,SUM!$L$6:$L$500,1,FALSE)</f>
        <v>#N/A</v>
      </c>
      <c r="D1345" s="81" t="s">
        <v>2361</v>
      </c>
      <c r="E1345" s="165" t="s">
        <v>58</v>
      </c>
      <c r="F1345" s="81" t="s">
        <v>105</v>
      </c>
      <c r="G1345" s="125" t="s">
        <v>235</v>
      </c>
      <c r="H1345" s="81" t="s">
        <v>2403</v>
      </c>
      <c r="I1345" s="149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8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1">
        <v>1340.0</v>
      </c>
      <c r="B1346" s="141" t="s">
        <v>2404</v>
      </c>
      <c r="C1346" s="82" t="str">
        <f>VLOOKUP($B$7:$B$5000,SUM!$L$6:$L$500,1,FALSE)</f>
        <v>#N/A</v>
      </c>
      <c r="D1346" s="81" t="s">
        <v>2361</v>
      </c>
      <c r="E1346" s="165" t="s">
        <v>58</v>
      </c>
      <c r="F1346" s="81" t="s">
        <v>105</v>
      </c>
      <c r="G1346" s="125" t="s">
        <v>235</v>
      </c>
      <c r="H1346" s="81" t="s">
        <v>2368</v>
      </c>
      <c r="I1346" s="149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8">
        <v>46134.0</v>
      </c>
      <c r="O1346" s="90" t="s">
        <v>67</v>
      </c>
      <c r="P1346" s="90" t="s">
        <v>68</v>
      </c>
      <c r="Q1346" s="154" t="s">
        <v>2132</v>
      </c>
      <c r="R1346" s="154" t="s">
        <v>66</v>
      </c>
      <c r="S1346" s="155">
        <v>46189.0</v>
      </c>
      <c r="T1346" s="156"/>
      <c r="U1346" s="154" t="s">
        <v>31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1">
        <v>1341.0</v>
      </c>
      <c r="B1347" s="141" t="s">
        <v>2406</v>
      </c>
      <c r="C1347" s="82" t="str">
        <f>VLOOKUP($B$7:$B$5000,SUM!$L$6:$L$500,1,FALSE)</f>
        <v>#N/A</v>
      </c>
      <c r="D1347" s="81" t="s">
        <v>2361</v>
      </c>
      <c r="E1347" s="165" t="s">
        <v>58</v>
      </c>
      <c r="F1347" s="81" t="s">
        <v>105</v>
      </c>
      <c r="G1347" s="125" t="s">
        <v>235</v>
      </c>
      <c r="H1347" s="81" t="s">
        <v>2371</v>
      </c>
      <c r="I1347" s="149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8">
        <v>46134.0</v>
      </c>
      <c r="O1347" s="90" t="s">
        <v>67</v>
      </c>
      <c r="P1347" s="90" t="s">
        <v>68</v>
      </c>
      <c r="Q1347" s="154" t="s">
        <v>2132</v>
      </c>
      <c r="R1347" s="154" t="s">
        <v>66</v>
      </c>
      <c r="S1347" s="155">
        <v>46189.0</v>
      </c>
      <c r="T1347" s="156"/>
      <c r="U1347" s="154" t="s">
        <v>31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1">
        <v>1342.0</v>
      </c>
      <c r="B1348" s="141" t="s">
        <v>2407</v>
      </c>
      <c r="C1348" s="82" t="str">
        <f>VLOOKUP($B$7:$B$5000,SUM!$L$6:$L$500,1,FALSE)</f>
        <v>#N/A</v>
      </c>
      <c r="D1348" s="81" t="s">
        <v>2361</v>
      </c>
      <c r="E1348" s="165" t="s">
        <v>58</v>
      </c>
      <c r="F1348" s="81" t="s">
        <v>105</v>
      </c>
      <c r="G1348" s="125" t="s">
        <v>235</v>
      </c>
      <c r="H1348" s="81" t="s">
        <v>2373</v>
      </c>
      <c r="I1348" s="149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8">
        <v>46134.0</v>
      </c>
      <c r="O1348" s="90" t="s">
        <v>67</v>
      </c>
      <c r="P1348" s="90" t="s">
        <v>68</v>
      </c>
      <c r="Q1348" s="154" t="s">
        <v>2132</v>
      </c>
      <c r="R1348" s="154" t="s">
        <v>66</v>
      </c>
      <c r="S1348" s="155">
        <v>46189.0</v>
      </c>
      <c r="T1348" s="156"/>
      <c r="U1348" s="154" t="s">
        <v>31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1">
        <v>1343.0</v>
      </c>
      <c r="B1349" s="141" t="s">
        <v>2408</v>
      </c>
      <c r="C1349" s="82" t="str">
        <f>VLOOKUP($B$7:$B$5000,SUM!$L$6:$L$500,1,FALSE)</f>
        <v>#N/A</v>
      </c>
      <c r="D1349" s="81" t="s">
        <v>2361</v>
      </c>
      <c r="E1349" s="165" t="s">
        <v>58</v>
      </c>
      <c r="F1349" s="81" t="s">
        <v>105</v>
      </c>
      <c r="G1349" s="125" t="s">
        <v>235</v>
      </c>
      <c r="H1349" s="81" t="s">
        <v>2375</v>
      </c>
      <c r="I1349" s="149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8">
        <v>46134.0</v>
      </c>
      <c r="O1349" s="90" t="s">
        <v>67</v>
      </c>
      <c r="P1349" s="90" t="s">
        <v>68</v>
      </c>
      <c r="Q1349" s="154" t="s">
        <v>2132</v>
      </c>
      <c r="R1349" s="154" t="s">
        <v>66</v>
      </c>
      <c r="S1349" s="155">
        <v>46189.0</v>
      </c>
      <c r="T1349" s="156"/>
      <c r="U1349" s="154" t="s">
        <v>31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1">
        <v>1344.0</v>
      </c>
      <c r="B1350" s="141" t="s">
        <v>2409</v>
      </c>
      <c r="C1350" s="82" t="str">
        <f>VLOOKUP($B$7:$B$5000,SUM!$L$6:$L$500,1,FALSE)</f>
        <v>#N/A</v>
      </c>
      <c r="D1350" s="81" t="s">
        <v>2361</v>
      </c>
      <c r="E1350" s="165" t="s">
        <v>58</v>
      </c>
      <c r="F1350" s="81" t="s">
        <v>105</v>
      </c>
      <c r="G1350" s="125" t="s">
        <v>235</v>
      </c>
      <c r="H1350" s="81" t="s">
        <v>2377</v>
      </c>
      <c r="I1350" s="149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8">
        <v>46134.0</v>
      </c>
      <c r="O1350" s="90" t="s">
        <v>67</v>
      </c>
      <c r="P1350" s="90" t="s">
        <v>68</v>
      </c>
      <c r="Q1350" s="154" t="s">
        <v>2132</v>
      </c>
      <c r="R1350" s="154" t="s">
        <v>66</v>
      </c>
      <c r="S1350" s="155">
        <v>46189.0</v>
      </c>
      <c r="T1350" s="156"/>
      <c r="U1350" s="154" t="s">
        <v>31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1">
        <v>1345.0</v>
      </c>
      <c r="B1351" s="141" t="s">
        <v>2410</v>
      </c>
      <c r="C1351" s="82" t="str">
        <f>VLOOKUP($B$7:$B$5000,SUM!$L$6:$L$500,1,FALSE)</f>
        <v>#N/A</v>
      </c>
      <c r="D1351" s="81" t="s">
        <v>2361</v>
      </c>
      <c r="E1351" s="165" t="s">
        <v>58</v>
      </c>
      <c r="F1351" s="81" t="s">
        <v>105</v>
      </c>
      <c r="G1351" s="125" t="s">
        <v>235</v>
      </c>
      <c r="H1351" s="81" t="s">
        <v>2379</v>
      </c>
      <c r="I1351" s="149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8">
        <v>46134.0</v>
      </c>
      <c r="O1351" s="90" t="s">
        <v>67</v>
      </c>
      <c r="P1351" s="90" t="s">
        <v>68</v>
      </c>
      <c r="Q1351" s="154" t="s">
        <v>2132</v>
      </c>
      <c r="R1351" s="154" t="s">
        <v>66</v>
      </c>
      <c r="S1351" s="155">
        <v>46189.0</v>
      </c>
      <c r="T1351" s="156"/>
      <c r="U1351" s="154" t="s">
        <v>31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1">
        <v>1346.0</v>
      </c>
      <c r="B1352" s="141" t="s">
        <v>2411</v>
      </c>
      <c r="C1352" s="82" t="str">
        <f>VLOOKUP($B$7:$B$5000,SUM!$L$6:$L$500,1,FALSE)</f>
        <v>#N/A</v>
      </c>
      <c r="D1352" s="81" t="s">
        <v>2361</v>
      </c>
      <c r="E1352" s="165" t="s">
        <v>58</v>
      </c>
      <c r="F1352" s="81" t="s">
        <v>105</v>
      </c>
      <c r="G1352" s="125" t="s">
        <v>235</v>
      </c>
      <c r="H1352" s="81" t="s">
        <v>2381</v>
      </c>
      <c r="I1352" s="149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8">
        <v>46134.0</v>
      </c>
      <c r="O1352" s="90" t="s">
        <v>67</v>
      </c>
      <c r="P1352" s="90" t="s">
        <v>68</v>
      </c>
      <c r="Q1352" s="154" t="s">
        <v>2132</v>
      </c>
      <c r="R1352" s="154" t="s">
        <v>66</v>
      </c>
      <c r="S1352" s="155">
        <v>46189.0</v>
      </c>
      <c r="T1352" s="156"/>
      <c r="U1352" s="154" t="s">
        <v>31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1">
        <v>1347.0</v>
      </c>
      <c r="B1353" s="141" t="s">
        <v>2412</v>
      </c>
      <c r="C1353" s="82" t="str">
        <f>VLOOKUP($B$7:$B$5000,SUM!$L$6:$L$500,1,FALSE)</f>
        <v>#N/A</v>
      </c>
      <c r="D1353" s="81" t="s">
        <v>2361</v>
      </c>
      <c r="E1353" s="165" t="s">
        <v>58</v>
      </c>
      <c r="F1353" s="81" t="s">
        <v>105</v>
      </c>
      <c r="G1353" s="125" t="s">
        <v>235</v>
      </c>
      <c r="H1353" s="81" t="s">
        <v>2383</v>
      </c>
      <c r="I1353" s="149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8">
        <v>46134.0</v>
      </c>
      <c r="O1353" s="90" t="s">
        <v>67</v>
      </c>
      <c r="P1353" s="90" t="s">
        <v>68</v>
      </c>
      <c r="Q1353" s="154" t="s">
        <v>2132</v>
      </c>
      <c r="R1353" s="154" t="s">
        <v>66</v>
      </c>
      <c r="S1353" s="155">
        <v>46189.0</v>
      </c>
      <c r="T1353" s="156"/>
      <c r="U1353" s="154" t="s">
        <v>31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1">
        <v>1348.0</v>
      </c>
      <c r="B1354" s="141" t="s">
        <v>2413</v>
      </c>
      <c r="C1354" s="82" t="str">
        <f>VLOOKUP($B$7:$B$5000,SUM!$L$6:$L$500,1,FALSE)</f>
        <v>#N/A</v>
      </c>
      <c r="D1354" s="81" t="s">
        <v>2361</v>
      </c>
      <c r="E1354" s="165" t="s">
        <v>58</v>
      </c>
      <c r="F1354" s="81" t="s">
        <v>105</v>
      </c>
      <c r="G1354" s="125" t="s">
        <v>235</v>
      </c>
      <c r="H1354" s="81" t="s">
        <v>2385</v>
      </c>
      <c r="I1354" s="149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8">
        <v>46134.0</v>
      </c>
      <c r="O1354" s="90" t="s">
        <v>67</v>
      </c>
      <c r="P1354" s="90" t="s">
        <v>68</v>
      </c>
      <c r="Q1354" s="154" t="s">
        <v>2132</v>
      </c>
      <c r="R1354" s="154" t="s">
        <v>66</v>
      </c>
      <c r="S1354" s="155">
        <v>46189.0</v>
      </c>
      <c r="T1354" s="156"/>
      <c r="U1354" s="154" t="s">
        <v>31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1">
        <v>1349.0</v>
      </c>
      <c r="B1355" s="141" t="s">
        <v>2414</v>
      </c>
      <c r="C1355" s="82" t="str">
        <f>VLOOKUP($B$7:$B$5000,SUM!$L$6:$L$500,1,FALSE)</f>
        <v>#N/A</v>
      </c>
      <c r="D1355" s="81" t="s">
        <v>2361</v>
      </c>
      <c r="E1355" s="165" t="s">
        <v>58</v>
      </c>
      <c r="F1355" s="81" t="s">
        <v>105</v>
      </c>
      <c r="G1355" s="125" t="s">
        <v>235</v>
      </c>
      <c r="H1355" s="79" t="s">
        <v>2387</v>
      </c>
      <c r="I1355" s="149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8">
        <v>46134.0</v>
      </c>
      <c r="O1355" s="90" t="s">
        <v>67</v>
      </c>
      <c r="P1355" s="90" t="s">
        <v>68</v>
      </c>
      <c r="Q1355" s="154" t="s">
        <v>2132</v>
      </c>
      <c r="R1355" s="154" t="s">
        <v>66</v>
      </c>
      <c r="S1355" s="155">
        <v>46189.0</v>
      </c>
      <c r="T1355" s="156"/>
      <c r="U1355" s="154" t="s">
        <v>31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1">
        <v>1350.0</v>
      </c>
      <c r="B1356" s="141" t="s">
        <v>2415</v>
      </c>
      <c r="C1356" s="82" t="str">
        <f>VLOOKUP($B$7:$B$5000,SUM!$L$6:$L$500,1,FALSE)</f>
        <v>#N/A</v>
      </c>
      <c r="D1356" s="81" t="s">
        <v>2361</v>
      </c>
      <c r="E1356" s="165" t="s">
        <v>58</v>
      </c>
      <c r="F1356" s="81" t="s">
        <v>105</v>
      </c>
      <c r="G1356" s="125" t="s">
        <v>235</v>
      </c>
      <c r="H1356" s="81" t="s">
        <v>2389</v>
      </c>
      <c r="I1356" s="149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8">
        <v>46134.0</v>
      </c>
      <c r="O1356" s="90" t="s">
        <v>67</v>
      </c>
      <c r="P1356" s="90" t="s">
        <v>68</v>
      </c>
      <c r="Q1356" s="154" t="s">
        <v>2132</v>
      </c>
      <c r="R1356" s="154" t="s">
        <v>66</v>
      </c>
      <c r="S1356" s="155">
        <v>46189.0</v>
      </c>
      <c r="T1356" s="156"/>
      <c r="U1356" s="154" t="s">
        <v>31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1">
        <v>1351.0</v>
      </c>
      <c r="B1357" s="141" t="s">
        <v>2416</v>
      </c>
      <c r="C1357" s="82" t="str">
        <f>VLOOKUP($B$7:$B$5000,SUM!$L$6:$L$500,1,FALSE)</f>
        <v>#N/A</v>
      </c>
      <c r="D1357" s="81" t="s">
        <v>2361</v>
      </c>
      <c r="E1357" s="165" t="s">
        <v>58</v>
      </c>
      <c r="F1357" s="81" t="s">
        <v>105</v>
      </c>
      <c r="G1357" s="125" t="s">
        <v>235</v>
      </c>
      <c r="H1357" s="81" t="s">
        <v>2391</v>
      </c>
      <c r="I1357" s="149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8">
        <v>46134.0</v>
      </c>
      <c r="O1357" s="90" t="s">
        <v>67</v>
      </c>
      <c r="P1357" s="90" t="s">
        <v>68</v>
      </c>
      <c r="Q1357" s="154" t="s">
        <v>2132</v>
      </c>
      <c r="R1357" s="154" t="s">
        <v>66</v>
      </c>
      <c r="S1357" s="155">
        <v>46189.0</v>
      </c>
      <c r="T1357" s="156"/>
      <c r="U1357" s="154" t="s">
        <v>31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1">
        <v>1352.0</v>
      </c>
      <c r="B1358" s="141" t="s">
        <v>2417</v>
      </c>
      <c r="C1358" s="82" t="str">
        <f>VLOOKUP($B$7:$B$5000,SUM!$L$6:$L$500,1,FALSE)</f>
        <v>#N/A</v>
      </c>
      <c r="D1358" s="81" t="s">
        <v>2361</v>
      </c>
      <c r="E1358" s="165" t="s">
        <v>58</v>
      </c>
      <c r="F1358" s="81" t="s">
        <v>105</v>
      </c>
      <c r="G1358" s="125" t="s">
        <v>235</v>
      </c>
      <c r="H1358" s="81" t="s">
        <v>2393</v>
      </c>
      <c r="I1358" s="149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8">
        <v>46134.0</v>
      </c>
      <c r="O1358" s="90" t="s">
        <v>67</v>
      </c>
      <c r="P1358" s="90" t="s">
        <v>68</v>
      </c>
      <c r="Q1358" s="154" t="s">
        <v>2132</v>
      </c>
      <c r="R1358" s="154" t="s">
        <v>66</v>
      </c>
      <c r="S1358" s="155">
        <v>46189.0</v>
      </c>
      <c r="T1358" s="156"/>
      <c r="U1358" s="154" t="s">
        <v>31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1">
        <v>1353.0</v>
      </c>
      <c r="B1359" s="141" t="s">
        <v>2418</v>
      </c>
      <c r="C1359" s="82" t="str">
        <f>VLOOKUP($B$7:$B$5000,SUM!$L$6:$L$500,1,FALSE)</f>
        <v>#N/A</v>
      </c>
      <c r="D1359" s="81" t="s">
        <v>2361</v>
      </c>
      <c r="E1359" s="165" t="s">
        <v>58</v>
      </c>
      <c r="F1359" s="81" t="s">
        <v>105</v>
      </c>
      <c r="G1359" s="125" t="s">
        <v>235</v>
      </c>
      <c r="H1359" s="81" t="s">
        <v>2395</v>
      </c>
      <c r="I1359" s="149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8">
        <v>46134.0</v>
      </c>
      <c r="O1359" s="90" t="s">
        <v>67</v>
      </c>
      <c r="P1359" s="90" t="s">
        <v>68</v>
      </c>
      <c r="Q1359" s="154" t="s">
        <v>2132</v>
      </c>
      <c r="R1359" s="154" t="s">
        <v>66</v>
      </c>
      <c r="S1359" s="155">
        <v>46189.0</v>
      </c>
      <c r="T1359" s="156"/>
      <c r="U1359" s="154" t="s">
        <v>31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1">
        <v>1354.0</v>
      </c>
      <c r="B1360" s="141" t="s">
        <v>2419</v>
      </c>
      <c r="C1360" s="82" t="str">
        <f>VLOOKUP($B$7:$B$5000,SUM!$L$6:$L$500,1,FALSE)</f>
        <v>#N/A</v>
      </c>
      <c r="D1360" s="81" t="s">
        <v>2361</v>
      </c>
      <c r="E1360" s="165" t="s">
        <v>58</v>
      </c>
      <c r="F1360" s="81" t="s">
        <v>105</v>
      </c>
      <c r="G1360" s="125" t="s">
        <v>235</v>
      </c>
      <c r="H1360" s="81" t="s">
        <v>2397</v>
      </c>
      <c r="I1360" s="149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8">
        <v>46134.0</v>
      </c>
      <c r="O1360" s="90" t="s">
        <v>67</v>
      </c>
      <c r="P1360" s="90" t="s">
        <v>68</v>
      </c>
      <c r="Q1360" s="154" t="s">
        <v>2132</v>
      </c>
      <c r="R1360" s="154" t="s">
        <v>66</v>
      </c>
      <c r="S1360" s="155">
        <v>46189.0</v>
      </c>
      <c r="T1360" s="156"/>
      <c r="U1360" s="154" t="s">
        <v>31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1">
        <v>1355.0</v>
      </c>
      <c r="B1361" s="141" t="s">
        <v>2420</v>
      </c>
      <c r="C1361" s="82" t="str">
        <f>VLOOKUP($B$7:$B$5000,SUM!$L$6:$L$500,1,FALSE)</f>
        <v>#N/A</v>
      </c>
      <c r="D1361" s="81" t="s">
        <v>2361</v>
      </c>
      <c r="E1361" s="165" t="s">
        <v>58</v>
      </c>
      <c r="F1361" s="81" t="s">
        <v>105</v>
      </c>
      <c r="G1361" s="125" t="s">
        <v>235</v>
      </c>
      <c r="H1361" s="81" t="s">
        <v>2399</v>
      </c>
      <c r="I1361" s="149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8">
        <v>46134.0</v>
      </c>
      <c r="O1361" s="90" t="s">
        <v>67</v>
      </c>
      <c r="P1361" s="90" t="s">
        <v>68</v>
      </c>
      <c r="Q1361" s="154" t="s">
        <v>2132</v>
      </c>
      <c r="R1361" s="154" t="s">
        <v>66</v>
      </c>
      <c r="S1361" s="155">
        <v>46189.0</v>
      </c>
      <c r="T1361" s="156"/>
      <c r="U1361" s="154" t="s">
        <v>31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1">
        <v>1356.0</v>
      </c>
      <c r="B1362" s="141" t="s">
        <v>2421</v>
      </c>
      <c r="C1362" s="82" t="str">
        <f>VLOOKUP($B$7:$B$5000,SUM!$L$6:$L$500,1,FALSE)</f>
        <v>#N/A</v>
      </c>
      <c r="D1362" s="81" t="s">
        <v>2361</v>
      </c>
      <c r="E1362" s="165" t="s">
        <v>58</v>
      </c>
      <c r="F1362" s="81" t="s">
        <v>105</v>
      </c>
      <c r="G1362" s="125" t="s">
        <v>235</v>
      </c>
      <c r="H1362" s="81" t="s">
        <v>2401</v>
      </c>
      <c r="I1362" s="149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8">
        <v>46134.0</v>
      </c>
      <c r="O1362" s="90" t="s">
        <v>67</v>
      </c>
      <c r="P1362" s="90" t="s">
        <v>68</v>
      </c>
      <c r="Q1362" s="154" t="s">
        <v>2132</v>
      </c>
      <c r="R1362" s="154" t="s">
        <v>66</v>
      </c>
      <c r="S1362" s="155">
        <v>46189.0</v>
      </c>
      <c r="T1362" s="156"/>
      <c r="U1362" s="154" t="s">
        <v>31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1">
        <v>1357.0</v>
      </c>
      <c r="B1363" s="141" t="s">
        <v>2422</v>
      </c>
      <c r="C1363" s="82" t="str">
        <f>VLOOKUP($B$7:$B$5000,SUM!$L$6:$L$500,1,FALSE)</f>
        <v>#N/A</v>
      </c>
      <c r="D1363" s="81" t="s">
        <v>2361</v>
      </c>
      <c r="E1363" s="165" t="s">
        <v>58</v>
      </c>
      <c r="F1363" s="81" t="s">
        <v>105</v>
      </c>
      <c r="G1363" s="125" t="s">
        <v>235</v>
      </c>
      <c r="H1363" s="81" t="s">
        <v>2403</v>
      </c>
      <c r="I1363" s="149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8">
        <v>46134.0</v>
      </c>
      <c r="O1363" s="90" t="s">
        <v>67</v>
      </c>
      <c r="P1363" s="90" t="s">
        <v>68</v>
      </c>
      <c r="Q1363" s="154" t="s">
        <v>2132</v>
      </c>
      <c r="R1363" s="154" t="s">
        <v>66</v>
      </c>
      <c r="S1363" s="155">
        <v>46189.0</v>
      </c>
      <c r="T1363" s="156"/>
      <c r="U1363" s="154" t="s">
        <v>31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1">
        <v>1358.0</v>
      </c>
      <c r="B1364" s="141" t="s">
        <v>2423</v>
      </c>
      <c r="C1364" s="82" t="str">
        <f>VLOOKUP($B$7:$B$5000,SUM!$L$6:$L$500,1,FALSE)</f>
        <v>#N/A</v>
      </c>
      <c r="D1364" s="81" t="s">
        <v>2361</v>
      </c>
      <c r="E1364" s="165" t="s">
        <v>58</v>
      </c>
      <c r="F1364" s="81" t="s">
        <v>105</v>
      </c>
      <c r="G1364" s="125" t="s">
        <v>235</v>
      </c>
      <c r="H1364" s="81" t="s">
        <v>2368</v>
      </c>
      <c r="I1364" s="149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8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1">
        <v>1359.0</v>
      </c>
      <c r="B1365" s="141" t="s">
        <v>2425</v>
      </c>
      <c r="C1365" s="82" t="str">
        <f>VLOOKUP($B$7:$B$5000,SUM!$L$6:$L$500,1,FALSE)</f>
        <v>#N/A</v>
      </c>
      <c r="D1365" s="81" t="s">
        <v>2361</v>
      </c>
      <c r="E1365" s="165" t="s">
        <v>58</v>
      </c>
      <c r="F1365" s="81" t="s">
        <v>105</v>
      </c>
      <c r="G1365" s="125" t="s">
        <v>235</v>
      </c>
      <c r="H1365" s="81" t="s">
        <v>2371</v>
      </c>
      <c r="I1365" s="149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8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1">
        <v>1360.0</v>
      </c>
      <c r="B1366" s="141" t="s">
        <v>2426</v>
      </c>
      <c r="C1366" s="82" t="str">
        <f>VLOOKUP($B$7:$B$5000,SUM!$L$6:$L$500,1,FALSE)</f>
        <v>#N/A</v>
      </c>
      <c r="D1366" s="81" t="s">
        <v>2361</v>
      </c>
      <c r="E1366" s="165" t="s">
        <v>58</v>
      </c>
      <c r="F1366" s="81" t="s">
        <v>105</v>
      </c>
      <c r="G1366" s="125" t="s">
        <v>235</v>
      </c>
      <c r="H1366" s="81" t="s">
        <v>2373</v>
      </c>
      <c r="I1366" s="149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8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1">
        <v>1361.0</v>
      </c>
      <c r="B1367" s="141" t="s">
        <v>2427</v>
      </c>
      <c r="C1367" s="82" t="str">
        <f>VLOOKUP($B$7:$B$5000,SUM!$L$6:$L$500,1,FALSE)</f>
        <v>#N/A</v>
      </c>
      <c r="D1367" s="81" t="s">
        <v>2361</v>
      </c>
      <c r="E1367" s="165" t="s">
        <v>58</v>
      </c>
      <c r="F1367" s="81" t="s">
        <v>105</v>
      </c>
      <c r="G1367" s="125" t="s">
        <v>235</v>
      </c>
      <c r="H1367" s="81" t="s">
        <v>2375</v>
      </c>
      <c r="I1367" s="149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8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1">
        <v>1362.0</v>
      </c>
      <c r="B1368" s="141" t="s">
        <v>2428</v>
      </c>
      <c r="C1368" s="82" t="str">
        <f>VLOOKUP($B$7:$B$5000,SUM!$L$6:$L$500,1,FALSE)</f>
        <v>#N/A</v>
      </c>
      <c r="D1368" s="81" t="s">
        <v>2361</v>
      </c>
      <c r="E1368" s="165" t="s">
        <v>58</v>
      </c>
      <c r="F1368" s="81" t="s">
        <v>105</v>
      </c>
      <c r="G1368" s="125" t="s">
        <v>235</v>
      </c>
      <c r="H1368" s="81" t="s">
        <v>2377</v>
      </c>
      <c r="I1368" s="149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8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1">
        <v>1363.0</v>
      </c>
      <c r="B1369" s="141" t="s">
        <v>2429</v>
      </c>
      <c r="C1369" s="82" t="str">
        <f>VLOOKUP($B$7:$B$5000,SUM!$L$6:$L$500,1,FALSE)</f>
        <v>#N/A</v>
      </c>
      <c r="D1369" s="81" t="s">
        <v>2361</v>
      </c>
      <c r="E1369" s="165" t="s">
        <v>58</v>
      </c>
      <c r="F1369" s="81" t="s">
        <v>105</v>
      </c>
      <c r="G1369" s="125" t="s">
        <v>235</v>
      </c>
      <c r="H1369" s="79" t="s">
        <v>2379</v>
      </c>
      <c r="I1369" s="149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8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1">
        <v>1364.0</v>
      </c>
      <c r="B1370" s="141" t="s">
        <v>2430</v>
      </c>
      <c r="C1370" s="82" t="str">
        <f>VLOOKUP($B$7:$B$5000,SUM!$L$6:$L$500,1,FALSE)</f>
        <v>#N/A</v>
      </c>
      <c r="D1370" s="81" t="s">
        <v>2361</v>
      </c>
      <c r="E1370" s="165" t="s">
        <v>58</v>
      </c>
      <c r="F1370" s="81" t="s">
        <v>105</v>
      </c>
      <c r="G1370" s="125" t="s">
        <v>235</v>
      </c>
      <c r="H1370" s="81" t="s">
        <v>2381</v>
      </c>
      <c r="I1370" s="149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8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1">
        <v>1365.0</v>
      </c>
      <c r="B1371" s="141" t="s">
        <v>2431</v>
      </c>
      <c r="C1371" s="82" t="str">
        <f>VLOOKUP($B$7:$B$5000,SUM!$L$6:$L$500,1,FALSE)</f>
        <v>#N/A</v>
      </c>
      <c r="D1371" s="81" t="s">
        <v>2361</v>
      </c>
      <c r="E1371" s="165" t="s">
        <v>58</v>
      </c>
      <c r="F1371" s="81" t="s">
        <v>105</v>
      </c>
      <c r="G1371" s="125" t="s">
        <v>235</v>
      </c>
      <c r="H1371" s="81" t="s">
        <v>2383</v>
      </c>
      <c r="I1371" s="149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8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1">
        <v>1366.0</v>
      </c>
      <c r="B1372" s="141" t="s">
        <v>2432</v>
      </c>
      <c r="C1372" s="82" t="str">
        <f>VLOOKUP($B$7:$B$5000,SUM!$L$6:$L$500,1,FALSE)</f>
        <v>#N/A</v>
      </c>
      <c r="D1372" s="81" t="s">
        <v>2361</v>
      </c>
      <c r="E1372" s="165" t="s">
        <v>58</v>
      </c>
      <c r="F1372" s="81" t="s">
        <v>105</v>
      </c>
      <c r="G1372" s="125" t="s">
        <v>235</v>
      </c>
      <c r="H1372" s="81" t="s">
        <v>2385</v>
      </c>
      <c r="I1372" s="149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8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1">
        <v>1367.0</v>
      </c>
      <c r="B1373" s="141" t="s">
        <v>2433</v>
      </c>
      <c r="C1373" s="82" t="str">
        <f>VLOOKUP($B$7:$B$5000,SUM!$L$6:$L$500,1,FALSE)</f>
        <v>#N/A</v>
      </c>
      <c r="D1373" s="81" t="s">
        <v>2361</v>
      </c>
      <c r="E1373" s="165" t="s">
        <v>58</v>
      </c>
      <c r="F1373" s="81" t="s">
        <v>105</v>
      </c>
      <c r="G1373" s="125" t="s">
        <v>235</v>
      </c>
      <c r="H1373" s="81" t="s">
        <v>2434</v>
      </c>
      <c r="I1373" s="149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8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1">
        <v>1368.0</v>
      </c>
      <c r="B1374" s="141" t="s">
        <v>2435</v>
      </c>
      <c r="C1374" s="82" t="str">
        <f>VLOOKUP($B$7:$B$5000,SUM!$L$6:$L$500,1,FALSE)</f>
        <v>#N/A</v>
      </c>
      <c r="D1374" s="81" t="s">
        <v>2361</v>
      </c>
      <c r="E1374" s="165" t="s">
        <v>58</v>
      </c>
      <c r="F1374" s="81" t="s">
        <v>105</v>
      </c>
      <c r="G1374" s="125" t="s">
        <v>235</v>
      </c>
      <c r="H1374" s="81" t="s">
        <v>2436</v>
      </c>
      <c r="I1374" s="149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8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1">
        <v>1369.0</v>
      </c>
      <c r="B1375" s="141" t="s">
        <v>2437</v>
      </c>
      <c r="C1375" s="82" t="str">
        <f>VLOOKUP($B$7:$B$5000,SUM!$L$6:$L$500,1,FALSE)</f>
        <v>#N/A</v>
      </c>
      <c r="D1375" s="81" t="s">
        <v>2361</v>
      </c>
      <c r="E1375" s="165" t="s">
        <v>58</v>
      </c>
      <c r="F1375" s="81" t="s">
        <v>105</v>
      </c>
      <c r="G1375" s="125" t="s">
        <v>235</v>
      </c>
      <c r="H1375" s="81" t="s">
        <v>2438</v>
      </c>
      <c r="I1375" s="149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8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1">
        <v>1370.0</v>
      </c>
      <c r="B1376" s="141" t="s">
        <v>2439</v>
      </c>
      <c r="C1376" s="82" t="str">
        <f>VLOOKUP($B$7:$B$5000,SUM!$L$6:$L$500,1,FALSE)</f>
        <v>#N/A</v>
      </c>
      <c r="D1376" s="81" t="s">
        <v>2361</v>
      </c>
      <c r="E1376" s="165" t="s">
        <v>58</v>
      </c>
      <c r="F1376" s="81" t="s">
        <v>105</v>
      </c>
      <c r="G1376" s="125" t="s">
        <v>235</v>
      </c>
      <c r="H1376" s="81" t="s">
        <v>2440</v>
      </c>
      <c r="I1376" s="149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8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1">
        <v>1371.0</v>
      </c>
      <c r="B1377" s="141" t="s">
        <v>2441</v>
      </c>
      <c r="C1377" s="82" t="str">
        <f>VLOOKUP($B$7:$B$5000,SUM!$L$6:$L$500,1,FALSE)</f>
        <v>#N/A</v>
      </c>
      <c r="D1377" s="81" t="s">
        <v>2361</v>
      </c>
      <c r="E1377" s="165" t="s">
        <v>58</v>
      </c>
      <c r="F1377" s="81" t="s">
        <v>105</v>
      </c>
      <c r="G1377" s="125" t="s">
        <v>235</v>
      </c>
      <c r="H1377" s="81" t="s">
        <v>2442</v>
      </c>
      <c r="I1377" s="149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8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1">
        <v>1372.0</v>
      </c>
      <c r="B1378" s="141" t="s">
        <v>2443</v>
      </c>
      <c r="C1378" s="82" t="str">
        <f>VLOOKUP($B$7:$B$5000,SUM!$L$6:$L$500,1,FALSE)</f>
        <v>#N/A</v>
      </c>
      <c r="D1378" s="81" t="s">
        <v>2361</v>
      </c>
      <c r="E1378" s="165" t="s">
        <v>58</v>
      </c>
      <c r="F1378" s="81" t="s">
        <v>105</v>
      </c>
      <c r="G1378" s="125" t="s">
        <v>235</v>
      </c>
      <c r="H1378" s="81" t="s">
        <v>2444</v>
      </c>
      <c r="I1378" s="149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8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1">
        <v>1373.0</v>
      </c>
      <c r="B1379" s="141" t="s">
        <v>2445</v>
      </c>
      <c r="C1379" s="82" t="str">
        <f>VLOOKUP($B$7:$B$5000,SUM!$L$6:$L$500,1,FALSE)</f>
        <v>#N/A</v>
      </c>
      <c r="D1379" s="81" t="s">
        <v>2361</v>
      </c>
      <c r="E1379" s="165" t="s">
        <v>58</v>
      </c>
      <c r="F1379" s="81" t="s">
        <v>105</v>
      </c>
      <c r="G1379" s="125" t="s">
        <v>235</v>
      </c>
      <c r="H1379" s="81" t="s">
        <v>2446</v>
      </c>
      <c r="I1379" s="149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8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1">
        <v>1374.0</v>
      </c>
      <c r="B1380" s="141" t="s">
        <v>2447</v>
      </c>
      <c r="C1380" s="82" t="str">
        <f>VLOOKUP($B$7:$B$5000,SUM!$L$6:$L$500,1,FALSE)</f>
        <v>#N/A</v>
      </c>
      <c r="D1380" s="81" t="s">
        <v>2361</v>
      </c>
      <c r="E1380" s="165" t="s">
        <v>58</v>
      </c>
      <c r="F1380" s="81" t="s">
        <v>105</v>
      </c>
      <c r="G1380" s="125" t="s">
        <v>235</v>
      </c>
      <c r="H1380" s="81" t="s">
        <v>2401</v>
      </c>
      <c r="I1380" s="149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8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1">
        <v>1375.0</v>
      </c>
      <c r="B1381" s="141" t="s">
        <v>2448</v>
      </c>
      <c r="C1381" s="82" t="str">
        <f>VLOOKUP($B$7:$B$5000,SUM!$L$6:$L$500,1,FALSE)</f>
        <v>#N/A</v>
      </c>
      <c r="D1381" s="81" t="s">
        <v>2361</v>
      </c>
      <c r="E1381" s="165" t="s">
        <v>58</v>
      </c>
      <c r="F1381" s="81" t="s">
        <v>105</v>
      </c>
      <c r="G1381" s="125" t="s">
        <v>235</v>
      </c>
      <c r="H1381" s="81" t="s">
        <v>2403</v>
      </c>
      <c r="I1381" s="149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8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1">
        <v>1376.0</v>
      </c>
      <c r="B1382" s="141" t="s">
        <v>2449</v>
      </c>
      <c r="C1382" s="82" t="str">
        <f>VLOOKUP($B$7:$B$5000,SUM!$L$6:$L$500,1,FALSE)</f>
        <v>#N/A</v>
      </c>
      <c r="D1382" s="81" t="s">
        <v>2361</v>
      </c>
      <c r="E1382" s="165" t="s">
        <v>58</v>
      </c>
      <c r="F1382" s="81" t="s">
        <v>105</v>
      </c>
      <c r="G1382" s="125" t="s">
        <v>1362</v>
      </c>
      <c r="H1382" s="81" t="s">
        <v>2450</v>
      </c>
      <c r="I1382" s="149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8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1">
        <v>1377.0</v>
      </c>
      <c r="B1383" s="141" t="s">
        <v>2452</v>
      </c>
      <c r="C1383" s="82" t="str">
        <f>VLOOKUP($B$7:$B$5000,SUM!$L$6:$L$500,1,FALSE)</f>
        <v>#N/A</v>
      </c>
      <c r="D1383" s="81" t="s">
        <v>2361</v>
      </c>
      <c r="E1383" s="165" t="s">
        <v>58</v>
      </c>
      <c r="F1383" s="81" t="s">
        <v>105</v>
      </c>
      <c r="G1383" s="125" t="s">
        <v>1362</v>
      </c>
      <c r="H1383" s="81" t="s">
        <v>2453</v>
      </c>
      <c r="I1383" s="149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8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1">
        <v>1378.0</v>
      </c>
      <c r="B1384" s="141" t="s">
        <v>2454</v>
      </c>
      <c r="C1384" s="82" t="str">
        <f>VLOOKUP($B$7:$B$5000,SUM!$L$6:$L$500,1,FALSE)</f>
        <v>#N/A</v>
      </c>
      <c r="D1384" s="81" t="s">
        <v>2361</v>
      </c>
      <c r="E1384" s="165" t="s">
        <v>58</v>
      </c>
      <c r="F1384" s="81" t="s">
        <v>105</v>
      </c>
      <c r="G1384" s="125" t="s">
        <v>1362</v>
      </c>
      <c r="H1384" s="81" t="s">
        <v>2455</v>
      </c>
      <c r="I1384" s="149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8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1">
        <v>1379.0</v>
      </c>
      <c r="B1385" s="141" t="s">
        <v>2456</v>
      </c>
      <c r="C1385" s="82" t="str">
        <f>VLOOKUP($B$7:$B$5000,SUM!$L$6:$L$500,1,FALSE)</f>
        <v>#N/A</v>
      </c>
      <c r="D1385" s="81" t="s">
        <v>2361</v>
      </c>
      <c r="E1385" s="165" t="s">
        <v>58</v>
      </c>
      <c r="F1385" s="81" t="s">
        <v>105</v>
      </c>
      <c r="G1385" s="125" t="s">
        <v>1362</v>
      </c>
      <c r="H1385" s="81" t="s">
        <v>2457</v>
      </c>
      <c r="I1385" s="149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8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1">
        <v>1380.0</v>
      </c>
      <c r="B1386" s="141" t="s">
        <v>2458</v>
      </c>
      <c r="C1386" s="82" t="str">
        <f>VLOOKUP($B$7:$B$5000,SUM!$L$6:$L$500,1,FALSE)</f>
        <v>#N/A</v>
      </c>
      <c r="D1386" s="81" t="s">
        <v>2361</v>
      </c>
      <c r="E1386" s="165" t="s">
        <v>58</v>
      </c>
      <c r="F1386" s="81" t="s">
        <v>105</v>
      </c>
      <c r="G1386" s="125" t="s">
        <v>1362</v>
      </c>
      <c r="H1386" s="81" t="s">
        <v>2459</v>
      </c>
      <c r="I1386" s="149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8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1">
        <v>1381.0</v>
      </c>
      <c r="B1387" s="141" t="s">
        <v>2460</v>
      </c>
      <c r="C1387" s="82" t="str">
        <f>VLOOKUP($B$7:$B$5000,SUM!$L$6:$L$500,1,FALSE)</f>
        <v>#N/A</v>
      </c>
      <c r="D1387" s="81" t="s">
        <v>2361</v>
      </c>
      <c r="E1387" s="165" t="s">
        <v>58</v>
      </c>
      <c r="F1387" s="81" t="s">
        <v>105</v>
      </c>
      <c r="G1387" s="125" t="s">
        <v>1362</v>
      </c>
      <c r="H1387" s="81" t="s">
        <v>2461</v>
      </c>
      <c r="I1387" s="149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8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1">
        <v>1382.0</v>
      </c>
      <c r="B1388" s="141" t="s">
        <v>2462</v>
      </c>
      <c r="C1388" s="82" t="str">
        <f>VLOOKUP($B$7:$B$5000,SUM!$L$6:$L$500,1,FALSE)</f>
        <v>#N/A</v>
      </c>
      <c r="D1388" s="81" t="s">
        <v>2361</v>
      </c>
      <c r="E1388" s="165" t="s">
        <v>58</v>
      </c>
      <c r="F1388" s="81" t="s">
        <v>105</v>
      </c>
      <c r="G1388" s="125" t="s">
        <v>1362</v>
      </c>
      <c r="H1388" s="81" t="s">
        <v>2450</v>
      </c>
      <c r="I1388" s="149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8">
        <v>46134.0</v>
      </c>
      <c r="O1388" s="90" t="s">
        <v>67</v>
      </c>
      <c r="P1388" s="90" t="s">
        <v>68</v>
      </c>
      <c r="Q1388" s="150">
        <v>46161.0</v>
      </c>
      <c r="R1388" s="103" t="s">
        <v>597</v>
      </c>
      <c r="S1388" s="104">
        <v>46166.0</v>
      </c>
      <c r="T1388" s="103"/>
      <c r="U1388" s="90" t="s">
        <v>31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1">
        <v>1383.0</v>
      </c>
      <c r="B1389" s="141" t="s">
        <v>2464</v>
      </c>
      <c r="C1389" s="82" t="str">
        <f>VLOOKUP($B$7:$B$5000,SUM!$L$6:$L$500,1,FALSE)</f>
        <v>#N/A</v>
      </c>
      <c r="D1389" s="81" t="s">
        <v>2361</v>
      </c>
      <c r="E1389" s="165" t="s">
        <v>58</v>
      </c>
      <c r="F1389" s="81" t="s">
        <v>105</v>
      </c>
      <c r="G1389" s="125" t="s">
        <v>1362</v>
      </c>
      <c r="H1389" s="81" t="s">
        <v>2453</v>
      </c>
      <c r="I1389" s="149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8">
        <v>46134.0</v>
      </c>
      <c r="O1389" s="90" t="s">
        <v>67</v>
      </c>
      <c r="P1389" s="90" t="s">
        <v>68</v>
      </c>
      <c r="Q1389" s="150">
        <v>46161.0</v>
      </c>
      <c r="R1389" s="103" t="s">
        <v>597</v>
      </c>
      <c r="S1389" s="104">
        <v>46166.0</v>
      </c>
      <c r="T1389" s="103"/>
      <c r="U1389" s="90" t="s">
        <v>31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1">
        <v>1384.0</v>
      </c>
      <c r="B1390" s="141" t="s">
        <v>2465</v>
      </c>
      <c r="C1390" s="82" t="str">
        <f>VLOOKUP($B$7:$B$5000,SUM!$L$6:$L$500,1,FALSE)</f>
        <v>#N/A</v>
      </c>
      <c r="D1390" s="81" t="s">
        <v>2361</v>
      </c>
      <c r="E1390" s="165" t="s">
        <v>58</v>
      </c>
      <c r="F1390" s="81" t="s">
        <v>105</v>
      </c>
      <c r="G1390" s="125" t="s">
        <v>1362</v>
      </c>
      <c r="H1390" s="81" t="s">
        <v>2455</v>
      </c>
      <c r="I1390" s="149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8">
        <v>46134.0</v>
      </c>
      <c r="O1390" s="90" t="s">
        <v>67</v>
      </c>
      <c r="P1390" s="90" t="s">
        <v>68</v>
      </c>
      <c r="Q1390" s="150">
        <v>46161.0</v>
      </c>
      <c r="R1390" s="103" t="s">
        <v>597</v>
      </c>
      <c r="S1390" s="104">
        <v>46166.0</v>
      </c>
      <c r="T1390" s="103"/>
      <c r="U1390" s="90" t="s">
        <v>31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1">
        <v>1385.0</v>
      </c>
      <c r="B1391" s="141" t="s">
        <v>2466</v>
      </c>
      <c r="C1391" s="82" t="str">
        <f>VLOOKUP($B$7:$B$5000,SUM!$L$6:$L$500,1,FALSE)</f>
        <v>#N/A</v>
      </c>
      <c r="D1391" s="81" t="s">
        <v>2361</v>
      </c>
      <c r="E1391" s="165" t="s">
        <v>58</v>
      </c>
      <c r="F1391" s="81" t="s">
        <v>105</v>
      </c>
      <c r="G1391" s="125" t="s">
        <v>1362</v>
      </c>
      <c r="H1391" s="81" t="s">
        <v>2457</v>
      </c>
      <c r="I1391" s="149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8">
        <v>46134.0</v>
      </c>
      <c r="O1391" s="90" t="s">
        <v>67</v>
      </c>
      <c r="P1391" s="90" t="s">
        <v>68</v>
      </c>
      <c r="Q1391" s="150">
        <v>46161.0</v>
      </c>
      <c r="R1391" s="103" t="s">
        <v>597</v>
      </c>
      <c r="S1391" s="104">
        <v>46166.0</v>
      </c>
      <c r="T1391" s="103"/>
      <c r="U1391" s="90" t="s">
        <v>31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1">
        <v>1386.0</v>
      </c>
      <c r="B1392" s="141" t="s">
        <v>2467</v>
      </c>
      <c r="C1392" s="82" t="str">
        <f>VLOOKUP($B$7:$B$5000,SUM!$L$6:$L$500,1,FALSE)</f>
        <v>#N/A</v>
      </c>
      <c r="D1392" s="81" t="s">
        <v>2361</v>
      </c>
      <c r="E1392" s="165" t="s">
        <v>58</v>
      </c>
      <c r="F1392" s="81" t="s">
        <v>105</v>
      </c>
      <c r="G1392" s="125" t="s">
        <v>1362</v>
      </c>
      <c r="H1392" s="81" t="s">
        <v>2459</v>
      </c>
      <c r="I1392" s="149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8">
        <v>46134.0</v>
      </c>
      <c r="O1392" s="90" t="s">
        <v>67</v>
      </c>
      <c r="P1392" s="90" t="s">
        <v>68</v>
      </c>
      <c r="Q1392" s="150">
        <v>46161.0</v>
      </c>
      <c r="R1392" s="103" t="s">
        <v>597</v>
      </c>
      <c r="S1392" s="104">
        <v>46166.0</v>
      </c>
      <c r="T1392" s="103"/>
      <c r="U1392" s="90" t="s">
        <v>31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1">
        <v>1387.0</v>
      </c>
      <c r="B1393" s="141" t="s">
        <v>2468</v>
      </c>
      <c r="C1393" s="82" t="str">
        <f>VLOOKUP($B$7:$B$5000,SUM!$L$6:$L$500,1,FALSE)</f>
        <v>#N/A</v>
      </c>
      <c r="D1393" s="81" t="s">
        <v>2361</v>
      </c>
      <c r="E1393" s="165" t="s">
        <v>58</v>
      </c>
      <c r="F1393" s="81" t="s">
        <v>105</v>
      </c>
      <c r="G1393" s="125" t="s">
        <v>1362</v>
      </c>
      <c r="H1393" s="81" t="s">
        <v>2461</v>
      </c>
      <c r="I1393" s="149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8">
        <v>46134.0</v>
      </c>
      <c r="O1393" s="90" t="s">
        <v>67</v>
      </c>
      <c r="P1393" s="90" t="s">
        <v>68</v>
      </c>
      <c r="Q1393" s="150">
        <v>46161.0</v>
      </c>
      <c r="R1393" s="103" t="s">
        <v>597</v>
      </c>
      <c r="S1393" s="104">
        <v>46166.0</v>
      </c>
      <c r="T1393" s="103"/>
      <c r="U1393" s="90" t="s">
        <v>31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1">
        <v>1388.0</v>
      </c>
      <c r="B1394" s="141" t="s">
        <v>2469</v>
      </c>
      <c r="C1394" s="82" t="str">
        <f>VLOOKUP($B$7:$B$5000,SUM!$L$6:$L$500,1,FALSE)</f>
        <v>#N/A</v>
      </c>
      <c r="D1394" s="81" t="s">
        <v>2361</v>
      </c>
      <c r="E1394" s="165" t="s">
        <v>58</v>
      </c>
      <c r="F1394" s="81" t="s">
        <v>105</v>
      </c>
      <c r="G1394" s="125" t="s">
        <v>1362</v>
      </c>
      <c r="H1394" s="81" t="s">
        <v>2450</v>
      </c>
      <c r="I1394" s="149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8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1">
        <v>1389.0</v>
      </c>
      <c r="B1395" s="141" t="s">
        <v>2471</v>
      </c>
      <c r="C1395" s="82" t="str">
        <f>VLOOKUP($B$7:$B$5000,SUM!$L$6:$L$500,1,FALSE)</f>
        <v>#N/A</v>
      </c>
      <c r="D1395" s="81" t="s">
        <v>2361</v>
      </c>
      <c r="E1395" s="165" t="s">
        <v>58</v>
      </c>
      <c r="F1395" s="81" t="s">
        <v>105</v>
      </c>
      <c r="G1395" s="125" t="s">
        <v>1362</v>
      </c>
      <c r="H1395" s="81" t="s">
        <v>2453</v>
      </c>
      <c r="I1395" s="149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8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1">
        <v>1390.0</v>
      </c>
      <c r="B1396" s="141" t="s">
        <v>2472</v>
      </c>
      <c r="C1396" s="82" t="str">
        <f>VLOOKUP($B$7:$B$5000,SUM!$L$6:$L$500,1,FALSE)</f>
        <v>#N/A</v>
      </c>
      <c r="D1396" s="81" t="s">
        <v>2361</v>
      </c>
      <c r="E1396" s="165" t="s">
        <v>58</v>
      </c>
      <c r="F1396" s="81" t="s">
        <v>105</v>
      </c>
      <c r="G1396" s="125" t="s">
        <v>1362</v>
      </c>
      <c r="H1396" s="81" t="s">
        <v>2455</v>
      </c>
      <c r="I1396" s="149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8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1">
        <v>1391.0</v>
      </c>
      <c r="B1397" s="141" t="s">
        <v>2473</v>
      </c>
      <c r="C1397" s="82" t="str">
        <f>VLOOKUP($B$7:$B$5000,SUM!$L$6:$L$500,1,FALSE)</f>
        <v>#N/A</v>
      </c>
      <c r="D1397" s="81" t="s">
        <v>2361</v>
      </c>
      <c r="E1397" s="165" t="s">
        <v>58</v>
      </c>
      <c r="F1397" s="81" t="s">
        <v>105</v>
      </c>
      <c r="G1397" s="125" t="s">
        <v>1362</v>
      </c>
      <c r="H1397" s="81" t="s">
        <v>2457</v>
      </c>
      <c r="I1397" s="149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8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1">
        <v>1392.0</v>
      </c>
      <c r="B1398" s="141" t="s">
        <v>2474</v>
      </c>
      <c r="C1398" s="82" t="str">
        <f>VLOOKUP($B$7:$B$5000,SUM!$L$6:$L$500,1,FALSE)</f>
        <v>#N/A</v>
      </c>
      <c r="D1398" s="81" t="s">
        <v>2361</v>
      </c>
      <c r="E1398" s="165" t="s">
        <v>58</v>
      </c>
      <c r="F1398" s="81" t="s">
        <v>105</v>
      </c>
      <c r="G1398" s="125" t="s">
        <v>1362</v>
      </c>
      <c r="H1398" s="81" t="s">
        <v>2459</v>
      </c>
      <c r="I1398" s="149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8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1">
        <v>1393.0</v>
      </c>
      <c r="B1399" s="141" t="s">
        <v>2475</v>
      </c>
      <c r="C1399" s="82" t="str">
        <f>VLOOKUP($B$7:$B$5000,SUM!$L$6:$L$500,1,FALSE)</f>
        <v>#N/A</v>
      </c>
      <c r="D1399" s="81" t="s">
        <v>2361</v>
      </c>
      <c r="E1399" s="165" t="s">
        <v>58</v>
      </c>
      <c r="F1399" s="81" t="s">
        <v>105</v>
      </c>
      <c r="G1399" s="125" t="s">
        <v>1362</v>
      </c>
      <c r="H1399" s="81" t="s">
        <v>2461</v>
      </c>
      <c r="I1399" s="149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8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1">
        <v>1394.0</v>
      </c>
      <c r="B1400" s="141" t="s">
        <v>2476</v>
      </c>
      <c r="C1400" s="82" t="str">
        <f>VLOOKUP($B$7:$B$5000,SUM!$L$6:$L$500,1,FALSE)</f>
        <v>#N/A</v>
      </c>
      <c r="D1400" s="81" t="s">
        <v>2361</v>
      </c>
      <c r="E1400" s="165" t="s">
        <v>58</v>
      </c>
      <c r="F1400" s="81" t="s">
        <v>105</v>
      </c>
      <c r="G1400" s="125" t="s">
        <v>1362</v>
      </c>
      <c r="H1400" s="81" t="s">
        <v>2477</v>
      </c>
      <c r="I1400" s="149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8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1">
        <v>1395.0</v>
      </c>
      <c r="B1401" s="141" t="s">
        <v>2478</v>
      </c>
      <c r="C1401" s="82" t="str">
        <f>VLOOKUP($B$7:$B$5000,SUM!$L$6:$L$500,1,FALSE)</f>
        <v>#N/A</v>
      </c>
      <c r="D1401" s="81" t="s">
        <v>2361</v>
      </c>
      <c r="E1401" s="165" t="s">
        <v>58</v>
      </c>
      <c r="F1401" s="81" t="s">
        <v>105</v>
      </c>
      <c r="G1401" s="125" t="s">
        <v>1362</v>
      </c>
      <c r="H1401" s="81" t="s">
        <v>2479</v>
      </c>
      <c r="I1401" s="149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8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1">
        <v>1396.0</v>
      </c>
      <c r="B1402" s="141" t="s">
        <v>2480</v>
      </c>
      <c r="C1402" s="82" t="str">
        <f>VLOOKUP($B$7:$B$5000,SUM!$L$6:$L$500,1,FALSE)</f>
        <v>#N/A</v>
      </c>
      <c r="D1402" s="81" t="s">
        <v>2361</v>
      </c>
      <c r="E1402" s="165" t="s">
        <v>58</v>
      </c>
      <c r="F1402" s="81" t="s">
        <v>105</v>
      </c>
      <c r="G1402" s="125" t="s">
        <v>1362</v>
      </c>
      <c r="H1402" s="81" t="s">
        <v>2477</v>
      </c>
      <c r="I1402" s="149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8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31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1">
        <v>1397.0</v>
      </c>
      <c r="B1403" s="141" t="s">
        <v>2482</v>
      </c>
      <c r="C1403" s="82" t="str">
        <f>VLOOKUP($B$7:$B$5000,SUM!$L$6:$L$500,1,FALSE)</f>
        <v>#N/A</v>
      </c>
      <c r="D1403" s="81" t="s">
        <v>2361</v>
      </c>
      <c r="E1403" s="165" t="s">
        <v>58</v>
      </c>
      <c r="F1403" s="81" t="s">
        <v>105</v>
      </c>
      <c r="G1403" s="125" t="s">
        <v>1362</v>
      </c>
      <c r="H1403" s="81" t="s">
        <v>2479</v>
      </c>
      <c r="I1403" s="149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8">
        <v>46134.0</v>
      </c>
      <c r="O1403" s="90" t="s">
        <v>67</v>
      </c>
      <c r="P1403" s="90" t="s">
        <v>68</v>
      </c>
      <c r="Q1403" s="150">
        <v>46161.0</v>
      </c>
      <c r="R1403" s="103" t="s">
        <v>597</v>
      </c>
      <c r="S1403" s="104">
        <v>46166.0</v>
      </c>
      <c r="T1403" s="103"/>
      <c r="U1403" s="90" t="s">
        <v>31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1">
        <v>1398.0</v>
      </c>
      <c r="B1404" s="141" t="s">
        <v>2483</v>
      </c>
      <c r="C1404" s="82" t="str">
        <f>VLOOKUP($B$7:$B$5000,SUM!$L$6:$L$500,1,FALSE)</f>
        <v>#N/A</v>
      </c>
      <c r="D1404" s="81" t="s">
        <v>2361</v>
      </c>
      <c r="E1404" s="165" t="s">
        <v>58</v>
      </c>
      <c r="F1404" s="81" t="s">
        <v>105</v>
      </c>
      <c r="G1404" s="125" t="s">
        <v>1362</v>
      </c>
      <c r="H1404" s="81" t="s">
        <v>2477</v>
      </c>
      <c r="I1404" s="149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8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1">
        <v>1399.0</v>
      </c>
      <c r="B1405" s="141" t="s">
        <v>2484</v>
      </c>
      <c r="C1405" s="82" t="str">
        <f>VLOOKUP($B$7:$B$5000,SUM!$L$6:$L$500,1,FALSE)</f>
        <v>#N/A</v>
      </c>
      <c r="D1405" s="81" t="s">
        <v>2361</v>
      </c>
      <c r="E1405" s="165" t="s">
        <v>58</v>
      </c>
      <c r="F1405" s="81" t="s">
        <v>105</v>
      </c>
      <c r="G1405" s="125" t="s">
        <v>1362</v>
      </c>
      <c r="H1405" s="81" t="s">
        <v>2479</v>
      </c>
      <c r="I1405" s="149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8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1">
        <v>1400.0</v>
      </c>
      <c r="B1406" s="141" t="s">
        <v>2485</v>
      </c>
      <c r="C1406" s="82" t="str">
        <f>VLOOKUP($B$7:$B$5000,SUM!$L$6:$L$500,1,FALSE)</f>
        <v>#N/A</v>
      </c>
      <c r="D1406" s="81" t="s">
        <v>2361</v>
      </c>
      <c r="E1406" s="165" t="s">
        <v>58</v>
      </c>
      <c r="F1406" s="81" t="s">
        <v>105</v>
      </c>
      <c r="G1406" s="125" t="s">
        <v>1362</v>
      </c>
      <c r="H1406" s="81" t="s">
        <v>2486</v>
      </c>
      <c r="I1406" s="149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8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1">
        <v>1401.0</v>
      </c>
      <c r="B1407" s="141" t="s">
        <v>2487</v>
      </c>
      <c r="C1407" s="82" t="str">
        <f>VLOOKUP($B$7:$B$5000,SUM!$L$6:$L$500,1,FALSE)</f>
        <v>#N/A</v>
      </c>
      <c r="D1407" s="81" t="s">
        <v>2361</v>
      </c>
      <c r="E1407" s="165" t="s">
        <v>58</v>
      </c>
      <c r="F1407" s="81" t="s">
        <v>105</v>
      </c>
      <c r="G1407" s="125" t="s">
        <v>1362</v>
      </c>
      <c r="H1407" s="81" t="s">
        <v>2488</v>
      </c>
      <c r="I1407" s="166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8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1">
        <v>1402.0</v>
      </c>
      <c r="B1408" s="141" t="s">
        <v>2489</v>
      </c>
      <c r="C1408" s="82" t="str">
        <f>VLOOKUP($B$7:$B$5000,SUM!$L$6:$L$500,1,FALSE)</f>
        <v>#N/A</v>
      </c>
      <c r="D1408" s="81" t="s">
        <v>2361</v>
      </c>
      <c r="E1408" s="165" t="s">
        <v>58</v>
      </c>
      <c r="F1408" s="81" t="s">
        <v>105</v>
      </c>
      <c r="G1408" s="125" t="s">
        <v>1362</v>
      </c>
      <c r="H1408" s="81" t="s">
        <v>2490</v>
      </c>
      <c r="I1408" s="149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8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1">
        <v>1403.0</v>
      </c>
      <c r="B1409" s="141" t="s">
        <v>2491</v>
      </c>
      <c r="C1409" s="82" t="str">
        <f>VLOOKUP($B$7:$B$5000,SUM!$L$6:$L$500,1,FALSE)</f>
        <v>#N/A</v>
      </c>
      <c r="D1409" s="81" t="s">
        <v>2361</v>
      </c>
      <c r="E1409" s="165" t="s">
        <v>58</v>
      </c>
      <c r="F1409" s="81" t="s">
        <v>105</v>
      </c>
      <c r="G1409" s="125" t="s">
        <v>1362</v>
      </c>
      <c r="H1409" s="81" t="s">
        <v>2492</v>
      </c>
      <c r="I1409" s="149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8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1">
        <v>1404.0</v>
      </c>
      <c r="B1410" s="141" t="s">
        <v>2493</v>
      </c>
      <c r="C1410" s="82" t="str">
        <f>VLOOKUP($B$7:$B$5000,SUM!$L$6:$L$500,1,FALSE)</f>
        <v>#N/A</v>
      </c>
      <c r="D1410" s="81" t="s">
        <v>2361</v>
      </c>
      <c r="E1410" s="165" t="s">
        <v>58</v>
      </c>
      <c r="F1410" s="81" t="s">
        <v>105</v>
      </c>
      <c r="G1410" s="125" t="s">
        <v>1362</v>
      </c>
      <c r="H1410" s="81" t="s">
        <v>2494</v>
      </c>
      <c r="I1410" s="149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8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1">
        <v>1405.0</v>
      </c>
      <c r="B1411" s="141" t="s">
        <v>2495</v>
      </c>
      <c r="C1411" s="82" t="str">
        <f>VLOOKUP($B$7:$B$5000,SUM!$L$6:$L$500,1,FALSE)</f>
        <v>#N/A</v>
      </c>
      <c r="D1411" s="81" t="s">
        <v>2361</v>
      </c>
      <c r="E1411" s="165" t="s">
        <v>58</v>
      </c>
      <c r="F1411" s="81" t="s">
        <v>105</v>
      </c>
      <c r="G1411" s="125" t="s">
        <v>1362</v>
      </c>
      <c r="H1411" s="81" t="s">
        <v>2496</v>
      </c>
      <c r="I1411" s="149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8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1">
        <v>1406.0</v>
      </c>
      <c r="B1412" s="141" t="s">
        <v>2497</v>
      </c>
      <c r="C1412" s="82" t="str">
        <f>VLOOKUP($B$7:$B$5000,SUM!$L$6:$L$500,1,FALSE)</f>
        <v>#N/A</v>
      </c>
      <c r="D1412" s="81" t="s">
        <v>2361</v>
      </c>
      <c r="E1412" s="165" t="s">
        <v>58</v>
      </c>
      <c r="F1412" s="81" t="s">
        <v>105</v>
      </c>
      <c r="G1412" s="125" t="s">
        <v>1362</v>
      </c>
      <c r="H1412" s="81" t="s">
        <v>2498</v>
      </c>
      <c r="I1412" s="149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8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1">
        <v>1407.0</v>
      </c>
      <c r="B1413" s="141" t="s">
        <v>2499</v>
      </c>
      <c r="C1413" s="82" t="str">
        <f>VLOOKUP($B$7:$B$5000,SUM!$L$6:$L$500,1,FALSE)</f>
        <v>#N/A</v>
      </c>
      <c r="D1413" s="81" t="s">
        <v>2361</v>
      </c>
      <c r="E1413" s="165" t="s">
        <v>58</v>
      </c>
      <c r="F1413" s="81" t="s">
        <v>105</v>
      </c>
      <c r="G1413" s="125" t="s">
        <v>1362</v>
      </c>
      <c r="H1413" s="81" t="s">
        <v>2500</v>
      </c>
      <c r="I1413" s="149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8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1">
        <v>1408.0</v>
      </c>
      <c r="B1414" s="141" t="s">
        <v>2501</v>
      </c>
      <c r="C1414" s="82" t="str">
        <f>VLOOKUP($B$7:$B$5000,SUM!$L$6:$L$500,1,FALSE)</f>
        <v>#N/A</v>
      </c>
      <c r="D1414" s="81" t="s">
        <v>2361</v>
      </c>
      <c r="E1414" s="165" t="s">
        <v>58</v>
      </c>
      <c r="F1414" s="81" t="s">
        <v>105</v>
      </c>
      <c r="G1414" s="125" t="s">
        <v>1362</v>
      </c>
      <c r="H1414" s="81" t="s">
        <v>2502</v>
      </c>
      <c r="I1414" s="149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8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1">
        <v>1409.0</v>
      </c>
      <c r="B1415" s="141" t="s">
        <v>2503</v>
      </c>
      <c r="C1415" s="82" t="str">
        <f>VLOOKUP($B$7:$B$5000,SUM!$L$6:$L$500,1,FALSE)</f>
        <v>#N/A</v>
      </c>
      <c r="D1415" s="81" t="s">
        <v>2361</v>
      </c>
      <c r="E1415" s="165" t="s">
        <v>58</v>
      </c>
      <c r="F1415" s="81" t="s">
        <v>105</v>
      </c>
      <c r="G1415" s="125" t="s">
        <v>1362</v>
      </c>
      <c r="H1415" s="81" t="s">
        <v>2486</v>
      </c>
      <c r="I1415" s="149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8">
        <v>46134.0</v>
      </c>
      <c r="O1415" s="90" t="s">
        <v>67</v>
      </c>
      <c r="P1415" s="90" t="s">
        <v>68</v>
      </c>
      <c r="Q1415" s="150">
        <v>46161.0</v>
      </c>
      <c r="R1415" s="103" t="s">
        <v>597</v>
      </c>
      <c r="S1415" s="104">
        <v>46166.0</v>
      </c>
      <c r="T1415" s="103"/>
      <c r="U1415" s="90" t="s">
        <v>31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1">
        <v>1410.0</v>
      </c>
      <c r="B1416" s="141" t="s">
        <v>2504</v>
      </c>
      <c r="C1416" s="82" t="str">
        <f>VLOOKUP($B$7:$B$5000,SUM!$L$6:$L$500,1,FALSE)</f>
        <v>#N/A</v>
      </c>
      <c r="D1416" s="81" t="s">
        <v>2361</v>
      </c>
      <c r="E1416" s="165" t="s">
        <v>58</v>
      </c>
      <c r="F1416" s="81" t="s">
        <v>105</v>
      </c>
      <c r="G1416" s="125" t="s">
        <v>1362</v>
      </c>
      <c r="H1416" s="81" t="s">
        <v>2488</v>
      </c>
      <c r="I1416" s="149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8">
        <v>46134.0</v>
      </c>
      <c r="O1416" s="90" t="s">
        <v>67</v>
      </c>
      <c r="P1416" s="90" t="s">
        <v>68</v>
      </c>
      <c r="Q1416" s="150">
        <v>46161.0</v>
      </c>
      <c r="R1416" s="103" t="s">
        <v>597</v>
      </c>
      <c r="S1416" s="104">
        <v>46166.0</v>
      </c>
      <c r="T1416" s="103"/>
      <c r="U1416" s="90" t="s">
        <v>31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1">
        <v>1411.0</v>
      </c>
      <c r="B1417" s="141" t="s">
        <v>2505</v>
      </c>
      <c r="C1417" s="82" t="str">
        <f>VLOOKUP($B$7:$B$5000,SUM!$L$6:$L$500,1,FALSE)</f>
        <v>#N/A</v>
      </c>
      <c r="D1417" s="81" t="s">
        <v>2361</v>
      </c>
      <c r="E1417" s="165" t="s">
        <v>58</v>
      </c>
      <c r="F1417" s="81" t="s">
        <v>105</v>
      </c>
      <c r="G1417" s="125" t="s">
        <v>1362</v>
      </c>
      <c r="H1417" s="81" t="s">
        <v>2490</v>
      </c>
      <c r="I1417" s="149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8">
        <v>46134.0</v>
      </c>
      <c r="O1417" s="90" t="s">
        <v>67</v>
      </c>
      <c r="P1417" s="90" t="s">
        <v>68</v>
      </c>
      <c r="Q1417" s="150">
        <v>46161.0</v>
      </c>
      <c r="R1417" s="103" t="s">
        <v>597</v>
      </c>
      <c r="S1417" s="104">
        <v>46166.0</v>
      </c>
      <c r="T1417" s="103"/>
      <c r="U1417" s="90" t="s">
        <v>31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1">
        <v>1412.0</v>
      </c>
      <c r="B1418" s="141" t="s">
        <v>2506</v>
      </c>
      <c r="C1418" s="82" t="str">
        <f>VLOOKUP($B$7:$B$5000,SUM!$L$6:$L$500,1,FALSE)</f>
        <v>#N/A</v>
      </c>
      <c r="D1418" s="81" t="s">
        <v>2361</v>
      </c>
      <c r="E1418" s="165" t="s">
        <v>58</v>
      </c>
      <c r="F1418" s="81" t="s">
        <v>105</v>
      </c>
      <c r="G1418" s="125" t="s">
        <v>1362</v>
      </c>
      <c r="H1418" s="81" t="s">
        <v>2492</v>
      </c>
      <c r="I1418" s="149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8">
        <v>46134.0</v>
      </c>
      <c r="O1418" s="90" t="s">
        <v>67</v>
      </c>
      <c r="P1418" s="90" t="s">
        <v>68</v>
      </c>
      <c r="Q1418" s="150">
        <v>46161.0</v>
      </c>
      <c r="R1418" s="103" t="s">
        <v>597</v>
      </c>
      <c r="S1418" s="104">
        <v>46166.0</v>
      </c>
      <c r="T1418" s="103"/>
      <c r="U1418" s="90" t="s">
        <v>31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1">
        <v>1413.0</v>
      </c>
      <c r="B1419" s="141" t="s">
        <v>2507</v>
      </c>
      <c r="C1419" s="82" t="str">
        <f>VLOOKUP($B$7:$B$5000,SUM!$L$6:$L$500,1,FALSE)</f>
        <v>#N/A</v>
      </c>
      <c r="D1419" s="81" t="s">
        <v>2361</v>
      </c>
      <c r="E1419" s="165" t="s">
        <v>58</v>
      </c>
      <c r="F1419" s="81" t="s">
        <v>105</v>
      </c>
      <c r="G1419" s="125" t="s">
        <v>1362</v>
      </c>
      <c r="H1419" s="81" t="s">
        <v>2494</v>
      </c>
      <c r="I1419" s="149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8">
        <v>46134.0</v>
      </c>
      <c r="O1419" s="90" t="s">
        <v>67</v>
      </c>
      <c r="P1419" s="90" t="s">
        <v>68</v>
      </c>
      <c r="Q1419" s="150">
        <v>46161.0</v>
      </c>
      <c r="R1419" s="103" t="s">
        <v>597</v>
      </c>
      <c r="S1419" s="104">
        <v>46166.0</v>
      </c>
      <c r="T1419" s="103"/>
      <c r="U1419" s="90" t="s">
        <v>31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1">
        <v>1414.0</v>
      </c>
      <c r="B1420" s="141" t="s">
        <v>2508</v>
      </c>
      <c r="C1420" s="82" t="str">
        <f>VLOOKUP($B$7:$B$5000,SUM!$L$6:$L$500,1,FALSE)</f>
        <v>#N/A</v>
      </c>
      <c r="D1420" s="81" t="s">
        <v>2361</v>
      </c>
      <c r="E1420" s="165" t="s">
        <v>58</v>
      </c>
      <c r="F1420" s="81" t="s">
        <v>105</v>
      </c>
      <c r="G1420" s="125" t="s">
        <v>1362</v>
      </c>
      <c r="H1420" s="81" t="s">
        <v>2496</v>
      </c>
      <c r="I1420" s="149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8">
        <v>46134.0</v>
      </c>
      <c r="O1420" s="90" t="s">
        <v>67</v>
      </c>
      <c r="P1420" s="90" t="s">
        <v>68</v>
      </c>
      <c r="Q1420" s="150">
        <v>46161.0</v>
      </c>
      <c r="R1420" s="103" t="s">
        <v>597</v>
      </c>
      <c r="S1420" s="104">
        <v>46166.0</v>
      </c>
      <c r="T1420" s="103"/>
      <c r="U1420" s="90" t="s">
        <v>31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1">
        <v>1415.0</v>
      </c>
      <c r="B1421" s="141" t="s">
        <v>2509</v>
      </c>
      <c r="C1421" s="82" t="str">
        <f>VLOOKUP($B$7:$B$5000,SUM!$L$6:$L$500,1,FALSE)</f>
        <v>#N/A</v>
      </c>
      <c r="D1421" s="81" t="s">
        <v>2361</v>
      </c>
      <c r="E1421" s="165" t="s">
        <v>58</v>
      </c>
      <c r="F1421" s="81" t="s">
        <v>105</v>
      </c>
      <c r="G1421" s="125" t="s">
        <v>1362</v>
      </c>
      <c r="H1421" s="81" t="s">
        <v>2498</v>
      </c>
      <c r="I1421" s="149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8">
        <v>46134.0</v>
      </c>
      <c r="O1421" s="90" t="s">
        <v>67</v>
      </c>
      <c r="P1421" s="90" t="s">
        <v>68</v>
      </c>
      <c r="Q1421" s="150">
        <v>46161.0</v>
      </c>
      <c r="R1421" s="103" t="s">
        <v>597</v>
      </c>
      <c r="S1421" s="104">
        <v>46166.0</v>
      </c>
      <c r="T1421" s="103"/>
      <c r="U1421" s="90" t="s">
        <v>31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1">
        <v>1416.0</v>
      </c>
      <c r="B1422" s="141" t="s">
        <v>2510</v>
      </c>
      <c r="C1422" s="82" t="str">
        <f>VLOOKUP($B$7:$B$5000,SUM!$L$6:$L$500,1,FALSE)</f>
        <v>#N/A</v>
      </c>
      <c r="D1422" s="81" t="s">
        <v>2361</v>
      </c>
      <c r="E1422" s="165" t="s">
        <v>58</v>
      </c>
      <c r="F1422" s="81" t="s">
        <v>105</v>
      </c>
      <c r="G1422" s="125" t="s">
        <v>1362</v>
      </c>
      <c r="H1422" s="81" t="s">
        <v>2500</v>
      </c>
      <c r="I1422" s="149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8">
        <v>46134.0</v>
      </c>
      <c r="O1422" s="90" t="s">
        <v>67</v>
      </c>
      <c r="P1422" s="90" t="s">
        <v>68</v>
      </c>
      <c r="Q1422" s="150">
        <v>46161.0</v>
      </c>
      <c r="R1422" s="103" t="s">
        <v>597</v>
      </c>
      <c r="S1422" s="104">
        <v>46166.0</v>
      </c>
      <c r="T1422" s="103"/>
      <c r="U1422" s="90" t="s">
        <v>31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1">
        <v>1417.0</v>
      </c>
      <c r="B1423" s="141" t="s">
        <v>2511</v>
      </c>
      <c r="C1423" s="82" t="str">
        <f>VLOOKUP($B$7:$B$5000,SUM!$L$6:$L$500,1,FALSE)</f>
        <v>#N/A</v>
      </c>
      <c r="D1423" s="81" t="s">
        <v>2361</v>
      </c>
      <c r="E1423" s="165" t="s">
        <v>58</v>
      </c>
      <c r="F1423" s="81" t="s">
        <v>105</v>
      </c>
      <c r="G1423" s="125" t="s">
        <v>1362</v>
      </c>
      <c r="H1423" s="81" t="s">
        <v>2502</v>
      </c>
      <c r="I1423" s="149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8">
        <v>46134.0</v>
      </c>
      <c r="O1423" s="90" t="s">
        <v>67</v>
      </c>
      <c r="P1423" s="90" t="s">
        <v>68</v>
      </c>
      <c r="Q1423" s="150">
        <v>46161.0</v>
      </c>
      <c r="R1423" s="103" t="s">
        <v>597</v>
      </c>
      <c r="S1423" s="104">
        <v>46166.0</v>
      </c>
      <c r="T1423" s="103"/>
      <c r="U1423" s="90" t="s">
        <v>31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1">
        <v>1418.0</v>
      </c>
      <c r="B1424" s="141" t="s">
        <v>2512</v>
      </c>
      <c r="C1424" s="82" t="str">
        <f>VLOOKUP($B$7:$B$5000,SUM!$L$6:$L$500,1,FALSE)</f>
        <v>#N/A</v>
      </c>
      <c r="D1424" s="81" t="s">
        <v>2361</v>
      </c>
      <c r="E1424" s="165" t="s">
        <v>58</v>
      </c>
      <c r="F1424" s="81" t="s">
        <v>105</v>
      </c>
      <c r="G1424" s="125" t="s">
        <v>1362</v>
      </c>
      <c r="H1424" s="81" t="s">
        <v>2486</v>
      </c>
      <c r="I1424" s="149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8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1">
        <v>1419.0</v>
      </c>
      <c r="B1425" s="141" t="s">
        <v>2513</v>
      </c>
      <c r="C1425" s="82" t="str">
        <f>VLOOKUP($B$7:$B$5000,SUM!$L$6:$L$500,1,FALSE)</f>
        <v>#N/A</v>
      </c>
      <c r="D1425" s="81" t="s">
        <v>2361</v>
      </c>
      <c r="E1425" s="165" t="s">
        <v>58</v>
      </c>
      <c r="F1425" s="81" t="s">
        <v>105</v>
      </c>
      <c r="G1425" s="125" t="s">
        <v>1362</v>
      </c>
      <c r="H1425" s="81" t="s">
        <v>2488</v>
      </c>
      <c r="I1425" s="149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8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1">
        <v>1420.0</v>
      </c>
      <c r="B1426" s="141" t="s">
        <v>2514</v>
      </c>
      <c r="C1426" s="82" t="str">
        <f>VLOOKUP($B$7:$B$5000,SUM!$L$6:$L$500,1,FALSE)</f>
        <v>#N/A</v>
      </c>
      <c r="D1426" s="81" t="s">
        <v>2361</v>
      </c>
      <c r="E1426" s="165" t="s">
        <v>58</v>
      </c>
      <c r="F1426" s="81" t="s">
        <v>105</v>
      </c>
      <c r="G1426" s="125" t="s">
        <v>1362</v>
      </c>
      <c r="H1426" s="81" t="s">
        <v>2490</v>
      </c>
      <c r="I1426" s="149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8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1">
        <v>1421.0</v>
      </c>
      <c r="B1427" s="141" t="s">
        <v>2515</v>
      </c>
      <c r="C1427" s="82" t="str">
        <f>VLOOKUP($B$7:$B$5000,SUM!$L$6:$L$500,1,FALSE)</f>
        <v>#N/A</v>
      </c>
      <c r="D1427" s="81" t="s">
        <v>2361</v>
      </c>
      <c r="E1427" s="165" t="s">
        <v>58</v>
      </c>
      <c r="F1427" s="81" t="s">
        <v>105</v>
      </c>
      <c r="G1427" s="125" t="s">
        <v>1362</v>
      </c>
      <c r="H1427" s="81" t="s">
        <v>2492</v>
      </c>
      <c r="I1427" s="149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8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1">
        <v>1422.0</v>
      </c>
      <c r="B1428" s="141" t="s">
        <v>2516</v>
      </c>
      <c r="C1428" s="82" t="str">
        <f>VLOOKUP($B$7:$B$5000,SUM!$L$6:$L$500,1,FALSE)</f>
        <v>#N/A</v>
      </c>
      <c r="D1428" s="81" t="s">
        <v>2361</v>
      </c>
      <c r="E1428" s="165" t="s">
        <v>58</v>
      </c>
      <c r="F1428" s="81" t="s">
        <v>105</v>
      </c>
      <c r="G1428" s="125" t="s">
        <v>1362</v>
      </c>
      <c r="H1428" s="81" t="s">
        <v>2494</v>
      </c>
      <c r="I1428" s="149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8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1">
        <v>1423.0</v>
      </c>
      <c r="B1429" s="141" t="s">
        <v>2517</v>
      </c>
      <c r="C1429" s="82" t="str">
        <f>VLOOKUP($B$7:$B$5000,SUM!$L$6:$L$500,1,FALSE)</f>
        <v>#N/A</v>
      </c>
      <c r="D1429" s="81" t="s">
        <v>2361</v>
      </c>
      <c r="E1429" s="165" t="s">
        <v>58</v>
      </c>
      <c r="F1429" s="81" t="s">
        <v>105</v>
      </c>
      <c r="G1429" s="125" t="s">
        <v>1362</v>
      </c>
      <c r="H1429" s="81" t="s">
        <v>2496</v>
      </c>
      <c r="I1429" s="149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8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1">
        <v>1424.0</v>
      </c>
      <c r="B1430" s="141" t="s">
        <v>2518</v>
      </c>
      <c r="C1430" s="82" t="str">
        <f>VLOOKUP($B$7:$B$5000,SUM!$L$6:$L$500,1,FALSE)</f>
        <v>#N/A</v>
      </c>
      <c r="D1430" s="81" t="s">
        <v>2361</v>
      </c>
      <c r="E1430" s="165" t="s">
        <v>58</v>
      </c>
      <c r="F1430" s="81" t="s">
        <v>105</v>
      </c>
      <c r="G1430" s="125" t="s">
        <v>1362</v>
      </c>
      <c r="H1430" s="81" t="s">
        <v>2498</v>
      </c>
      <c r="I1430" s="149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8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1">
        <v>1425.0</v>
      </c>
      <c r="B1431" s="141" t="s">
        <v>2519</v>
      </c>
      <c r="C1431" s="82" t="str">
        <f>VLOOKUP($B$7:$B$5000,SUM!$L$6:$L$500,1,FALSE)</f>
        <v>#N/A</v>
      </c>
      <c r="D1431" s="81" t="s">
        <v>2361</v>
      </c>
      <c r="E1431" s="165" t="s">
        <v>58</v>
      </c>
      <c r="F1431" s="81" t="s">
        <v>105</v>
      </c>
      <c r="G1431" s="125" t="s">
        <v>1362</v>
      </c>
      <c r="H1431" s="81" t="s">
        <v>2500</v>
      </c>
      <c r="I1431" s="149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8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1">
        <v>1426.0</v>
      </c>
      <c r="B1432" s="141" t="s">
        <v>2520</v>
      </c>
      <c r="C1432" s="82" t="str">
        <f>VLOOKUP($B$7:$B$5000,SUM!$L$6:$L$500,1,FALSE)</f>
        <v>#N/A</v>
      </c>
      <c r="D1432" s="81" t="s">
        <v>2361</v>
      </c>
      <c r="E1432" s="165" t="s">
        <v>58</v>
      </c>
      <c r="F1432" s="81" t="s">
        <v>105</v>
      </c>
      <c r="G1432" s="125" t="s">
        <v>1362</v>
      </c>
      <c r="H1432" s="81" t="s">
        <v>2502</v>
      </c>
      <c r="I1432" s="149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8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1">
        <v>1427.0</v>
      </c>
      <c r="B1433" s="141" t="s">
        <v>2521</v>
      </c>
      <c r="C1433" s="82" t="str">
        <f>VLOOKUP($B$7:$B$5000,SUM!$L$6:$L$500,1,FALSE)</f>
        <v>#N/A</v>
      </c>
      <c r="D1433" s="81" t="s">
        <v>2361</v>
      </c>
      <c r="E1433" s="165" t="s">
        <v>58</v>
      </c>
      <c r="F1433" s="81" t="s">
        <v>105</v>
      </c>
      <c r="G1433" s="125" t="s">
        <v>2522</v>
      </c>
      <c r="H1433" s="81" t="s">
        <v>2523</v>
      </c>
      <c r="I1433" s="149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8">
        <v>46134.0</v>
      </c>
      <c r="O1433" s="90" t="s">
        <v>67</v>
      </c>
      <c r="P1433" s="90" t="s">
        <v>68</v>
      </c>
      <c r="Q1433" s="150">
        <v>46164.0</v>
      </c>
      <c r="R1433" s="103" t="s">
        <v>597</v>
      </c>
      <c r="S1433" s="150">
        <v>46166.0</v>
      </c>
      <c r="T1433" s="103"/>
      <c r="U1433" s="90" t="s">
        <v>31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1">
        <v>1428.0</v>
      </c>
      <c r="B1434" s="141" t="s">
        <v>2525</v>
      </c>
      <c r="C1434" s="82" t="str">
        <f>VLOOKUP($B$7:$B$5000,SUM!$L$6:$L$500,1,FALSE)</f>
        <v>#N/A</v>
      </c>
      <c r="D1434" s="81" t="s">
        <v>2361</v>
      </c>
      <c r="E1434" s="165" t="s">
        <v>58</v>
      </c>
      <c r="F1434" s="81" t="s">
        <v>105</v>
      </c>
      <c r="G1434" s="125" t="s">
        <v>2522</v>
      </c>
      <c r="H1434" s="81" t="s">
        <v>2523</v>
      </c>
      <c r="I1434" s="149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8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1">
        <v>1429.0</v>
      </c>
      <c r="B1435" s="141" t="s">
        <v>2527</v>
      </c>
      <c r="C1435" s="82" t="str">
        <f>VLOOKUP($B$7:$B$5000,SUM!$L$6:$L$500,1,FALSE)</f>
        <v>#N/A</v>
      </c>
      <c r="D1435" s="81" t="s">
        <v>2361</v>
      </c>
      <c r="E1435" s="165" t="s">
        <v>58</v>
      </c>
      <c r="F1435" s="81" t="s">
        <v>105</v>
      </c>
      <c r="G1435" s="125" t="s">
        <v>2522</v>
      </c>
      <c r="H1435" s="81" t="s">
        <v>2528</v>
      </c>
      <c r="I1435" s="149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8">
        <v>46134.0</v>
      </c>
      <c r="O1435" s="90" t="s">
        <v>67</v>
      </c>
      <c r="P1435" s="90" t="s">
        <v>68</v>
      </c>
      <c r="Q1435" s="154" t="s">
        <v>2132</v>
      </c>
      <c r="R1435" s="154" t="s">
        <v>66</v>
      </c>
      <c r="S1435" s="155">
        <v>46189.0</v>
      </c>
      <c r="T1435" s="156"/>
      <c r="U1435" s="154" t="s">
        <v>31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1">
        <v>1430.0</v>
      </c>
      <c r="B1436" s="141" t="s">
        <v>2529</v>
      </c>
      <c r="C1436" s="82" t="str">
        <f>VLOOKUP($B$7:$B$5000,SUM!$L$6:$L$500,1,FALSE)</f>
        <v>#N/A</v>
      </c>
      <c r="D1436" s="81" t="s">
        <v>2361</v>
      </c>
      <c r="E1436" s="165" t="s">
        <v>58</v>
      </c>
      <c r="F1436" s="81" t="s">
        <v>105</v>
      </c>
      <c r="G1436" s="125" t="s">
        <v>2522</v>
      </c>
      <c r="H1436" s="81" t="s">
        <v>2528</v>
      </c>
      <c r="I1436" s="149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8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1">
        <v>1431.0</v>
      </c>
      <c r="B1437" s="141" t="s">
        <v>2530</v>
      </c>
      <c r="C1437" s="82" t="str">
        <f>VLOOKUP($B$7:$B$5000,SUM!$L$6:$L$500,1,FALSE)</f>
        <v>#N/A</v>
      </c>
      <c r="D1437" s="81" t="s">
        <v>2531</v>
      </c>
      <c r="E1437" s="165" t="s">
        <v>58</v>
      </c>
      <c r="F1437" s="81" t="s">
        <v>59</v>
      </c>
      <c r="G1437" s="125" t="s">
        <v>235</v>
      </c>
      <c r="H1437" s="81" t="s">
        <v>61</v>
      </c>
      <c r="I1437" s="149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1">
        <v>1432.0</v>
      </c>
      <c r="B1438" s="141" t="s">
        <v>2533</v>
      </c>
      <c r="C1438" s="82" t="str">
        <f>VLOOKUP($B$7:$B$5000,SUM!$L$6:$L$500,1,FALSE)</f>
        <v>#N/A</v>
      </c>
      <c r="D1438" s="81" t="s">
        <v>2531</v>
      </c>
      <c r="E1438" s="165" t="s">
        <v>58</v>
      </c>
      <c r="F1438" s="81" t="s">
        <v>59</v>
      </c>
      <c r="G1438" s="125" t="s">
        <v>235</v>
      </c>
      <c r="H1438" s="81" t="s">
        <v>61</v>
      </c>
      <c r="I1438" s="149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1">
        <v>1433.0</v>
      </c>
      <c r="B1439" s="141" t="s">
        <v>2535</v>
      </c>
      <c r="C1439" s="82" t="str">
        <f>VLOOKUP($B$7:$B$5000,SUM!$L$6:$L$500,1,FALSE)</f>
        <v>#N/A</v>
      </c>
      <c r="D1439" s="81" t="s">
        <v>2531</v>
      </c>
      <c r="E1439" s="165" t="s">
        <v>58</v>
      </c>
      <c r="F1439" s="81" t="s">
        <v>59</v>
      </c>
      <c r="G1439" s="125" t="s">
        <v>235</v>
      </c>
      <c r="H1439" s="81" t="s">
        <v>61</v>
      </c>
      <c r="I1439" s="149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1">
        <v>1434.0</v>
      </c>
      <c r="B1440" s="141" t="s">
        <v>2537</v>
      </c>
      <c r="C1440" s="82" t="str">
        <f>VLOOKUP($B$7:$B$5000,SUM!$L$6:$L$500,1,FALSE)</f>
        <v>#N/A</v>
      </c>
      <c r="D1440" s="81" t="s">
        <v>2531</v>
      </c>
      <c r="E1440" s="165" t="s">
        <v>58</v>
      </c>
      <c r="F1440" s="81" t="s">
        <v>59</v>
      </c>
      <c r="G1440" s="125" t="s">
        <v>235</v>
      </c>
      <c r="H1440" s="81" t="s">
        <v>61</v>
      </c>
      <c r="I1440" s="149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1">
        <v>1435.0</v>
      </c>
      <c r="B1441" s="141" t="s">
        <v>2539</v>
      </c>
      <c r="C1441" s="82" t="str">
        <f>VLOOKUP($B$7:$B$5000,SUM!$L$6:$L$500,1,FALSE)</f>
        <v>#N/A</v>
      </c>
      <c r="D1441" s="81" t="s">
        <v>2531</v>
      </c>
      <c r="E1441" s="165" t="s">
        <v>58</v>
      </c>
      <c r="F1441" s="81" t="s">
        <v>59</v>
      </c>
      <c r="G1441" s="125" t="s">
        <v>235</v>
      </c>
      <c r="H1441" s="81" t="s">
        <v>61</v>
      </c>
      <c r="I1441" s="149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1">
        <v>1436.0</v>
      </c>
      <c r="B1442" s="141" t="s">
        <v>2541</v>
      </c>
      <c r="C1442" s="82" t="str">
        <f>VLOOKUP($B$7:$B$5000,SUM!$L$6:$L$500,1,FALSE)</f>
        <v>#N/A</v>
      </c>
      <c r="D1442" s="84" t="s">
        <v>2542</v>
      </c>
      <c r="E1442" s="124" t="s">
        <v>58</v>
      </c>
      <c r="F1442" s="84" t="s">
        <v>2543</v>
      </c>
      <c r="G1442" s="95" t="s">
        <v>2544</v>
      </c>
      <c r="H1442" s="167" t="s">
        <v>2545</v>
      </c>
      <c r="I1442" s="16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68">
        <v>46135.0</v>
      </c>
      <c r="O1442" s="95" t="s">
        <v>67</v>
      </c>
      <c r="P1442" s="95" t="s">
        <v>68</v>
      </c>
      <c r="Q1442" s="95"/>
      <c r="R1442" s="95"/>
      <c r="S1442" s="168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1">
        <v>1437.0</v>
      </c>
      <c r="B1443" s="141" t="s">
        <v>2547</v>
      </c>
      <c r="C1443" s="82" t="str">
        <f>VLOOKUP($B$7:$B$5000,SUM!$L$6:$L$500,1,FALSE)</f>
        <v>#N/A</v>
      </c>
      <c r="D1443" s="84" t="s">
        <v>2542</v>
      </c>
      <c r="E1443" s="169" t="s">
        <v>58</v>
      </c>
      <c r="F1443" s="84" t="s">
        <v>2543</v>
      </c>
      <c r="G1443" s="170" t="s">
        <v>2544</v>
      </c>
      <c r="H1443" s="95" t="s">
        <v>2545</v>
      </c>
      <c r="I1443" s="16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68">
        <v>46135.0</v>
      </c>
      <c r="O1443" s="95" t="s">
        <v>67</v>
      </c>
      <c r="P1443" s="95" t="s">
        <v>68</v>
      </c>
      <c r="Q1443" s="95"/>
      <c r="R1443" s="95"/>
      <c r="S1443" s="168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1">
        <v>1438.0</v>
      </c>
      <c r="B1444" s="141" t="s">
        <v>2549</v>
      </c>
      <c r="C1444" s="82" t="str">
        <f>VLOOKUP($B$7:$B$5000,SUM!$L$6:$L$500,1,FALSE)</f>
        <v>#N/A</v>
      </c>
      <c r="D1444" s="84" t="s">
        <v>2542</v>
      </c>
      <c r="E1444" s="169" t="s">
        <v>58</v>
      </c>
      <c r="F1444" s="84" t="s">
        <v>2543</v>
      </c>
      <c r="G1444" s="170" t="s">
        <v>2544</v>
      </c>
      <c r="H1444" s="95" t="s">
        <v>2550</v>
      </c>
      <c r="I1444" s="16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68">
        <v>46135.0</v>
      </c>
      <c r="O1444" s="95" t="s">
        <v>67</v>
      </c>
      <c r="P1444" s="95" t="s">
        <v>68</v>
      </c>
      <c r="Q1444" s="95"/>
      <c r="R1444" s="95"/>
      <c r="S1444" s="168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1">
        <v>1439.0</v>
      </c>
      <c r="B1445" s="141" t="s">
        <v>2551</v>
      </c>
      <c r="C1445" s="82" t="str">
        <f>VLOOKUP($B$7:$B$5000,SUM!$L$6:$L$500,1,FALSE)</f>
        <v>#N/A</v>
      </c>
      <c r="D1445" s="84" t="s">
        <v>2542</v>
      </c>
      <c r="E1445" s="169" t="s">
        <v>58</v>
      </c>
      <c r="F1445" s="84" t="s">
        <v>2543</v>
      </c>
      <c r="G1445" s="170" t="s">
        <v>2544</v>
      </c>
      <c r="H1445" s="95" t="s">
        <v>2550</v>
      </c>
      <c r="I1445" s="16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68">
        <v>46135.0</v>
      </c>
      <c r="O1445" s="95" t="s">
        <v>67</v>
      </c>
      <c r="P1445" s="95" t="s">
        <v>68</v>
      </c>
      <c r="Q1445" s="95"/>
      <c r="R1445" s="95"/>
      <c r="S1445" s="168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1">
        <v>1440.0</v>
      </c>
      <c r="B1446" s="141" t="s">
        <v>2553</v>
      </c>
      <c r="C1446" s="82" t="str">
        <f>VLOOKUP($B$7:$B$5000,SUM!$L$6:$L$500,1,FALSE)</f>
        <v>#N/A</v>
      </c>
      <c r="D1446" s="84" t="s">
        <v>2542</v>
      </c>
      <c r="E1446" s="169" t="s">
        <v>58</v>
      </c>
      <c r="F1446" s="84" t="s">
        <v>2543</v>
      </c>
      <c r="G1446" s="170" t="s">
        <v>2544</v>
      </c>
      <c r="H1446" s="95" t="s">
        <v>2554</v>
      </c>
      <c r="I1446" s="16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68">
        <v>46135.0</v>
      </c>
      <c r="O1446" s="95" t="s">
        <v>67</v>
      </c>
      <c r="P1446" s="95" t="s">
        <v>68</v>
      </c>
      <c r="Q1446" s="95"/>
      <c r="R1446" s="95"/>
      <c r="S1446" s="168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1">
        <v>1441.0</v>
      </c>
      <c r="B1447" s="141" t="s">
        <v>2555</v>
      </c>
      <c r="C1447" s="82" t="str">
        <f>VLOOKUP($B$7:$B$5000,SUM!$L$6:$L$500,1,FALSE)</f>
        <v>#N/A</v>
      </c>
      <c r="D1447" s="84" t="s">
        <v>2542</v>
      </c>
      <c r="E1447" s="169" t="s">
        <v>58</v>
      </c>
      <c r="F1447" s="84" t="s">
        <v>2543</v>
      </c>
      <c r="G1447" s="170" t="s">
        <v>2544</v>
      </c>
      <c r="H1447" s="95" t="s">
        <v>2554</v>
      </c>
      <c r="I1447" s="16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68">
        <v>46135.0</v>
      </c>
      <c r="O1447" s="95" t="s">
        <v>67</v>
      </c>
      <c r="P1447" s="95" t="s">
        <v>68</v>
      </c>
      <c r="Q1447" s="95"/>
      <c r="R1447" s="95"/>
      <c r="S1447" s="168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1">
        <v>1442.0</v>
      </c>
      <c r="B1448" s="141" t="s">
        <v>2556</v>
      </c>
      <c r="C1448" s="82" t="str">
        <f>VLOOKUP($B$7:$B$5000,SUM!$L$6:$L$500,1,FALSE)</f>
        <v>#N/A</v>
      </c>
      <c r="D1448" s="84" t="s">
        <v>2542</v>
      </c>
      <c r="E1448" s="169" t="s">
        <v>58</v>
      </c>
      <c r="F1448" s="84" t="s">
        <v>2543</v>
      </c>
      <c r="G1448" s="170" t="s">
        <v>2544</v>
      </c>
      <c r="H1448" s="95" t="s">
        <v>2557</v>
      </c>
      <c r="I1448" s="16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68">
        <v>46135.0</v>
      </c>
      <c r="O1448" s="95" t="s">
        <v>67</v>
      </c>
      <c r="P1448" s="95" t="s">
        <v>68</v>
      </c>
      <c r="Q1448" s="95"/>
      <c r="R1448" s="95"/>
      <c r="S1448" s="168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1">
        <v>1443.0</v>
      </c>
      <c r="B1449" s="141" t="s">
        <v>2558</v>
      </c>
      <c r="C1449" s="82" t="str">
        <f>VLOOKUP($B$7:$B$5000,SUM!$L$6:$L$500,1,FALSE)</f>
        <v>#N/A</v>
      </c>
      <c r="D1449" s="84" t="s">
        <v>2542</v>
      </c>
      <c r="E1449" s="169" t="s">
        <v>58</v>
      </c>
      <c r="F1449" s="84" t="s">
        <v>2543</v>
      </c>
      <c r="G1449" s="170" t="s">
        <v>2544</v>
      </c>
      <c r="H1449" s="95" t="s">
        <v>2557</v>
      </c>
      <c r="I1449" s="16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68">
        <v>46135.0</v>
      </c>
      <c r="O1449" s="95" t="s">
        <v>67</v>
      </c>
      <c r="P1449" s="95" t="s">
        <v>68</v>
      </c>
      <c r="Q1449" s="95"/>
      <c r="R1449" s="95"/>
      <c r="S1449" s="168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1">
        <v>1444.0</v>
      </c>
      <c r="B1450" s="141" t="s">
        <v>2559</v>
      </c>
      <c r="C1450" s="82" t="str">
        <f>VLOOKUP($B$7:$B$5000,SUM!$L$6:$L$500,1,FALSE)</f>
        <v>#N/A</v>
      </c>
      <c r="D1450" s="84" t="s">
        <v>2542</v>
      </c>
      <c r="E1450" s="169" t="s">
        <v>58</v>
      </c>
      <c r="F1450" s="84" t="s">
        <v>2543</v>
      </c>
      <c r="G1450" s="170" t="s">
        <v>2544</v>
      </c>
      <c r="H1450" s="95" t="s">
        <v>2560</v>
      </c>
      <c r="I1450" s="16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68">
        <v>46135.0</v>
      </c>
      <c r="O1450" s="95" t="s">
        <v>67</v>
      </c>
      <c r="P1450" s="95" t="s">
        <v>68</v>
      </c>
      <c r="Q1450" s="95"/>
      <c r="R1450" s="95"/>
      <c r="S1450" s="168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1">
        <v>1445.0</v>
      </c>
      <c r="B1451" s="141" t="s">
        <v>2561</v>
      </c>
      <c r="C1451" s="82" t="str">
        <f>VLOOKUP($B$7:$B$5000,SUM!$L$6:$L$500,1,FALSE)</f>
        <v>#N/A</v>
      </c>
      <c r="D1451" s="84" t="s">
        <v>2542</v>
      </c>
      <c r="E1451" s="169" t="s">
        <v>58</v>
      </c>
      <c r="F1451" s="84" t="s">
        <v>2543</v>
      </c>
      <c r="G1451" s="170" t="s">
        <v>2544</v>
      </c>
      <c r="H1451" s="95" t="s">
        <v>2560</v>
      </c>
      <c r="I1451" s="16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68">
        <v>46135.0</v>
      </c>
      <c r="O1451" s="95" t="s">
        <v>67</v>
      </c>
      <c r="P1451" s="95" t="s">
        <v>68</v>
      </c>
      <c r="Q1451" s="95"/>
      <c r="R1451" s="95"/>
      <c r="S1451" s="168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1">
        <v>1446.0</v>
      </c>
      <c r="B1452" s="141" t="s">
        <v>2562</v>
      </c>
      <c r="C1452" s="82" t="str">
        <f>VLOOKUP($B$7:$B$5000,SUM!$L$6:$L$500,1,FALSE)</f>
        <v>#N/A</v>
      </c>
      <c r="D1452" s="84" t="s">
        <v>2542</v>
      </c>
      <c r="E1452" s="169" t="s">
        <v>58</v>
      </c>
      <c r="F1452" s="84" t="s">
        <v>2543</v>
      </c>
      <c r="G1452" s="170" t="s">
        <v>2544</v>
      </c>
      <c r="H1452" s="95" t="s">
        <v>2563</v>
      </c>
      <c r="I1452" s="16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68">
        <v>46135.0</v>
      </c>
      <c r="O1452" s="95" t="s">
        <v>67</v>
      </c>
      <c r="P1452" s="95" t="s">
        <v>68</v>
      </c>
      <c r="Q1452" s="95"/>
      <c r="R1452" s="95"/>
      <c r="S1452" s="168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1">
        <v>1447.0</v>
      </c>
      <c r="B1453" s="141" t="s">
        <v>2564</v>
      </c>
      <c r="C1453" s="82" t="str">
        <f>VLOOKUP($B$7:$B$5000,SUM!$L$6:$L$500,1,FALSE)</f>
        <v>#N/A</v>
      </c>
      <c r="D1453" s="84" t="s">
        <v>2542</v>
      </c>
      <c r="E1453" s="169" t="s">
        <v>58</v>
      </c>
      <c r="F1453" s="84" t="s">
        <v>2543</v>
      </c>
      <c r="G1453" s="170" t="s">
        <v>2544</v>
      </c>
      <c r="H1453" s="95" t="s">
        <v>2563</v>
      </c>
      <c r="I1453" s="16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68">
        <v>46135.0</v>
      </c>
      <c r="O1453" s="95" t="s">
        <v>67</v>
      </c>
      <c r="P1453" s="95" t="s">
        <v>68</v>
      </c>
      <c r="Q1453" s="95"/>
      <c r="R1453" s="95"/>
      <c r="S1453" s="168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1">
        <v>1448.0</v>
      </c>
      <c r="B1454" s="141" t="s">
        <v>2565</v>
      </c>
      <c r="C1454" s="82" t="str">
        <f>VLOOKUP($B$7:$B$5000,SUM!$L$6:$L$500,1,FALSE)</f>
        <v>#N/A</v>
      </c>
      <c r="D1454" s="84" t="s">
        <v>2542</v>
      </c>
      <c r="E1454" s="169" t="s">
        <v>58</v>
      </c>
      <c r="F1454" s="84" t="s">
        <v>2543</v>
      </c>
      <c r="G1454" s="170" t="s">
        <v>2544</v>
      </c>
      <c r="H1454" s="95" t="s">
        <v>2566</v>
      </c>
      <c r="I1454" s="16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68">
        <v>46135.0</v>
      </c>
      <c r="O1454" s="95" t="s">
        <v>67</v>
      </c>
      <c r="P1454" s="95" t="s">
        <v>68</v>
      </c>
      <c r="Q1454" s="95"/>
      <c r="R1454" s="95"/>
      <c r="S1454" s="168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1">
        <v>1449.0</v>
      </c>
      <c r="B1455" s="141" t="s">
        <v>2567</v>
      </c>
      <c r="C1455" s="82" t="str">
        <f>VLOOKUP($B$7:$B$5000,SUM!$L$6:$L$500,1,FALSE)</f>
        <v>#N/A</v>
      </c>
      <c r="D1455" s="84" t="s">
        <v>2542</v>
      </c>
      <c r="E1455" s="169" t="s">
        <v>58</v>
      </c>
      <c r="F1455" s="84" t="s">
        <v>2543</v>
      </c>
      <c r="G1455" s="170" t="s">
        <v>2544</v>
      </c>
      <c r="H1455" s="95" t="s">
        <v>2566</v>
      </c>
      <c r="I1455" s="16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68">
        <v>46135.0</v>
      </c>
      <c r="O1455" s="95" t="s">
        <v>67</v>
      </c>
      <c r="P1455" s="95" t="s">
        <v>68</v>
      </c>
      <c r="Q1455" s="95"/>
      <c r="R1455" s="95"/>
      <c r="S1455" s="168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1">
        <v>1450.0</v>
      </c>
      <c r="B1456" s="141" t="s">
        <v>2568</v>
      </c>
      <c r="C1456" s="82" t="str">
        <f>VLOOKUP($B$7:$B$5000,SUM!$L$6:$L$500,1,FALSE)</f>
        <v>#N/A</v>
      </c>
      <c r="D1456" s="84" t="s">
        <v>2542</v>
      </c>
      <c r="E1456" s="169" t="s">
        <v>58</v>
      </c>
      <c r="F1456" s="84" t="s">
        <v>2543</v>
      </c>
      <c r="G1456" s="170" t="s">
        <v>2544</v>
      </c>
      <c r="H1456" s="95" t="s">
        <v>2566</v>
      </c>
      <c r="I1456" s="16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68">
        <v>46135.0</v>
      </c>
      <c r="O1456" s="95" t="s">
        <v>67</v>
      </c>
      <c r="P1456" s="95" t="s">
        <v>68</v>
      </c>
      <c r="Q1456" s="95"/>
      <c r="R1456" s="95"/>
      <c r="S1456" s="168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1">
        <v>1451.0</v>
      </c>
      <c r="B1457" s="141" t="s">
        <v>2570</v>
      </c>
      <c r="C1457" s="82" t="str">
        <f>VLOOKUP($B$7:$B$5000,SUM!$L$6:$L$500,1,FALSE)</f>
        <v>#N/A</v>
      </c>
      <c r="D1457" s="84" t="s">
        <v>2542</v>
      </c>
      <c r="E1457" s="169" t="s">
        <v>58</v>
      </c>
      <c r="F1457" s="84" t="s">
        <v>2543</v>
      </c>
      <c r="G1457" s="170" t="s">
        <v>2544</v>
      </c>
      <c r="H1457" s="95" t="s">
        <v>2571</v>
      </c>
      <c r="I1457" s="16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68">
        <v>46135.0</v>
      </c>
      <c r="O1457" s="95" t="s">
        <v>67</v>
      </c>
      <c r="P1457" s="95" t="s">
        <v>68</v>
      </c>
      <c r="Q1457" s="95"/>
      <c r="R1457" s="95"/>
      <c r="S1457" s="168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1">
        <v>1452.0</v>
      </c>
      <c r="B1458" s="141" t="s">
        <v>2572</v>
      </c>
      <c r="C1458" s="82" t="str">
        <f>VLOOKUP($B$7:$B$5000,SUM!$L$6:$L$500,1,FALSE)</f>
        <v>#N/A</v>
      </c>
      <c r="D1458" s="84" t="s">
        <v>2542</v>
      </c>
      <c r="E1458" s="169" t="s">
        <v>58</v>
      </c>
      <c r="F1458" s="84" t="s">
        <v>2543</v>
      </c>
      <c r="G1458" s="170" t="s">
        <v>2544</v>
      </c>
      <c r="H1458" s="95" t="s">
        <v>2571</v>
      </c>
      <c r="I1458" s="16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68">
        <v>46135.0</v>
      </c>
      <c r="O1458" s="95" t="s">
        <v>67</v>
      </c>
      <c r="P1458" s="95" t="s">
        <v>68</v>
      </c>
      <c r="Q1458" s="95"/>
      <c r="R1458" s="95"/>
      <c r="S1458" s="168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1">
        <v>1453.0</v>
      </c>
      <c r="B1459" s="141" t="s">
        <v>2574</v>
      </c>
      <c r="C1459" s="82" t="str">
        <f>VLOOKUP($B$7:$B$5000,SUM!$L$6:$L$500,1,FALSE)</f>
        <v>#N/A</v>
      </c>
      <c r="D1459" s="84" t="s">
        <v>2542</v>
      </c>
      <c r="E1459" s="169" t="s">
        <v>58</v>
      </c>
      <c r="F1459" s="84" t="s">
        <v>2543</v>
      </c>
      <c r="G1459" s="170" t="s">
        <v>2544</v>
      </c>
      <c r="H1459" s="95" t="s">
        <v>2575</v>
      </c>
      <c r="I1459" s="16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68">
        <v>46135.0</v>
      </c>
      <c r="O1459" s="95" t="s">
        <v>67</v>
      </c>
      <c r="P1459" s="95" t="s">
        <v>68</v>
      </c>
      <c r="Q1459" s="95"/>
      <c r="R1459" s="95"/>
      <c r="S1459" s="168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1">
        <v>1454.0</v>
      </c>
      <c r="B1460" s="141" t="s">
        <v>2576</v>
      </c>
      <c r="C1460" s="82" t="str">
        <f>VLOOKUP($B$7:$B$5000,SUM!$L$6:$L$500,1,FALSE)</f>
        <v>#N/A</v>
      </c>
      <c r="D1460" s="84" t="s">
        <v>2542</v>
      </c>
      <c r="E1460" s="169" t="s">
        <v>58</v>
      </c>
      <c r="F1460" s="84" t="s">
        <v>2543</v>
      </c>
      <c r="G1460" s="170" t="s">
        <v>2544</v>
      </c>
      <c r="H1460" s="95" t="s">
        <v>2575</v>
      </c>
      <c r="I1460" s="16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68">
        <v>46135.0</v>
      </c>
      <c r="O1460" s="95" t="s">
        <v>67</v>
      </c>
      <c r="P1460" s="95" t="s">
        <v>68</v>
      </c>
      <c r="Q1460" s="95"/>
      <c r="R1460" s="95"/>
      <c r="S1460" s="168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1">
        <v>1455.0</v>
      </c>
      <c r="B1461" s="141" t="s">
        <v>2577</v>
      </c>
      <c r="C1461" s="82" t="str">
        <f>VLOOKUP($B$7:$B$5000,SUM!$L$6:$L$500,1,FALSE)</f>
        <v>#N/A</v>
      </c>
      <c r="D1461" s="84" t="s">
        <v>2542</v>
      </c>
      <c r="E1461" s="169" t="s">
        <v>58</v>
      </c>
      <c r="F1461" s="84" t="s">
        <v>2543</v>
      </c>
      <c r="G1461" s="170" t="s">
        <v>2544</v>
      </c>
      <c r="H1461" s="95" t="s">
        <v>2578</v>
      </c>
      <c r="I1461" s="16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68">
        <v>46135.0</v>
      </c>
      <c r="O1461" s="95" t="s">
        <v>67</v>
      </c>
      <c r="P1461" s="95" t="s">
        <v>68</v>
      </c>
      <c r="Q1461" s="95"/>
      <c r="R1461" s="95"/>
      <c r="S1461" s="168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1">
        <v>1456.0</v>
      </c>
      <c r="B1462" s="141" t="s">
        <v>2579</v>
      </c>
      <c r="C1462" s="82" t="str">
        <f>VLOOKUP($B$7:$B$5000,SUM!$L$6:$L$500,1,FALSE)</f>
        <v>#N/A</v>
      </c>
      <c r="D1462" s="84" t="s">
        <v>2542</v>
      </c>
      <c r="E1462" s="169" t="s">
        <v>58</v>
      </c>
      <c r="F1462" s="84" t="s">
        <v>2543</v>
      </c>
      <c r="G1462" s="170" t="s">
        <v>2544</v>
      </c>
      <c r="H1462" s="95" t="s">
        <v>2578</v>
      </c>
      <c r="I1462" s="16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68">
        <v>46135.0</v>
      </c>
      <c r="O1462" s="95" t="s">
        <v>67</v>
      </c>
      <c r="P1462" s="95" t="s">
        <v>68</v>
      </c>
      <c r="Q1462" s="95"/>
      <c r="R1462" s="95"/>
      <c r="S1462" s="168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1">
        <v>1457.0</v>
      </c>
      <c r="B1463" s="141" t="s">
        <v>2580</v>
      </c>
      <c r="C1463" s="82" t="str">
        <f>VLOOKUP($B$7:$B$5000,SUM!$L$6:$L$500,1,FALSE)</f>
        <v>#N/A</v>
      </c>
      <c r="D1463" s="84" t="s">
        <v>2542</v>
      </c>
      <c r="E1463" s="169" t="s">
        <v>58</v>
      </c>
      <c r="F1463" s="84" t="s">
        <v>2543</v>
      </c>
      <c r="G1463" s="170" t="s">
        <v>2544</v>
      </c>
      <c r="H1463" s="95" t="s">
        <v>2581</v>
      </c>
      <c r="I1463" s="16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68">
        <v>46135.0</v>
      </c>
      <c r="O1463" s="95" t="s">
        <v>67</v>
      </c>
      <c r="P1463" s="95" t="s">
        <v>68</v>
      </c>
      <c r="Q1463" s="95"/>
      <c r="R1463" s="95"/>
      <c r="S1463" s="168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1">
        <v>1458.0</v>
      </c>
      <c r="B1464" s="141" t="s">
        <v>2582</v>
      </c>
      <c r="C1464" s="82" t="str">
        <f>VLOOKUP($B$7:$B$5000,SUM!$L$6:$L$500,1,FALSE)</f>
        <v>#N/A</v>
      </c>
      <c r="D1464" s="84" t="s">
        <v>2542</v>
      </c>
      <c r="E1464" s="169" t="s">
        <v>58</v>
      </c>
      <c r="F1464" s="84" t="s">
        <v>2543</v>
      </c>
      <c r="G1464" s="170" t="s">
        <v>2544</v>
      </c>
      <c r="H1464" s="95" t="s">
        <v>2581</v>
      </c>
      <c r="I1464" s="16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68">
        <v>46135.0</v>
      </c>
      <c r="O1464" s="95" t="s">
        <v>67</v>
      </c>
      <c r="P1464" s="95" t="s">
        <v>68</v>
      </c>
      <c r="Q1464" s="95"/>
      <c r="R1464" s="95"/>
      <c r="S1464" s="168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1">
        <v>1459.0</v>
      </c>
      <c r="B1465" s="141" t="s">
        <v>2583</v>
      </c>
      <c r="C1465" s="82" t="str">
        <f>VLOOKUP($B$7:$B$5000,SUM!$L$6:$L$500,1,FALSE)</f>
        <v>#N/A</v>
      </c>
      <c r="D1465" s="84" t="s">
        <v>2542</v>
      </c>
      <c r="E1465" s="169" t="s">
        <v>58</v>
      </c>
      <c r="F1465" s="84" t="s">
        <v>2543</v>
      </c>
      <c r="G1465" s="170" t="s">
        <v>2544</v>
      </c>
      <c r="H1465" s="95" t="s">
        <v>2584</v>
      </c>
      <c r="I1465" s="16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68">
        <v>46135.0</v>
      </c>
      <c r="O1465" s="95" t="s">
        <v>67</v>
      </c>
      <c r="P1465" s="95" t="s">
        <v>68</v>
      </c>
      <c r="Q1465" s="95"/>
      <c r="R1465" s="95"/>
      <c r="S1465" s="168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1">
        <v>1460.0</v>
      </c>
      <c r="B1466" s="141" t="s">
        <v>2585</v>
      </c>
      <c r="C1466" s="82" t="str">
        <f>VLOOKUP($B$7:$B$5000,SUM!$L$6:$L$500,1,FALSE)</f>
        <v>#N/A</v>
      </c>
      <c r="D1466" s="84" t="s">
        <v>2542</v>
      </c>
      <c r="E1466" s="169" t="s">
        <v>58</v>
      </c>
      <c r="F1466" s="84" t="s">
        <v>2543</v>
      </c>
      <c r="G1466" s="170" t="s">
        <v>2544</v>
      </c>
      <c r="H1466" s="95" t="s">
        <v>2584</v>
      </c>
      <c r="I1466" s="16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68">
        <v>46135.0</v>
      </c>
      <c r="O1466" s="95" t="s">
        <v>67</v>
      </c>
      <c r="P1466" s="95" t="s">
        <v>68</v>
      </c>
      <c r="Q1466" s="95"/>
      <c r="R1466" s="95"/>
      <c r="S1466" s="168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1">
        <v>1461.0</v>
      </c>
      <c r="B1467" s="141" t="s">
        <v>2586</v>
      </c>
      <c r="C1467" s="82" t="str">
        <f>VLOOKUP($B$7:$B$5000,SUM!$L$6:$L$500,1,FALSE)</f>
        <v>#N/A</v>
      </c>
      <c r="D1467" s="84" t="s">
        <v>2542</v>
      </c>
      <c r="E1467" s="169" t="s">
        <v>58</v>
      </c>
      <c r="F1467" s="84" t="s">
        <v>2543</v>
      </c>
      <c r="G1467" s="170" t="s">
        <v>2544</v>
      </c>
      <c r="H1467" s="95" t="s">
        <v>2587</v>
      </c>
      <c r="I1467" s="16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68">
        <v>46135.0</v>
      </c>
      <c r="O1467" s="95" t="s">
        <v>67</v>
      </c>
      <c r="P1467" s="95" t="s">
        <v>68</v>
      </c>
      <c r="Q1467" s="95"/>
      <c r="R1467" s="95"/>
      <c r="S1467" s="168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1">
        <v>1462.0</v>
      </c>
      <c r="B1468" s="141" t="s">
        <v>2588</v>
      </c>
      <c r="C1468" s="82" t="str">
        <f>VLOOKUP($B$7:$B$5000,SUM!$L$6:$L$500,1,FALSE)</f>
        <v>#N/A</v>
      </c>
      <c r="D1468" s="84" t="s">
        <v>2542</v>
      </c>
      <c r="E1468" s="169" t="s">
        <v>58</v>
      </c>
      <c r="F1468" s="84" t="s">
        <v>2543</v>
      </c>
      <c r="G1468" s="170" t="s">
        <v>2544</v>
      </c>
      <c r="H1468" s="95" t="s">
        <v>2587</v>
      </c>
      <c r="I1468" s="16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68">
        <v>46135.0</v>
      </c>
      <c r="O1468" s="95" t="s">
        <v>67</v>
      </c>
      <c r="P1468" s="95" t="s">
        <v>68</v>
      </c>
      <c r="Q1468" s="95"/>
      <c r="R1468" s="95"/>
      <c r="S1468" s="168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1">
        <v>1463.0</v>
      </c>
      <c r="B1469" s="141" t="s">
        <v>2589</v>
      </c>
      <c r="C1469" s="82" t="str">
        <f>VLOOKUP($B$7:$B$5000,SUM!$L$6:$L$500,1,FALSE)</f>
        <v>#N/A</v>
      </c>
      <c r="D1469" s="84" t="s">
        <v>2542</v>
      </c>
      <c r="E1469" s="169" t="s">
        <v>58</v>
      </c>
      <c r="F1469" s="84" t="s">
        <v>2543</v>
      </c>
      <c r="G1469" s="170" t="s">
        <v>2544</v>
      </c>
      <c r="H1469" s="95" t="s">
        <v>2590</v>
      </c>
      <c r="I1469" s="16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68">
        <v>46135.0</v>
      </c>
      <c r="O1469" s="95" t="s">
        <v>67</v>
      </c>
      <c r="P1469" s="95" t="s">
        <v>68</v>
      </c>
      <c r="Q1469" s="95"/>
      <c r="R1469" s="95"/>
      <c r="S1469" s="168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1">
        <v>1464.0</v>
      </c>
      <c r="B1470" s="141" t="s">
        <v>2591</v>
      </c>
      <c r="C1470" s="82" t="str">
        <f>VLOOKUP($B$7:$B$5000,SUM!$L$6:$L$500,1,FALSE)</f>
        <v>#N/A</v>
      </c>
      <c r="D1470" s="84" t="s">
        <v>2542</v>
      </c>
      <c r="E1470" s="169" t="s">
        <v>58</v>
      </c>
      <c r="F1470" s="84" t="s">
        <v>2543</v>
      </c>
      <c r="G1470" s="170" t="s">
        <v>2544</v>
      </c>
      <c r="H1470" s="95" t="s">
        <v>2590</v>
      </c>
      <c r="I1470" s="16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68">
        <v>46135.0</v>
      </c>
      <c r="O1470" s="95" t="s">
        <v>67</v>
      </c>
      <c r="P1470" s="95" t="s">
        <v>68</v>
      </c>
      <c r="Q1470" s="95"/>
      <c r="R1470" s="95"/>
      <c r="S1470" s="168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1">
        <v>1465.0</v>
      </c>
      <c r="B1471" s="141" t="s">
        <v>2592</v>
      </c>
      <c r="C1471" s="82" t="str">
        <f>VLOOKUP($B$7:$B$5000,SUM!$L$6:$L$500,1,FALSE)</f>
        <v>#N/A</v>
      </c>
      <c r="D1471" s="84" t="s">
        <v>2542</v>
      </c>
      <c r="E1471" s="169" t="s">
        <v>58</v>
      </c>
      <c r="F1471" s="84" t="s">
        <v>2543</v>
      </c>
      <c r="G1471" s="170" t="s">
        <v>2544</v>
      </c>
      <c r="H1471" s="95" t="s">
        <v>2593</v>
      </c>
      <c r="I1471" s="16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68">
        <v>46135.0</v>
      </c>
      <c r="O1471" s="95" t="s">
        <v>67</v>
      </c>
      <c r="P1471" s="95" t="s">
        <v>68</v>
      </c>
      <c r="Q1471" s="95"/>
      <c r="R1471" s="95"/>
      <c r="S1471" s="168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1">
        <v>1466.0</v>
      </c>
      <c r="B1472" s="141" t="s">
        <v>2594</v>
      </c>
      <c r="C1472" s="82" t="str">
        <f>VLOOKUP($B$7:$B$5000,SUM!$L$6:$L$500,1,FALSE)</f>
        <v>#N/A</v>
      </c>
      <c r="D1472" s="84" t="s">
        <v>2542</v>
      </c>
      <c r="E1472" s="169" t="s">
        <v>58</v>
      </c>
      <c r="F1472" s="84" t="s">
        <v>2543</v>
      </c>
      <c r="G1472" s="170" t="s">
        <v>2544</v>
      </c>
      <c r="H1472" s="95" t="s">
        <v>2593</v>
      </c>
      <c r="I1472" s="16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68">
        <v>46135.0</v>
      </c>
      <c r="O1472" s="95" t="s">
        <v>67</v>
      </c>
      <c r="P1472" s="95" t="s">
        <v>68</v>
      </c>
      <c r="Q1472" s="95"/>
      <c r="R1472" s="95"/>
      <c r="S1472" s="168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1">
        <v>1467.0</v>
      </c>
      <c r="B1473" s="141" t="s">
        <v>2595</v>
      </c>
      <c r="C1473" s="82" t="str">
        <f>VLOOKUP($B$7:$B$5000,SUM!$L$6:$L$500,1,FALSE)</f>
        <v>#N/A</v>
      </c>
      <c r="D1473" s="84" t="s">
        <v>2542</v>
      </c>
      <c r="E1473" s="169" t="s">
        <v>58</v>
      </c>
      <c r="F1473" s="84" t="s">
        <v>2543</v>
      </c>
      <c r="G1473" s="170" t="s">
        <v>2544</v>
      </c>
      <c r="H1473" s="95" t="s">
        <v>2596</v>
      </c>
      <c r="I1473" s="16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68">
        <v>46135.0</v>
      </c>
      <c r="O1473" s="95" t="s">
        <v>67</v>
      </c>
      <c r="P1473" s="95" t="s">
        <v>68</v>
      </c>
      <c r="Q1473" s="95"/>
      <c r="R1473" s="95"/>
      <c r="S1473" s="168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1">
        <v>1468.0</v>
      </c>
      <c r="B1474" s="141" t="s">
        <v>2597</v>
      </c>
      <c r="C1474" s="82" t="str">
        <f>VLOOKUP($B$7:$B$5000,SUM!$L$6:$L$500,1,FALSE)</f>
        <v>#N/A</v>
      </c>
      <c r="D1474" s="84" t="s">
        <v>2542</v>
      </c>
      <c r="E1474" s="169" t="s">
        <v>58</v>
      </c>
      <c r="F1474" s="84" t="s">
        <v>2543</v>
      </c>
      <c r="G1474" s="170" t="s">
        <v>2544</v>
      </c>
      <c r="H1474" s="95" t="s">
        <v>2596</v>
      </c>
      <c r="I1474" s="16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68">
        <v>46135.0</v>
      </c>
      <c r="O1474" s="95" t="s">
        <v>67</v>
      </c>
      <c r="P1474" s="95" t="s">
        <v>68</v>
      </c>
      <c r="Q1474" s="95"/>
      <c r="R1474" s="95"/>
      <c r="S1474" s="168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1">
        <v>1469.0</v>
      </c>
      <c r="B1475" s="141" t="s">
        <v>2598</v>
      </c>
      <c r="C1475" s="82" t="str">
        <f>VLOOKUP($B$7:$B$5000,SUM!$L$6:$L$500,1,FALSE)</f>
        <v>#N/A</v>
      </c>
      <c r="D1475" s="84" t="s">
        <v>2542</v>
      </c>
      <c r="E1475" s="169" t="s">
        <v>58</v>
      </c>
      <c r="F1475" s="84" t="s">
        <v>2543</v>
      </c>
      <c r="G1475" s="170" t="s">
        <v>2544</v>
      </c>
      <c r="H1475" s="95" t="s">
        <v>2599</v>
      </c>
      <c r="I1475" s="16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68">
        <v>46135.0</v>
      </c>
      <c r="O1475" s="95" t="s">
        <v>67</v>
      </c>
      <c r="P1475" s="95" t="s">
        <v>68</v>
      </c>
      <c r="Q1475" s="95"/>
      <c r="R1475" s="95"/>
      <c r="S1475" s="168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1">
        <v>1470.0</v>
      </c>
      <c r="B1476" s="141" t="s">
        <v>2600</v>
      </c>
      <c r="C1476" s="82" t="str">
        <f>VLOOKUP($B$7:$B$5000,SUM!$L$6:$L$500,1,FALSE)</f>
        <v>#N/A</v>
      </c>
      <c r="D1476" s="84" t="s">
        <v>2542</v>
      </c>
      <c r="E1476" s="169" t="s">
        <v>58</v>
      </c>
      <c r="F1476" s="84" t="s">
        <v>2543</v>
      </c>
      <c r="G1476" s="170" t="s">
        <v>2544</v>
      </c>
      <c r="H1476" s="95" t="s">
        <v>2599</v>
      </c>
      <c r="I1476" s="16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68">
        <v>46135.0</v>
      </c>
      <c r="O1476" s="95" t="s">
        <v>67</v>
      </c>
      <c r="P1476" s="95" t="s">
        <v>68</v>
      </c>
      <c r="Q1476" s="95"/>
      <c r="R1476" s="95"/>
      <c r="S1476" s="168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1">
        <v>1471.0</v>
      </c>
      <c r="B1477" s="141" t="s">
        <v>2601</v>
      </c>
      <c r="C1477" s="82" t="str">
        <f>VLOOKUP($B$7:$B$5000,SUM!$L$6:$L$500,1,FALSE)</f>
        <v>#N/A</v>
      </c>
      <c r="D1477" s="84" t="s">
        <v>2542</v>
      </c>
      <c r="E1477" s="169" t="s">
        <v>58</v>
      </c>
      <c r="F1477" s="84" t="s">
        <v>2543</v>
      </c>
      <c r="G1477" s="170" t="s">
        <v>2544</v>
      </c>
      <c r="H1477" s="95" t="s">
        <v>2602</v>
      </c>
      <c r="I1477" s="16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68">
        <v>46135.0</v>
      </c>
      <c r="O1477" s="95" t="s">
        <v>67</v>
      </c>
      <c r="P1477" s="95" t="s">
        <v>68</v>
      </c>
      <c r="Q1477" s="95"/>
      <c r="R1477" s="95"/>
      <c r="S1477" s="168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1">
        <v>1472.0</v>
      </c>
      <c r="B1478" s="141" t="s">
        <v>2604</v>
      </c>
      <c r="C1478" s="82" t="str">
        <f>VLOOKUP($B$7:$B$5000,SUM!$L$6:$L$500,1,FALSE)</f>
        <v>#N/A</v>
      </c>
      <c r="D1478" s="84" t="s">
        <v>2542</v>
      </c>
      <c r="E1478" s="169" t="s">
        <v>58</v>
      </c>
      <c r="F1478" s="84" t="s">
        <v>2543</v>
      </c>
      <c r="G1478" s="170" t="s">
        <v>2544</v>
      </c>
      <c r="H1478" s="95" t="s">
        <v>2602</v>
      </c>
      <c r="I1478" s="16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68">
        <v>46135.0</v>
      </c>
      <c r="O1478" s="95" t="s">
        <v>67</v>
      </c>
      <c r="P1478" s="95" t="s">
        <v>68</v>
      </c>
      <c r="Q1478" s="95"/>
      <c r="R1478" s="95"/>
      <c r="S1478" s="168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1">
        <v>1473.0</v>
      </c>
      <c r="B1479" s="141" t="s">
        <v>2605</v>
      </c>
      <c r="C1479" s="82" t="str">
        <f>VLOOKUP($B$7:$B$5000,SUM!$L$6:$L$500,1,FALSE)</f>
        <v>#N/A</v>
      </c>
      <c r="D1479" s="84" t="s">
        <v>2542</v>
      </c>
      <c r="E1479" s="169" t="s">
        <v>58</v>
      </c>
      <c r="F1479" s="84" t="s">
        <v>2543</v>
      </c>
      <c r="G1479" s="170" t="s">
        <v>2544</v>
      </c>
      <c r="H1479" s="95" t="s">
        <v>2606</v>
      </c>
      <c r="I1479" s="16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68">
        <v>46135.0</v>
      </c>
      <c r="O1479" s="95" t="s">
        <v>67</v>
      </c>
      <c r="P1479" s="95" t="s">
        <v>68</v>
      </c>
      <c r="Q1479" s="95"/>
      <c r="R1479" s="95"/>
      <c r="S1479" s="168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1">
        <v>1474.0</v>
      </c>
      <c r="B1480" s="141" t="s">
        <v>2608</v>
      </c>
      <c r="C1480" s="82" t="str">
        <f>VLOOKUP($B$7:$B$5000,SUM!$L$6:$L$500,1,FALSE)</f>
        <v>#N/A</v>
      </c>
      <c r="D1480" s="84" t="s">
        <v>2542</v>
      </c>
      <c r="E1480" s="169" t="s">
        <v>58</v>
      </c>
      <c r="F1480" s="84" t="s">
        <v>2543</v>
      </c>
      <c r="G1480" s="170" t="s">
        <v>2544</v>
      </c>
      <c r="H1480" s="95" t="s">
        <v>2606</v>
      </c>
      <c r="I1480" s="16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68">
        <v>46135.0</v>
      </c>
      <c r="O1480" s="95" t="s">
        <v>67</v>
      </c>
      <c r="P1480" s="95" t="s">
        <v>68</v>
      </c>
      <c r="Q1480" s="95"/>
      <c r="R1480" s="95"/>
      <c r="S1480" s="168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1">
        <v>1475.0</v>
      </c>
      <c r="B1481" s="141" t="s">
        <v>2610</v>
      </c>
      <c r="C1481" s="82" t="str">
        <f>VLOOKUP($B$7:$B$5000,SUM!$L$6:$L$500,1,FALSE)</f>
        <v>#N/A</v>
      </c>
      <c r="D1481" s="84" t="s">
        <v>2542</v>
      </c>
      <c r="E1481" s="169" t="s">
        <v>58</v>
      </c>
      <c r="F1481" s="84" t="s">
        <v>2543</v>
      </c>
      <c r="G1481" s="170" t="s">
        <v>2544</v>
      </c>
      <c r="H1481" s="95" t="s">
        <v>2606</v>
      </c>
      <c r="I1481" s="16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68">
        <v>46135.0</v>
      </c>
      <c r="O1481" s="95" t="s">
        <v>67</v>
      </c>
      <c r="P1481" s="95" t="s">
        <v>68</v>
      </c>
      <c r="Q1481" s="95"/>
      <c r="R1481" s="95"/>
      <c r="S1481" s="168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1">
        <v>1476.0</v>
      </c>
      <c r="B1482" s="141" t="s">
        <v>2611</v>
      </c>
      <c r="C1482" s="82" t="str">
        <f>VLOOKUP($B$7:$B$5000,SUM!$L$6:$L$500,1,FALSE)</f>
        <v>#N/A</v>
      </c>
      <c r="D1482" s="84" t="s">
        <v>2542</v>
      </c>
      <c r="E1482" s="169" t="s">
        <v>58</v>
      </c>
      <c r="F1482" s="84" t="s">
        <v>2543</v>
      </c>
      <c r="G1482" s="170" t="s">
        <v>2544</v>
      </c>
      <c r="H1482" s="95" t="s">
        <v>2612</v>
      </c>
      <c r="I1482" s="16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68">
        <v>46135.0</v>
      </c>
      <c r="O1482" s="95" t="s">
        <v>67</v>
      </c>
      <c r="P1482" s="95" t="s">
        <v>68</v>
      </c>
      <c r="Q1482" s="95"/>
      <c r="R1482" s="95"/>
      <c r="S1482" s="168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1">
        <v>1477.0</v>
      </c>
      <c r="B1483" s="141" t="s">
        <v>2613</v>
      </c>
      <c r="C1483" s="82" t="str">
        <f>VLOOKUP($B$7:$B$5000,SUM!$L$6:$L$500,1,FALSE)</f>
        <v>#N/A</v>
      </c>
      <c r="D1483" s="84" t="s">
        <v>2542</v>
      </c>
      <c r="E1483" s="169" t="s">
        <v>58</v>
      </c>
      <c r="F1483" s="84" t="s">
        <v>2543</v>
      </c>
      <c r="G1483" s="170" t="s">
        <v>2544</v>
      </c>
      <c r="H1483" s="95" t="s">
        <v>2612</v>
      </c>
      <c r="I1483" s="16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68">
        <v>46135.0</v>
      </c>
      <c r="O1483" s="95" t="s">
        <v>67</v>
      </c>
      <c r="P1483" s="95" t="s">
        <v>68</v>
      </c>
      <c r="Q1483" s="95"/>
      <c r="R1483" s="95"/>
      <c r="S1483" s="168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1">
        <v>1478.0</v>
      </c>
      <c r="B1484" s="141" t="s">
        <v>2614</v>
      </c>
      <c r="C1484" s="82" t="str">
        <f>VLOOKUP($B$7:$B$5000,SUM!$L$6:$L$500,1,FALSE)</f>
        <v>#N/A</v>
      </c>
      <c r="D1484" s="84" t="s">
        <v>2542</v>
      </c>
      <c r="E1484" s="169" t="s">
        <v>58</v>
      </c>
      <c r="F1484" s="84" t="s">
        <v>2543</v>
      </c>
      <c r="G1484" s="170" t="s">
        <v>2544</v>
      </c>
      <c r="H1484" s="95" t="s">
        <v>2615</v>
      </c>
      <c r="I1484" s="16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68">
        <v>46135.0</v>
      </c>
      <c r="O1484" s="95" t="s">
        <v>67</v>
      </c>
      <c r="P1484" s="95" t="s">
        <v>68</v>
      </c>
      <c r="Q1484" s="95"/>
      <c r="R1484" s="95"/>
      <c r="S1484" s="168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1">
        <v>1479.0</v>
      </c>
      <c r="B1485" s="141" t="s">
        <v>2616</v>
      </c>
      <c r="C1485" s="82" t="str">
        <f>VLOOKUP($B$7:$B$5000,SUM!$L$6:$L$500,1,FALSE)</f>
        <v>#N/A</v>
      </c>
      <c r="D1485" s="84" t="s">
        <v>2542</v>
      </c>
      <c r="E1485" s="169" t="s">
        <v>58</v>
      </c>
      <c r="F1485" s="84" t="s">
        <v>2543</v>
      </c>
      <c r="G1485" s="170" t="s">
        <v>2544</v>
      </c>
      <c r="H1485" s="95" t="s">
        <v>2615</v>
      </c>
      <c r="I1485" s="16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68">
        <v>46135.0</v>
      </c>
      <c r="O1485" s="95" t="s">
        <v>67</v>
      </c>
      <c r="P1485" s="95" t="s">
        <v>68</v>
      </c>
      <c r="Q1485" s="95"/>
      <c r="R1485" s="95"/>
      <c r="S1485" s="168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1">
        <v>1480.0</v>
      </c>
      <c r="B1486" s="141" t="s">
        <v>2617</v>
      </c>
      <c r="C1486" s="82" t="str">
        <f>VLOOKUP($B$7:$B$5000,SUM!$L$6:$L$500,1,FALSE)</f>
        <v>#N/A</v>
      </c>
      <c r="D1486" s="84" t="s">
        <v>2542</v>
      </c>
      <c r="E1486" s="169" t="s">
        <v>58</v>
      </c>
      <c r="F1486" s="84" t="s">
        <v>2543</v>
      </c>
      <c r="G1486" s="170" t="s">
        <v>2544</v>
      </c>
      <c r="H1486" s="95" t="s">
        <v>2618</v>
      </c>
      <c r="I1486" s="16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68">
        <v>46135.0</v>
      </c>
      <c r="O1486" s="95" t="s">
        <v>67</v>
      </c>
      <c r="P1486" s="95" t="s">
        <v>68</v>
      </c>
      <c r="Q1486" s="95"/>
      <c r="R1486" s="95"/>
      <c r="S1486" s="168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1">
        <v>1481.0</v>
      </c>
      <c r="B1487" s="141" t="s">
        <v>2619</v>
      </c>
      <c r="C1487" s="82" t="str">
        <f>VLOOKUP($B$7:$B$5000,SUM!$L$6:$L$500,1,FALSE)</f>
        <v>#N/A</v>
      </c>
      <c r="D1487" s="84" t="s">
        <v>2542</v>
      </c>
      <c r="E1487" s="169" t="s">
        <v>58</v>
      </c>
      <c r="F1487" s="84" t="s">
        <v>2543</v>
      </c>
      <c r="G1487" s="170" t="s">
        <v>2544</v>
      </c>
      <c r="H1487" s="95" t="s">
        <v>2620</v>
      </c>
      <c r="I1487" s="16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68">
        <v>46135.0</v>
      </c>
      <c r="O1487" s="95" t="s">
        <v>67</v>
      </c>
      <c r="P1487" s="95" t="s">
        <v>68</v>
      </c>
      <c r="Q1487" s="95"/>
      <c r="R1487" s="95"/>
      <c r="S1487" s="168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1">
        <v>1482.0</v>
      </c>
      <c r="B1488" s="141" t="s">
        <v>2621</v>
      </c>
      <c r="C1488" s="82" t="str">
        <f>VLOOKUP($B$7:$B$5000,SUM!$L$6:$L$500,1,FALSE)</f>
        <v>#N/A</v>
      </c>
      <c r="D1488" s="84" t="s">
        <v>2542</v>
      </c>
      <c r="E1488" s="169" t="s">
        <v>58</v>
      </c>
      <c r="F1488" s="84" t="s">
        <v>2543</v>
      </c>
      <c r="G1488" s="170" t="s">
        <v>2544</v>
      </c>
      <c r="H1488" s="95" t="s">
        <v>2622</v>
      </c>
      <c r="I1488" s="16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68">
        <v>46135.0</v>
      </c>
      <c r="O1488" s="95" t="s">
        <v>67</v>
      </c>
      <c r="P1488" s="95" t="s">
        <v>68</v>
      </c>
      <c r="Q1488" s="95"/>
      <c r="R1488" s="95"/>
      <c r="S1488" s="168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1">
        <v>1483.0</v>
      </c>
      <c r="B1489" s="141" t="s">
        <v>2624</v>
      </c>
      <c r="C1489" s="82" t="str">
        <f>VLOOKUP($B$7:$B$5000,SUM!$L$6:$L$500,1,FALSE)</f>
        <v>#N/A</v>
      </c>
      <c r="D1489" s="84" t="s">
        <v>2542</v>
      </c>
      <c r="E1489" s="169" t="s">
        <v>58</v>
      </c>
      <c r="F1489" s="84" t="s">
        <v>2543</v>
      </c>
      <c r="G1489" s="170" t="s">
        <v>2544</v>
      </c>
      <c r="H1489" s="95" t="s">
        <v>2622</v>
      </c>
      <c r="I1489" s="16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68">
        <v>46135.0</v>
      </c>
      <c r="O1489" s="95" t="s">
        <v>67</v>
      </c>
      <c r="P1489" s="95" t="s">
        <v>68</v>
      </c>
      <c r="Q1489" s="95"/>
      <c r="R1489" s="95"/>
      <c r="S1489" s="168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1">
        <v>1484.0</v>
      </c>
      <c r="B1490" s="141" t="s">
        <v>2625</v>
      </c>
      <c r="C1490" s="82" t="str">
        <f>VLOOKUP($B$7:$B$5000,SUM!$L$6:$L$500,1,FALSE)</f>
        <v>#N/A</v>
      </c>
      <c r="D1490" s="84" t="s">
        <v>2542</v>
      </c>
      <c r="E1490" s="169" t="s">
        <v>58</v>
      </c>
      <c r="F1490" s="84" t="s">
        <v>2543</v>
      </c>
      <c r="G1490" s="170" t="s">
        <v>2544</v>
      </c>
      <c r="H1490" s="95" t="s">
        <v>2626</v>
      </c>
      <c r="I1490" s="16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68">
        <v>46135.0</v>
      </c>
      <c r="O1490" s="95" t="s">
        <v>67</v>
      </c>
      <c r="P1490" s="95" t="s">
        <v>68</v>
      </c>
      <c r="Q1490" s="95"/>
      <c r="R1490" s="95"/>
      <c r="S1490" s="168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1">
        <v>1485.0</v>
      </c>
      <c r="B1491" s="141" t="s">
        <v>2627</v>
      </c>
      <c r="C1491" s="82" t="str">
        <f>VLOOKUP($B$7:$B$5000,SUM!$L$6:$L$500,1,FALSE)</f>
        <v>#N/A</v>
      </c>
      <c r="D1491" s="84" t="s">
        <v>2542</v>
      </c>
      <c r="E1491" s="169" t="s">
        <v>58</v>
      </c>
      <c r="F1491" s="84" t="s">
        <v>2543</v>
      </c>
      <c r="G1491" s="170" t="s">
        <v>2544</v>
      </c>
      <c r="H1491" s="95" t="s">
        <v>2628</v>
      </c>
      <c r="I1491" s="16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68">
        <v>46135.0</v>
      </c>
      <c r="O1491" s="95" t="s">
        <v>67</v>
      </c>
      <c r="P1491" s="95" t="s">
        <v>68</v>
      </c>
      <c r="Q1491" s="95"/>
      <c r="R1491" s="95"/>
      <c r="S1491" s="168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1">
        <v>1486.0</v>
      </c>
      <c r="B1492" s="141" t="s">
        <v>2629</v>
      </c>
      <c r="C1492" s="82" t="str">
        <f>VLOOKUP($B$7:$B$5000,SUM!$L$6:$L$500,1,FALSE)</f>
        <v>#N/A</v>
      </c>
      <c r="D1492" s="84" t="s">
        <v>2542</v>
      </c>
      <c r="E1492" s="169" t="s">
        <v>58</v>
      </c>
      <c r="F1492" s="84" t="s">
        <v>2543</v>
      </c>
      <c r="G1492" s="170" t="s">
        <v>2544</v>
      </c>
      <c r="H1492" s="95" t="s">
        <v>2628</v>
      </c>
      <c r="I1492" s="16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68">
        <v>46135.0</v>
      </c>
      <c r="O1492" s="95" t="s">
        <v>67</v>
      </c>
      <c r="P1492" s="95" t="s">
        <v>68</v>
      </c>
      <c r="Q1492" s="95"/>
      <c r="R1492" s="95"/>
      <c r="S1492" s="168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1">
        <v>1487.0</v>
      </c>
      <c r="B1493" s="141" t="s">
        <v>2631</v>
      </c>
      <c r="C1493" s="82" t="str">
        <f>VLOOKUP($B$7:$B$5000,SUM!$L$6:$L$500,1,FALSE)</f>
        <v>#N/A</v>
      </c>
      <c r="D1493" s="81" t="s">
        <v>2632</v>
      </c>
      <c r="E1493" s="165" t="s">
        <v>58</v>
      </c>
      <c r="F1493" s="81" t="s">
        <v>105</v>
      </c>
      <c r="G1493" s="125" t="s">
        <v>1362</v>
      </c>
      <c r="H1493" s="81" t="s">
        <v>2633</v>
      </c>
      <c r="I1493" s="149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1">
        <v>1488.0</v>
      </c>
      <c r="B1494" s="141" t="s">
        <v>2635</v>
      </c>
      <c r="C1494" s="82" t="str">
        <f>VLOOKUP($B$7:$B$5000,SUM!$L$6:$L$500,1,FALSE)</f>
        <v>#N/A</v>
      </c>
      <c r="D1494" s="81" t="s">
        <v>2632</v>
      </c>
      <c r="E1494" s="165" t="s">
        <v>58</v>
      </c>
      <c r="F1494" s="81" t="s">
        <v>105</v>
      </c>
      <c r="G1494" s="125" t="s">
        <v>1362</v>
      </c>
      <c r="H1494" s="81" t="s">
        <v>2633</v>
      </c>
      <c r="I1494" s="149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0">
        <v>46161.0</v>
      </c>
      <c r="R1494" s="103" t="s">
        <v>597</v>
      </c>
      <c r="S1494" s="104">
        <v>46166.0</v>
      </c>
      <c r="T1494" s="103"/>
      <c r="U1494" s="90" t="s">
        <v>31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1">
        <v>1489.0</v>
      </c>
      <c r="B1495" s="141" t="s">
        <v>2637</v>
      </c>
      <c r="C1495" s="82" t="str">
        <f>VLOOKUP($B$7:$B$5000,SUM!$L$6:$L$500,1,FALSE)</f>
        <v>#N/A</v>
      </c>
      <c r="D1495" s="81" t="s">
        <v>2632</v>
      </c>
      <c r="E1495" s="165" t="s">
        <v>58</v>
      </c>
      <c r="F1495" s="81" t="s">
        <v>105</v>
      </c>
      <c r="G1495" s="125" t="s">
        <v>1362</v>
      </c>
      <c r="H1495" s="81" t="s">
        <v>2633</v>
      </c>
      <c r="I1495" s="149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1">
        <v>1490.0</v>
      </c>
      <c r="B1496" s="141" t="s">
        <v>2639</v>
      </c>
      <c r="C1496" s="82" t="str">
        <f>VLOOKUP($B$7:$B$5000,SUM!$L$6:$L$500,1,FALSE)</f>
        <v>#N/A</v>
      </c>
      <c r="D1496" s="81" t="s">
        <v>2632</v>
      </c>
      <c r="E1496" s="165" t="s">
        <v>58</v>
      </c>
      <c r="F1496" s="81" t="s">
        <v>105</v>
      </c>
      <c r="G1496" s="125" t="s">
        <v>2640</v>
      </c>
      <c r="H1496" s="81" t="s">
        <v>2641</v>
      </c>
      <c r="I1496" s="149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1">
        <v>1491.0</v>
      </c>
      <c r="B1497" s="141" t="s">
        <v>2643</v>
      </c>
      <c r="C1497" s="82" t="str">
        <f>VLOOKUP($B$7:$B$5000,SUM!$L$6:$L$500,1,FALSE)</f>
        <v>#N/A</v>
      </c>
      <c r="D1497" s="81" t="s">
        <v>2632</v>
      </c>
      <c r="E1497" s="165" t="s">
        <v>58</v>
      </c>
      <c r="F1497" s="81" t="s">
        <v>105</v>
      </c>
      <c r="G1497" s="125" t="s">
        <v>2640</v>
      </c>
      <c r="H1497" s="81" t="s">
        <v>2641</v>
      </c>
      <c r="I1497" s="149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0">
        <v>46162.0</v>
      </c>
      <c r="R1497" s="103" t="s">
        <v>597</v>
      </c>
      <c r="S1497" s="150">
        <v>46166.0</v>
      </c>
      <c r="T1497" s="103"/>
      <c r="U1497" s="90" t="s">
        <v>31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1">
        <v>1492.0</v>
      </c>
      <c r="B1498" s="141" t="s">
        <v>2645</v>
      </c>
      <c r="C1498" s="82" t="str">
        <f>VLOOKUP($B$7:$B$5000,SUM!$L$6:$L$500,1,FALSE)</f>
        <v>#N/A</v>
      </c>
      <c r="D1498" s="81" t="s">
        <v>2632</v>
      </c>
      <c r="E1498" s="165" t="s">
        <v>58</v>
      </c>
      <c r="F1498" s="81" t="s">
        <v>105</v>
      </c>
      <c r="G1498" s="125" t="s">
        <v>2640</v>
      </c>
      <c r="H1498" s="81" t="s">
        <v>2641</v>
      </c>
      <c r="I1498" s="149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1">
        <v>1493.0</v>
      </c>
      <c r="B1499" s="141" t="s">
        <v>2647</v>
      </c>
      <c r="C1499" s="82" t="str">
        <f>VLOOKUP($B$7:$B$5000,SUM!$L$6:$L$500,1,FALSE)</f>
        <v>#N/A</v>
      </c>
      <c r="D1499" s="81" t="s">
        <v>2632</v>
      </c>
      <c r="E1499" s="165" t="s">
        <v>58</v>
      </c>
      <c r="F1499" s="81" t="s">
        <v>105</v>
      </c>
      <c r="G1499" s="125" t="s">
        <v>2640</v>
      </c>
      <c r="H1499" s="81" t="s">
        <v>2641</v>
      </c>
      <c r="I1499" s="149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1">
        <v>1494.0</v>
      </c>
      <c r="B1500" s="141" t="s">
        <v>2649</v>
      </c>
      <c r="C1500" s="82" t="str">
        <f>VLOOKUP($B$7:$B$5000,SUM!$L$6:$L$500,1,FALSE)</f>
        <v>#N/A</v>
      </c>
      <c r="D1500" s="81" t="s">
        <v>2632</v>
      </c>
      <c r="E1500" s="165" t="s">
        <v>58</v>
      </c>
      <c r="F1500" s="81" t="s">
        <v>105</v>
      </c>
      <c r="G1500" s="125" t="s">
        <v>2640</v>
      </c>
      <c r="H1500" s="81" t="s">
        <v>2650</v>
      </c>
      <c r="I1500" s="149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1">
        <v>1495.0</v>
      </c>
      <c r="B1501" s="141" t="s">
        <v>2651</v>
      </c>
      <c r="C1501" s="82" t="str">
        <f>VLOOKUP($B$7:$B$5000,SUM!$L$6:$L$500,1,FALSE)</f>
        <v>#N/A</v>
      </c>
      <c r="D1501" s="81" t="s">
        <v>2632</v>
      </c>
      <c r="E1501" s="165" t="s">
        <v>58</v>
      </c>
      <c r="F1501" s="81" t="s">
        <v>105</v>
      </c>
      <c r="G1501" s="125" t="s">
        <v>2640</v>
      </c>
      <c r="H1501" s="81" t="s">
        <v>2650</v>
      </c>
      <c r="I1501" s="149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0">
        <v>46162.0</v>
      </c>
      <c r="R1501" s="103" t="s">
        <v>597</v>
      </c>
      <c r="S1501" s="150">
        <v>46166.0</v>
      </c>
      <c r="T1501" s="103"/>
      <c r="U1501" s="90" t="s">
        <v>31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1">
        <v>1496.0</v>
      </c>
      <c r="B1502" s="141" t="s">
        <v>2652</v>
      </c>
      <c r="C1502" s="82" t="str">
        <f>VLOOKUP($B$7:$B$5000,SUM!$L$6:$L$500,1,FALSE)</f>
        <v>#N/A</v>
      </c>
      <c r="D1502" s="81" t="s">
        <v>2632</v>
      </c>
      <c r="E1502" s="165" t="s">
        <v>58</v>
      </c>
      <c r="F1502" s="81" t="s">
        <v>105</v>
      </c>
      <c r="G1502" s="125" t="s">
        <v>2640</v>
      </c>
      <c r="H1502" s="81" t="s">
        <v>2650</v>
      </c>
      <c r="I1502" s="149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1">
        <v>1497.0</v>
      </c>
      <c r="B1503" s="141" t="s">
        <v>2653</v>
      </c>
      <c r="C1503" s="82" t="str">
        <f>VLOOKUP($B$7:$B$5000,SUM!$L$6:$L$500,1,FALSE)</f>
        <v>#N/A</v>
      </c>
      <c r="D1503" s="81" t="s">
        <v>2632</v>
      </c>
      <c r="E1503" s="165" t="s">
        <v>58</v>
      </c>
      <c r="F1503" s="81" t="s">
        <v>105</v>
      </c>
      <c r="G1503" s="125" t="s">
        <v>2640</v>
      </c>
      <c r="H1503" s="81" t="s">
        <v>2650</v>
      </c>
      <c r="I1503" s="149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1">
        <v>1498.0</v>
      </c>
      <c r="B1504" s="141" t="s">
        <v>2654</v>
      </c>
      <c r="C1504" s="82" t="str">
        <f>VLOOKUP($B$7:$B$5000,SUM!$L$6:$L$500,1,FALSE)</f>
        <v>#N/A</v>
      </c>
      <c r="D1504" s="81" t="s">
        <v>2632</v>
      </c>
      <c r="E1504" s="165" t="s">
        <v>58</v>
      </c>
      <c r="F1504" s="81" t="s">
        <v>105</v>
      </c>
      <c r="G1504" s="125" t="s">
        <v>2640</v>
      </c>
      <c r="H1504" s="81" t="s">
        <v>2655</v>
      </c>
      <c r="I1504" s="149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1">
        <v>1499.0</v>
      </c>
      <c r="B1505" s="141" t="s">
        <v>2656</v>
      </c>
      <c r="C1505" s="82" t="str">
        <f>VLOOKUP($B$7:$B$5000,SUM!$L$6:$L$500,1,FALSE)</f>
        <v>#N/A</v>
      </c>
      <c r="D1505" s="81" t="s">
        <v>2632</v>
      </c>
      <c r="E1505" s="165" t="s">
        <v>58</v>
      </c>
      <c r="F1505" s="81" t="s">
        <v>105</v>
      </c>
      <c r="G1505" s="125" t="s">
        <v>2640</v>
      </c>
      <c r="H1505" s="81" t="s">
        <v>2655</v>
      </c>
      <c r="I1505" s="149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0">
        <v>46162.0</v>
      </c>
      <c r="R1505" s="103" t="s">
        <v>597</v>
      </c>
      <c r="S1505" s="150">
        <v>46166.0</v>
      </c>
      <c r="T1505" s="103"/>
      <c r="U1505" s="90" t="s">
        <v>31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1">
        <v>1500.0</v>
      </c>
      <c r="B1506" s="141" t="s">
        <v>2657</v>
      </c>
      <c r="C1506" s="82" t="str">
        <f>VLOOKUP($B$7:$B$5000,SUM!$L$6:$L$500,1,FALSE)</f>
        <v>#N/A</v>
      </c>
      <c r="D1506" s="81" t="s">
        <v>2632</v>
      </c>
      <c r="E1506" s="165" t="s">
        <v>58</v>
      </c>
      <c r="F1506" s="81" t="s">
        <v>105</v>
      </c>
      <c r="G1506" s="125" t="s">
        <v>2640</v>
      </c>
      <c r="H1506" s="81" t="s">
        <v>2655</v>
      </c>
      <c r="I1506" s="149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1">
        <v>1501.0</v>
      </c>
      <c r="B1507" s="141" t="s">
        <v>2658</v>
      </c>
      <c r="C1507" s="82" t="str">
        <f>VLOOKUP($B$7:$B$5000,SUM!$L$6:$L$500,1,FALSE)</f>
        <v>#N/A</v>
      </c>
      <c r="D1507" s="81" t="s">
        <v>2632</v>
      </c>
      <c r="E1507" s="165" t="s">
        <v>58</v>
      </c>
      <c r="F1507" s="81" t="s">
        <v>105</v>
      </c>
      <c r="G1507" s="125" t="s">
        <v>2640</v>
      </c>
      <c r="H1507" s="81" t="s">
        <v>2655</v>
      </c>
      <c r="I1507" s="149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1">
        <v>1502.0</v>
      </c>
      <c r="B1508" s="141" t="s">
        <v>2659</v>
      </c>
      <c r="C1508" s="82" t="str">
        <f>VLOOKUP($B$7:$B$5000,SUM!$L$6:$L$500,1,FALSE)</f>
        <v>#N/A</v>
      </c>
      <c r="D1508" s="81" t="s">
        <v>2632</v>
      </c>
      <c r="E1508" s="165" t="s">
        <v>58</v>
      </c>
      <c r="F1508" s="81" t="s">
        <v>105</v>
      </c>
      <c r="G1508" s="125" t="s">
        <v>1955</v>
      </c>
      <c r="H1508" s="81" t="s">
        <v>2660</v>
      </c>
      <c r="I1508" s="149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1">
        <v>1503.0</v>
      </c>
      <c r="B1509" s="141" t="s">
        <v>2662</v>
      </c>
      <c r="C1509" s="82" t="str">
        <f>VLOOKUP($B$7:$B$5000,SUM!$L$6:$L$500,1,FALSE)</f>
        <v>#N/A</v>
      </c>
      <c r="D1509" s="81" t="s">
        <v>2632</v>
      </c>
      <c r="E1509" s="165" t="s">
        <v>58</v>
      </c>
      <c r="F1509" s="81" t="s">
        <v>105</v>
      </c>
      <c r="G1509" s="125" t="s">
        <v>1955</v>
      </c>
      <c r="H1509" s="81" t="s">
        <v>2660</v>
      </c>
      <c r="I1509" s="149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0">
        <v>46164.0</v>
      </c>
      <c r="R1509" s="103" t="s">
        <v>597</v>
      </c>
      <c r="S1509" s="150">
        <v>46166.0</v>
      </c>
      <c r="T1509" s="103"/>
      <c r="U1509" s="90" t="s">
        <v>31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1">
        <v>1504.0</v>
      </c>
      <c r="B1510" s="141" t="s">
        <v>2664</v>
      </c>
      <c r="C1510" s="82" t="str">
        <f>VLOOKUP($B$7:$B$5000,SUM!$L$6:$L$500,1,FALSE)</f>
        <v>#N/A</v>
      </c>
      <c r="D1510" s="81" t="s">
        <v>2632</v>
      </c>
      <c r="E1510" s="165" t="s">
        <v>58</v>
      </c>
      <c r="F1510" s="81" t="s">
        <v>105</v>
      </c>
      <c r="G1510" s="125" t="s">
        <v>1955</v>
      </c>
      <c r="H1510" s="81" t="s">
        <v>2660</v>
      </c>
      <c r="I1510" s="149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1">
        <v>1505.0</v>
      </c>
      <c r="B1511" s="141" t="s">
        <v>2666</v>
      </c>
      <c r="C1511" s="82" t="str">
        <f>VLOOKUP($B$7:$B$5000,SUM!$L$6:$L$500,1,FALSE)</f>
        <v>#N/A</v>
      </c>
      <c r="D1511" s="81" t="s">
        <v>2632</v>
      </c>
      <c r="E1511" s="165" t="s">
        <v>58</v>
      </c>
      <c r="F1511" s="81" t="s">
        <v>105</v>
      </c>
      <c r="G1511" s="125" t="s">
        <v>2667</v>
      </c>
      <c r="H1511" s="81" t="s">
        <v>2668</v>
      </c>
      <c r="I1511" s="149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1">
        <v>1506.0</v>
      </c>
      <c r="B1512" s="141" t="s">
        <v>2670</v>
      </c>
      <c r="C1512" s="82" t="str">
        <f>VLOOKUP($B$7:$B$5000,SUM!$L$6:$L$500,1,FALSE)</f>
        <v>#N/A</v>
      </c>
      <c r="D1512" s="81" t="s">
        <v>2632</v>
      </c>
      <c r="E1512" s="165" t="s">
        <v>58</v>
      </c>
      <c r="F1512" s="81" t="s">
        <v>105</v>
      </c>
      <c r="G1512" s="125" t="s">
        <v>2667</v>
      </c>
      <c r="H1512" s="81" t="s">
        <v>2668</v>
      </c>
      <c r="I1512" s="149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0">
        <v>46164.0</v>
      </c>
      <c r="R1512" s="103" t="s">
        <v>597</v>
      </c>
      <c r="S1512" s="150">
        <v>46166.0</v>
      </c>
      <c r="T1512" s="103"/>
      <c r="U1512" s="90" t="s">
        <v>31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1">
        <v>1507.0</v>
      </c>
      <c r="B1513" s="141" t="s">
        <v>2672</v>
      </c>
      <c r="C1513" s="82" t="str">
        <f>VLOOKUP($B$7:$B$5000,SUM!$L$6:$L$500,1,FALSE)</f>
        <v>#N/A</v>
      </c>
      <c r="D1513" s="81" t="s">
        <v>2632</v>
      </c>
      <c r="E1513" s="165" t="s">
        <v>58</v>
      </c>
      <c r="F1513" s="81" t="s">
        <v>105</v>
      </c>
      <c r="G1513" s="125" t="s">
        <v>2667</v>
      </c>
      <c r="H1513" s="81" t="s">
        <v>2668</v>
      </c>
      <c r="I1513" s="149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1">
        <v>1508.0</v>
      </c>
      <c r="B1514" s="141" t="s">
        <v>2674</v>
      </c>
      <c r="C1514" s="82" t="str">
        <f>VLOOKUP($B$7:$B$5000,SUM!$L$6:$L$500,1,FALSE)</f>
        <v>#N/A</v>
      </c>
      <c r="D1514" s="81" t="s">
        <v>2632</v>
      </c>
      <c r="E1514" s="165" t="s">
        <v>58</v>
      </c>
      <c r="F1514" s="81" t="s">
        <v>105</v>
      </c>
      <c r="G1514" s="125" t="s">
        <v>1955</v>
      </c>
      <c r="H1514" s="81" t="s">
        <v>2675</v>
      </c>
      <c r="I1514" s="149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0">
        <v>46161.0</v>
      </c>
      <c r="R1514" s="103" t="s">
        <v>597</v>
      </c>
      <c r="S1514" s="104">
        <v>46166.0</v>
      </c>
      <c r="T1514" s="103"/>
      <c r="U1514" s="90" t="s">
        <v>31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1">
        <v>1509.0</v>
      </c>
      <c r="B1515" s="141" t="s">
        <v>2677</v>
      </c>
      <c r="C1515" s="82" t="str">
        <f>VLOOKUP($B$7:$B$5000,SUM!$L$6:$L$500,1,FALSE)</f>
        <v>#N/A</v>
      </c>
      <c r="D1515" s="81" t="s">
        <v>2632</v>
      </c>
      <c r="E1515" s="165" t="s">
        <v>2678</v>
      </c>
      <c r="F1515" s="81" t="s">
        <v>105</v>
      </c>
      <c r="G1515" s="125" t="s">
        <v>1955</v>
      </c>
      <c r="H1515" s="81" t="s">
        <v>2675</v>
      </c>
      <c r="I1515" s="149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1">
        <v>1510.0</v>
      </c>
      <c r="B1516" s="141" t="s">
        <v>2680</v>
      </c>
      <c r="C1516" s="82" t="str">
        <f>VLOOKUP($B$7:$B$5000,SUM!$L$6:$L$500,1,FALSE)</f>
        <v>#N/A</v>
      </c>
      <c r="D1516" s="81" t="s">
        <v>2632</v>
      </c>
      <c r="E1516" s="165" t="s">
        <v>58</v>
      </c>
      <c r="F1516" s="81" t="s">
        <v>105</v>
      </c>
      <c r="G1516" s="125" t="s">
        <v>1955</v>
      </c>
      <c r="H1516" s="81" t="s">
        <v>2675</v>
      </c>
      <c r="I1516" s="149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1">
        <v>1511.0</v>
      </c>
      <c r="B1517" s="141" t="s">
        <v>2682</v>
      </c>
      <c r="C1517" s="82" t="str">
        <f>VLOOKUP($B$7:$B$5000,SUM!$L$6:$L$500,1,FALSE)</f>
        <v>#N/A</v>
      </c>
      <c r="D1517" s="81" t="s">
        <v>2632</v>
      </c>
      <c r="E1517" s="165" t="s">
        <v>58</v>
      </c>
      <c r="F1517" s="81" t="s">
        <v>105</v>
      </c>
      <c r="G1517" s="125" t="s">
        <v>1955</v>
      </c>
      <c r="H1517" s="81" t="s">
        <v>2683</v>
      </c>
      <c r="I1517" s="149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0">
        <v>46161.0</v>
      </c>
      <c r="R1517" s="103" t="s">
        <v>597</v>
      </c>
      <c r="S1517" s="104">
        <v>46166.0</v>
      </c>
      <c r="T1517" s="103"/>
      <c r="U1517" s="90" t="s">
        <v>31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1">
        <v>1512.0</v>
      </c>
      <c r="B1518" s="141" t="s">
        <v>2684</v>
      </c>
      <c r="C1518" s="82" t="str">
        <f>VLOOKUP($B$7:$B$5000,SUM!$L$6:$L$500,1,FALSE)</f>
        <v>#N/A</v>
      </c>
      <c r="D1518" s="81" t="s">
        <v>2632</v>
      </c>
      <c r="E1518" s="165" t="s">
        <v>58</v>
      </c>
      <c r="F1518" s="81" t="s">
        <v>105</v>
      </c>
      <c r="G1518" s="125" t="s">
        <v>1955</v>
      </c>
      <c r="H1518" s="81" t="s">
        <v>2683</v>
      </c>
      <c r="I1518" s="149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1">
        <v>1513.0</v>
      </c>
      <c r="B1519" s="141" t="s">
        <v>2685</v>
      </c>
      <c r="C1519" s="82" t="str">
        <f>VLOOKUP($B$7:$B$5000,SUM!$L$6:$L$500,1,FALSE)</f>
        <v>#N/A</v>
      </c>
      <c r="D1519" s="81" t="s">
        <v>2632</v>
      </c>
      <c r="E1519" s="165" t="s">
        <v>58</v>
      </c>
      <c r="F1519" s="81" t="s">
        <v>105</v>
      </c>
      <c r="G1519" s="125" t="s">
        <v>1955</v>
      </c>
      <c r="H1519" s="81" t="s">
        <v>2683</v>
      </c>
      <c r="I1519" s="149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1">
        <v>1514.0</v>
      </c>
      <c r="B1520" s="141" t="s">
        <v>2686</v>
      </c>
      <c r="C1520" s="82" t="str">
        <f>VLOOKUP($B$7:$B$5000,SUM!$L$6:$L$500,1,FALSE)</f>
        <v>#N/A</v>
      </c>
      <c r="D1520" s="81" t="s">
        <v>2632</v>
      </c>
      <c r="E1520" s="165" t="s">
        <v>58</v>
      </c>
      <c r="F1520" s="81" t="s">
        <v>105</v>
      </c>
      <c r="G1520" s="125" t="s">
        <v>1955</v>
      </c>
      <c r="H1520" s="81" t="s">
        <v>2687</v>
      </c>
      <c r="I1520" s="149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0">
        <v>46161.0</v>
      </c>
      <c r="R1520" s="103" t="s">
        <v>597</v>
      </c>
      <c r="S1520" s="104">
        <v>46166.0</v>
      </c>
      <c r="T1520" s="103"/>
      <c r="U1520" s="90" t="s">
        <v>31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1">
        <v>1515.0</v>
      </c>
      <c r="B1521" s="141" t="s">
        <v>2688</v>
      </c>
      <c r="C1521" s="82" t="str">
        <f>VLOOKUP($B$7:$B$5000,SUM!$L$6:$L$500,1,FALSE)</f>
        <v>#N/A</v>
      </c>
      <c r="D1521" s="81" t="s">
        <v>2632</v>
      </c>
      <c r="E1521" s="165" t="s">
        <v>58</v>
      </c>
      <c r="F1521" s="81" t="s">
        <v>105</v>
      </c>
      <c r="G1521" s="125" t="s">
        <v>1955</v>
      </c>
      <c r="H1521" s="81" t="s">
        <v>2687</v>
      </c>
      <c r="I1521" s="149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1">
        <v>1516.0</v>
      </c>
      <c r="B1522" s="141" t="s">
        <v>2689</v>
      </c>
      <c r="C1522" s="82" t="str">
        <f>VLOOKUP($B$7:$B$5000,SUM!$L$6:$L$500,1,FALSE)</f>
        <v>#N/A</v>
      </c>
      <c r="D1522" s="81" t="s">
        <v>2632</v>
      </c>
      <c r="E1522" s="165" t="s">
        <v>58</v>
      </c>
      <c r="F1522" s="81" t="s">
        <v>105</v>
      </c>
      <c r="G1522" s="125" t="s">
        <v>1955</v>
      </c>
      <c r="H1522" s="81" t="s">
        <v>2687</v>
      </c>
      <c r="I1522" s="149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1">
        <v>1517.0</v>
      </c>
      <c r="B1523" s="141" t="s">
        <v>2690</v>
      </c>
      <c r="C1523" s="82" t="str">
        <f>VLOOKUP($B$7:$B$5000,SUM!$L$6:$L$500,1,FALSE)</f>
        <v>#N/A</v>
      </c>
      <c r="D1523" s="81" t="s">
        <v>2632</v>
      </c>
      <c r="E1523" s="165" t="s">
        <v>58</v>
      </c>
      <c r="F1523" s="81" t="s">
        <v>105</v>
      </c>
      <c r="G1523" s="125" t="s">
        <v>1955</v>
      </c>
      <c r="H1523" s="81" t="s">
        <v>2691</v>
      </c>
      <c r="I1523" s="149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0">
        <v>46161.0</v>
      </c>
      <c r="R1523" s="103" t="s">
        <v>597</v>
      </c>
      <c r="S1523" s="104">
        <v>46166.0</v>
      </c>
      <c r="T1523" s="103"/>
      <c r="U1523" s="90" t="s">
        <v>31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1">
        <v>1518.0</v>
      </c>
      <c r="B1524" s="141" t="s">
        <v>2692</v>
      </c>
      <c r="C1524" s="82" t="str">
        <f>VLOOKUP($B$7:$B$5000,SUM!$L$6:$L$500,1,FALSE)</f>
        <v>#N/A</v>
      </c>
      <c r="D1524" s="81" t="s">
        <v>2632</v>
      </c>
      <c r="E1524" s="165" t="s">
        <v>58</v>
      </c>
      <c r="F1524" s="81" t="s">
        <v>105</v>
      </c>
      <c r="G1524" s="125" t="s">
        <v>1955</v>
      </c>
      <c r="H1524" s="81" t="s">
        <v>2691</v>
      </c>
      <c r="I1524" s="149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1">
        <v>1519.0</v>
      </c>
      <c r="B1525" s="141" t="s">
        <v>2693</v>
      </c>
      <c r="C1525" s="82" t="str">
        <f>VLOOKUP($B$7:$B$5000,SUM!$L$6:$L$500,1,FALSE)</f>
        <v>#N/A</v>
      </c>
      <c r="D1525" s="81" t="s">
        <v>2632</v>
      </c>
      <c r="E1525" s="165" t="s">
        <v>58</v>
      </c>
      <c r="F1525" s="81" t="s">
        <v>105</v>
      </c>
      <c r="G1525" s="125" t="s">
        <v>1955</v>
      </c>
      <c r="H1525" s="81" t="s">
        <v>2691</v>
      </c>
      <c r="I1525" s="149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1">
        <v>1520.0</v>
      </c>
      <c r="B1526" s="141" t="s">
        <v>2694</v>
      </c>
      <c r="C1526" s="82" t="str">
        <f>VLOOKUP($B$7:$B$5000,SUM!$L$6:$L$500,1,FALSE)</f>
        <v>#N/A</v>
      </c>
      <c r="D1526" s="171" t="s">
        <v>2632</v>
      </c>
      <c r="E1526" s="165" t="s">
        <v>58</v>
      </c>
      <c r="F1526" s="81" t="s">
        <v>105</v>
      </c>
      <c r="G1526" s="125" t="s">
        <v>1999</v>
      </c>
      <c r="H1526" s="81" t="s">
        <v>2695</v>
      </c>
      <c r="I1526" s="149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2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1">
        <v>1521.0</v>
      </c>
      <c r="B1527" s="141" t="s">
        <v>2697</v>
      </c>
      <c r="C1527" s="82" t="str">
        <f>VLOOKUP($B$7:$B$5000,SUM!$L$6:$L$500,1,FALSE)</f>
        <v>#N/A</v>
      </c>
      <c r="D1527" s="171" t="s">
        <v>2632</v>
      </c>
      <c r="E1527" s="165" t="s">
        <v>58</v>
      </c>
      <c r="F1527" s="81" t="s">
        <v>105</v>
      </c>
      <c r="G1527" s="125" t="s">
        <v>1999</v>
      </c>
      <c r="H1527" s="81" t="s">
        <v>2695</v>
      </c>
      <c r="I1527" s="149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2">
        <v>46137.0</v>
      </c>
      <c r="O1527" s="103" t="s">
        <v>67</v>
      </c>
      <c r="P1527" s="103" t="s">
        <v>68</v>
      </c>
      <c r="Q1527" s="150">
        <v>46165.0</v>
      </c>
      <c r="R1527" s="103" t="s">
        <v>597</v>
      </c>
      <c r="S1527" s="150">
        <v>46166.0</v>
      </c>
      <c r="T1527" s="103"/>
      <c r="U1527" s="90" t="s">
        <v>31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1">
        <v>1522.0</v>
      </c>
      <c r="B1528" s="141" t="s">
        <v>2699</v>
      </c>
      <c r="C1528" s="82" t="str">
        <f>VLOOKUP($B$7:$B$5000,SUM!$L$6:$L$500,1,FALSE)</f>
        <v>#N/A</v>
      </c>
      <c r="D1528" s="171" t="s">
        <v>2632</v>
      </c>
      <c r="E1528" s="165" t="s">
        <v>58</v>
      </c>
      <c r="F1528" s="81" t="s">
        <v>105</v>
      </c>
      <c r="G1528" s="125" t="s">
        <v>1999</v>
      </c>
      <c r="H1528" s="81" t="s">
        <v>2695</v>
      </c>
      <c r="I1528" s="149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2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1">
        <v>1523.0</v>
      </c>
      <c r="B1529" s="141" t="s">
        <v>2700</v>
      </c>
      <c r="C1529" s="82" t="str">
        <f>VLOOKUP($B$7:$B$5000,SUM!$L$6:$L$500,1,FALSE)</f>
        <v>#N/A</v>
      </c>
      <c r="D1529" s="171" t="s">
        <v>2632</v>
      </c>
      <c r="E1529" s="165" t="s">
        <v>58</v>
      </c>
      <c r="F1529" s="81" t="s">
        <v>105</v>
      </c>
      <c r="G1529" s="125" t="s">
        <v>1999</v>
      </c>
      <c r="H1529" s="81" t="s">
        <v>2695</v>
      </c>
      <c r="I1529" s="149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2">
        <v>46137.0</v>
      </c>
      <c r="O1529" s="103" t="s">
        <v>67</v>
      </c>
      <c r="P1529" s="103" t="s">
        <v>68</v>
      </c>
      <c r="Q1529" s="150">
        <v>46165.0</v>
      </c>
      <c r="R1529" s="103" t="s">
        <v>597</v>
      </c>
      <c r="S1529" s="150">
        <v>46166.0</v>
      </c>
      <c r="T1529" s="103"/>
      <c r="U1529" s="90" t="s">
        <v>31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1">
        <v>1524.0</v>
      </c>
      <c r="B1530" s="141" t="s">
        <v>2701</v>
      </c>
      <c r="C1530" s="82" t="str">
        <f>VLOOKUP($B$7:$B$5000,SUM!$L$6:$L$500,1,FALSE)</f>
        <v>#N/A</v>
      </c>
      <c r="D1530" s="171" t="s">
        <v>2702</v>
      </c>
      <c r="E1530" s="165" t="s">
        <v>58</v>
      </c>
      <c r="F1530" s="81" t="s">
        <v>105</v>
      </c>
      <c r="G1530" s="125" t="s">
        <v>1362</v>
      </c>
      <c r="H1530" s="81" t="s">
        <v>2703</v>
      </c>
      <c r="I1530" s="149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2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1">
        <v>1525.0</v>
      </c>
      <c r="B1531" s="141" t="s">
        <v>2705</v>
      </c>
      <c r="C1531" s="82" t="str">
        <f>VLOOKUP($B$7:$B$5000,SUM!$L$6:$L$500,1,FALSE)</f>
        <v>#N/A</v>
      </c>
      <c r="D1531" s="171" t="s">
        <v>2702</v>
      </c>
      <c r="E1531" s="165" t="s">
        <v>58</v>
      </c>
      <c r="F1531" s="81" t="s">
        <v>105</v>
      </c>
      <c r="G1531" s="125" t="s">
        <v>1362</v>
      </c>
      <c r="H1531" s="81" t="s">
        <v>2703</v>
      </c>
      <c r="I1531" s="149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2">
        <v>46138.0</v>
      </c>
      <c r="O1531" s="103" t="s">
        <v>67</v>
      </c>
      <c r="P1531" s="103" t="s">
        <v>68</v>
      </c>
      <c r="Q1531" s="150">
        <v>46165.0</v>
      </c>
      <c r="R1531" s="103" t="s">
        <v>597</v>
      </c>
      <c r="S1531" s="150">
        <v>46166.0</v>
      </c>
      <c r="T1531" s="103"/>
      <c r="U1531" s="90" t="s">
        <v>31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1">
        <v>1526.0</v>
      </c>
      <c r="B1532" s="141" t="s">
        <v>2707</v>
      </c>
      <c r="C1532" s="82" t="str">
        <f>VLOOKUP($B$7:$B$5000,SUM!$L$6:$L$500,1,FALSE)</f>
        <v>#N/A</v>
      </c>
      <c r="D1532" s="171" t="s">
        <v>2702</v>
      </c>
      <c r="E1532" s="165" t="s">
        <v>58</v>
      </c>
      <c r="F1532" s="81" t="s">
        <v>105</v>
      </c>
      <c r="G1532" s="125" t="s">
        <v>1362</v>
      </c>
      <c r="H1532" s="81" t="s">
        <v>2703</v>
      </c>
      <c r="I1532" s="149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2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1">
        <v>1527.0</v>
      </c>
      <c r="B1533" s="141" t="s">
        <v>2709</v>
      </c>
      <c r="C1533" s="82" t="str">
        <f>VLOOKUP($B$7:$B$5000,SUM!$L$6:$L$500,1,FALSE)</f>
        <v>#N/A</v>
      </c>
      <c r="D1533" s="171" t="s">
        <v>2702</v>
      </c>
      <c r="E1533" s="165" t="s">
        <v>58</v>
      </c>
      <c r="F1533" s="81" t="s">
        <v>105</v>
      </c>
      <c r="G1533" s="125" t="s">
        <v>2710</v>
      </c>
      <c r="H1533" s="81" t="s">
        <v>2711</v>
      </c>
      <c r="I1533" s="149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2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1">
        <v>1528.0</v>
      </c>
      <c r="B1534" s="141" t="s">
        <v>2713</v>
      </c>
      <c r="C1534" s="82" t="str">
        <f>VLOOKUP($B$7:$B$5000,SUM!$L$6:$L$500,1,FALSE)</f>
        <v>#N/A</v>
      </c>
      <c r="D1534" s="171" t="s">
        <v>2702</v>
      </c>
      <c r="E1534" s="165" t="s">
        <v>58</v>
      </c>
      <c r="F1534" s="81" t="s">
        <v>105</v>
      </c>
      <c r="G1534" s="125" t="s">
        <v>2710</v>
      </c>
      <c r="H1534" s="81" t="s">
        <v>2711</v>
      </c>
      <c r="I1534" s="149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2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1">
        <v>1529.0</v>
      </c>
      <c r="B1535" s="141" t="s">
        <v>2715</v>
      </c>
      <c r="C1535" s="82" t="str">
        <f>VLOOKUP($B$7:$B$5000,SUM!$L$6:$L$500,1,FALSE)</f>
        <v>#N/A</v>
      </c>
      <c r="D1535" s="171" t="s">
        <v>2702</v>
      </c>
      <c r="E1535" s="165" t="s">
        <v>58</v>
      </c>
      <c r="F1535" s="81" t="s">
        <v>105</v>
      </c>
      <c r="G1535" s="125" t="s">
        <v>2710</v>
      </c>
      <c r="H1535" s="81" t="s">
        <v>2716</v>
      </c>
      <c r="I1535" s="149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2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1">
        <v>1530.0</v>
      </c>
      <c r="B1536" s="141" t="s">
        <v>2717</v>
      </c>
      <c r="C1536" s="82" t="str">
        <f>VLOOKUP($B$7:$B$5000,SUM!$L$6:$L$500,1,FALSE)</f>
        <v>#N/A</v>
      </c>
      <c r="D1536" s="171" t="s">
        <v>2702</v>
      </c>
      <c r="E1536" s="165" t="s">
        <v>58</v>
      </c>
      <c r="F1536" s="81" t="s">
        <v>105</v>
      </c>
      <c r="G1536" s="125" t="s">
        <v>2710</v>
      </c>
      <c r="H1536" s="81" t="s">
        <v>2716</v>
      </c>
      <c r="I1536" s="149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2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1">
        <v>1531.0</v>
      </c>
      <c r="B1537" s="141" t="s">
        <v>2718</v>
      </c>
      <c r="C1537" s="82" t="str">
        <f>VLOOKUP($B$7:$B$5000,SUM!$L$6:$L$500,1,FALSE)</f>
        <v>#N/A</v>
      </c>
      <c r="D1537" s="171" t="s">
        <v>2702</v>
      </c>
      <c r="E1537" s="165" t="s">
        <v>58</v>
      </c>
      <c r="F1537" s="81" t="s">
        <v>105</v>
      </c>
      <c r="G1537" s="125" t="s">
        <v>2719</v>
      </c>
      <c r="H1537" s="81" t="s">
        <v>2720</v>
      </c>
      <c r="I1537" s="149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2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1">
        <v>1532.0</v>
      </c>
      <c r="B1538" s="141" t="s">
        <v>2722</v>
      </c>
      <c r="C1538" s="82" t="str">
        <f>VLOOKUP($B$7:$B$5000,SUM!$L$6:$L$500,1,FALSE)</f>
        <v>#N/A</v>
      </c>
      <c r="D1538" s="171" t="s">
        <v>2702</v>
      </c>
      <c r="E1538" s="165" t="s">
        <v>58</v>
      </c>
      <c r="F1538" s="81" t="s">
        <v>105</v>
      </c>
      <c r="G1538" s="125" t="s">
        <v>2719</v>
      </c>
      <c r="H1538" s="81" t="s">
        <v>2720</v>
      </c>
      <c r="I1538" s="149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2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1">
        <v>1533.0</v>
      </c>
      <c r="B1539" s="141" t="s">
        <v>2724</v>
      </c>
      <c r="C1539" s="82" t="str">
        <f>VLOOKUP($B$7:$B$5000,SUM!$L$6:$L$500,1,FALSE)</f>
        <v>#N/A</v>
      </c>
      <c r="D1539" s="171" t="s">
        <v>2702</v>
      </c>
      <c r="E1539" s="165" t="s">
        <v>58</v>
      </c>
      <c r="F1539" s="81" t="s">
        <v>105</v>
      </c>
      <c r="G1539" s="125" t="s">
        <v>2719</v>
      </c>
      <c r="H1539" s="81" t="s">
        <v>2720</v>
      </c>
      <c r="I1539" s="149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2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1">
        <v>1534.0</v>
      </c>
      <c r="B1540" s="141" t="s">
        <v>2726</v>
      </c>
      <c r="C1540" s="82" t="str">
        <f>VLOOKUP($B$7:$B$5000,SUM!$L$6:$L$500,1,FALSE)</f>
        <v>#N/A</v>
      </c>
      <c r="D1540" s="171" t="s">
        <v>2702</v>
      </c>
      <c r="E1540" s="165" t="s">
        <v>58</v>
      </c>
      <c r="F1540" s="81" t="s">
        <v>105</v>
      </c>
      <c r="G1540" s="125" t="s">
        <v>2719</v>
      </c>
      <c r="H1540" s="81" t="s">
        <v>2727</v>
      </c>
      <c r="I1540" s="149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2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1">
        <v>1535.0</v>
      </c>
      <c r="B1541" s="141" t="s">
        <v>2728</v>
      </c>
      <c r="C1541" s="82" t="str">
        <f>VLOOKUP($B$7:$B$5000,SUM!$L$6:$L$500,1,FALSE)</f>
        <v>#N/A</v>
      </c>
      <c r="D1541" s="171" t="s">
        <v>2702</v>
      </c>
      <c r="E1541" s="165" t="s">
        <v>58</v>
      </c>
      <c r="F1541" s="81" t="s">
        <v>105</v>
      </c>
      <c r="G1541" s="125" t="s">
        <v>2719</v>
      </c>
      <c r="H1541" s="81" t="s">
        <v>2727</v>
      </c>
      <c r="I1541" s="149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2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1">
        <v>1536.0</v>
      </c>
      <c r="B1542" s="141" t="s">
        <v>2729</v>
      </c>
      <c r="C1542" s="82" t="str">
        <f>VLOOKUP($B$7:$B$5000,SUM!$L$6:$L$500,1,FALSE)</f>
        <v>#N/A</v>
      </c>
      <c r="D1542" s="171" t="s">
        <v>2702</v>
      </c>
      <c r="E1542" s="165" t="s">
        <v>58</v>
      </c>
      <c r="F1542" s="81" t="s">
        <v>105</v>
      </c>
      <c r="G1542" s="125" t="s">
        <v>2719</v>
      </c>
      <c r="H1542" s="81" t="s">
        <v>2727</v>
      </c>
      <c r="I1542" s="149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2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1">
        <v>1537.0</v>
      </c>
      <c r="B1543" s="141" t="s">
        <v>2730</v>
      </c>
      <c r="C1543" s="82" t="str">
        <f>VLOOKUP($B$7:$B$5000,SUM!$L$6:$L$500,1,FALSE)</f>
        <v>#N/A</v>
      </c>
      <c r="D1543" s="171" t="s">
        <v>2702</v>
      </c>
      <c r="E1543" s="165" t="s">
        <v>58</v>
      </c>
      <c r="F1543" s="81" t="s">
        <v>105</v>
      </c>
      <c r="G1543" s="125" t="s">
        <v>2719</v>
      </c>
      <c r="H1543" s="81" t="s">
        <v>2731</v>
      </c>
      <c r="I1543" s="149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2">
        <v>46138.0</v>
      </c>
      <c r="O1543" s="103" t="s">
        <v>67</v>
      </c>
      <c r="P1543" s="103" t="s">
        <v>68</v>
      </c>
      <c r="Q1543" s="150">
        <v>46161.0</v>
      </c>
      <c r="R1543" s="103" t="s">
        <v>597</v>
      </c>
      <c r="S1543" s="104">
        <v>46166.0</v>
      </c>
      <c r="T1543" s="103"/>
      <c r="U1543" s="90" t="s">
        <v>31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1">
        <v>1538.0</v>
      </c>
      <c r="B1544" s="141" t="s">
        <v>2733</v>
      </c>
      <c r="C1544" s="82" t="str">
        <f>VLOOKUP($B$7:$B$5000,SUM!$L$6:$L$500,1,FALSE)</f>
        <v>#N/A</v>
      </c>
      <c r="D1544" s="171" t="s">
        <v>2702</v>
      </c>
      <c r="E1544" s="165" t="s">
        <v>58</v>
      </c>
      <c r="F1544" s="81" t="s">
        <v>105</v>
      </c>
      <c r="G1544" s="125" t="s">
        <v>2719</v>
      </c>
      <c r="H1544" s="81" t="s">
        <v>2731</v>
      </c>
      <c r="I1544" s="149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2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1">
        <v>1539.0</v>
      </c>
      <c r="B1545" s="141" t="s">
        <v>2734</v>
      </c>
      <c r="C1545" s="82" t="str">
        <f>VLOOKUP($B$7:$B$5000,SUM!$L$6:$L$500,1,FALSE)</f>
        <v>#N/A</v>
      </c>
      <c r="D1545" s="171" t="s">
        <v>2702</v>
      </c>
      <c r="E1545" s="165" t="s">
        <v>58</v>
      </c>
      <c r="F1545" s="81" t="s">
        <v>105</v>
      </c>
      <c r="G1545" s="125" t="s">
        <v>2719</v>
      </c>
      <c r="H1545" s="81" t="s">
        <v>2731</v>
      </c>
      <c r="I1545" s="149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2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1">
        <v>1540.0</v>
      </c>
      <c r="B1546" s="141" t="s">
        <v>2735</v>
      </c>
      <c r="C1546" s="82" t="str">
        <f>VLOOKUP($B$7:$B$5000,SUM!$L$6:$L$500,1,FALSE)</f>
        <v>#N/A</v>
      </c>
      <c r="D1546" s="171" t="s">
        <v>2702</v>
      </c>
      <c r="E1546" s="165" t="s">
        <v>58</v>
      </c>
      <c r="F1546" s="81" t="s">
        <v>105</v>
      </c>
      <c r="G1546" s="125" t="s">
        <v>2719</v>
      </c>
      <c r="H1546" s="81" t="s">
        <v>2731</v>
      </c>
      <c r="I1546" s="149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2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1">
        <v>1541.0</v>
      </c>
      <c r="B1547" s="141" t="s">
        <v>2736</v>
      </c>
      <c r="C1547" s="82" t="str">
        <f>VLOOKUP($B$7:$B$5000,SUM!$L$6:$L$500,1,FALSE)</f>
        <v>#N/A</v>
      </c>
      <c r="D1547" s="171" t="s">
        <v>2702</v>
      </c>
      <c r="E1547" s="165" t="s">
        <v>58</v>
      </c>
      <c r="F1547" s="81" t="s">
        <v>105</v>
      </c>
      <c r="G1547" s="125" t="s">
        <v>2719</v>
      </c>
      <c r="H1547" s="81" t="s">
        <v>2737</v>
      </c>
      <c r="I1547" s="149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2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1">
        <v>1542.0</v>
      </c>
      <c r="B1548" s="141" t="s">
        <v>2738</v>
      </c>
      <c r="C1548" s="82" t="str">
        <f>VLOOKUP($B$7:$B$5000,SUM!$L$6:$L$500,1,FALSE)</f>
        <v>#N/A</v>
      </c>
      <c r="D1548" s="171" t="s">
        <v>2702</v>
      </c>
      <c r="E1548" s="165" t="s">
        <v>58</v>
      </c>
      <c r="F1548" s="81" t="s">
        <v>105</v>
      </c>
      <c r="G1548" s="125" t="s">
        <v>2719</v>
      </c>
      <c r="H1548" s="81" t="s">
        <v>2737</v>
      </c>
      <c r="I1548" s="149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2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1">
        <v>1543.0</v>
      </c>
      <c r="B1549" s="141" t="s">
        <v>2739</v>
      </c>
      <c r="C1549" s="82" t="str">
        <f>VLOOKUP($B$7:$B$5000,SUM!$L$6:$L$500,1,FALSE)</f>
        <v>#N/A</v>
      </c>
      <c r="D1549" s="171" t="s">
        <v>2702</v>
      </c>
      <c r="E1549" s="165" t="s">
        <v>58</v>
      </c>
      <c r="F1549" s="81" t="s">
        <v>105</v>
      </c>
      <c r="G1549" s="125" t="s">
        <v>2719</v>
      </c>
      <c r="H1549" s="81" t="s">
        <v>2737</v>
      </c>
      <c r="I1549" s="149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2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1">
        <v>1544.0</v>
      </c>
      <c r="B1550" s="141" t="s">
        <v>2740</v>
      </c>
      <c r="C1550" s="82" t="str">
        <f>VLOOKUP($B$7:$B$5000,SUM!$L$6:$L$500,1,FALSE)</f>
        <v>#N/A</v>
      </c>
      <c r="D1550" s="171" t="s">
        <v>2702</v>
      </c>
      <c r="E1550" s="165" t="s">
        <v>58</v>
      </c>
      <c r="F1550" s="81" t="s">
        <v>105</v>
      </c>
      <c r="G1550" s="125" t="s">
        <v>2719</v>
      </c>
      <c r="H1550" s="81" t="s">
        <v>2741</v>
      </c>
      <c r="I1550" s="149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2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1">
        <v>1545.0</v>
      </c>
      <c r="B1551" s="141" t="s">
        <v>2742</v>
      </c>
      <c r="C1551" s="82" t="str">
        <f>VLOOKUP($B$7:$B$5000,SUM!$L$6:$L$500,1,FALSE)</f>
        <v>#N/A</v>
      </c>
      <c r="D1551" s="171" t="s">
        <v>2702</v>
      </c>
      <c r="E1551" s="165" t="s">
        <v>58</v>
      </c>
      <c r="F1551" s="81" t="s">
        <v>105</v>
      </c>
      <c r="G1551" s="125" t="s">
        <v>2719</v>
      </c>
      <c r="H1551" s="81" t="s">
        <v>2741</v>
      </c>
      <c r="I1551" s="149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2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1">
        <v>1546.0</v>
      </c>
      <c r="B1552" s="141" t="s">
        <v>2743</v>
      </c>
      <c r="C1552" s="82" t="str">
        <f>VLOOKUP($B$7:$B$5000,SUM!$L$6:$L$500,1,FALSE)</f>
        <v>#N/A</v>
      </c>
      <c r="D1552" s="171" t="s">
        <v>2702</v>
      </c>
      <c r="E1552" s="165" t="s">
        <v>58</v>
      </c>
      <c r="F1552" s="81" t="s">
        <v>105</v>
      </c>
      <c r="G1552" s="125" t="s">
        <v>2719</v>
      </c>
      <c r="H1552" s="81" t="s">
        <v>2741</v>
      </c>
      <c r="I1552" s="149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2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1">
        <v>1547.0</v>
      </c>
      <c r="B1553" s="141" t="s">
        <v>2745</v>
      </c>
      <c r="C1553" s="82" t="str">
        <f>VLOOKUP($B$7:$B$5000,SUM!$L$6:$L$500,1,FALSE)</f>
        <v>#N/A</v>
      </c>
      <c r="D1553" s="171" t="s">
        <v>2702</v>
      </c>
      <c r="E1553" s="165" t="s">
        <v>58</v>
      </c>
      <c r="F1553" s="81" t="s">
        <v>105</v>
      </c>
      <c r="G1553" s="125" t="s">
        <v>2719</v>
      </c>
      <c r="H1553" s="81" t="s">
        <v>2746</v>
      </c>
      <c r="I1553" s="149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2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1">
        <v>1548.0</v>
      </c>
      <c r="B1554" s="141" t="s">
        <v>2747</v>
      </c>
      <c r="C1554" s="82" t="str">
        <f>VLOOKUP($B$7:$B$5000,SUM!$L$6:$L$500,1,FALSE)</f>
        <v>#N/A</v>
      </c>
      <c r="D1554" s="171" t="s">
        <v>2702</v>
      </c>
      <c r="E1554" s="165" t="s">
        <v>58</v>
      </c>
      <c r="F1554" s="81" t="s">
        <v>105</v>
      </c>
      <c r="G1554" s="125" t="s">
        <v>2719</v>
      </c>
      <c r="H1554" s="81" t="s">
        <v>2746</v>
      </c>
      <c r="I1554" s="149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2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1">
        <v>1549.0</v>
      </c>
      <c r="B1555" s="141" t="s">
        <v>2748</v>
      </c>
      <c r="C1555" s="82" t="str">
        <f>VLOOKUP($B$7:$B$5000,SUM!$L$6:$L$500,1,FALSE)</f>
        <v>#N/A</v>
      </c>
      <c r="D1555" s="171" t="s">
        <v>2702</v>
      </c>
      <c r="E1555" s="165" t="s">
        <v>58</v>
      </c>
      <c r="F1555" s="81" t="s">
        <v>105</v>
      </c>
      <c r="G1555" s="125" t="s">
        <v>2719</v>
      </c>
      <c r="H1555" s="81" t="s">
        <v>2746</v>
      </c>
      <c r="I1555" s="149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2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1">
        <v>1550.0</v>
      </c>
      <c r="B1556" s="141" t="s">
        <v>2749</v>
      </c>
      <c r="C1556" s="82" t="str">
        <f>VLOOKUP($B$7:$B$5000,SUM!$L$6:$L$500,1,FALSE)</f>
        <v>#N/A</v>
      </c>
      <c r="D1556" s="171" t="s">
        <v>2702</v>
      </c>
      <c r="E1556" s="165" t="s">
        <v>58</v>
      </c>
      <c r="F1556" s="81" t="s">
        <v>105</v>
      </c>
      <c r="G1556" s="125" t="s">
        <v>2719</v>
      </c>
      <c r="H1556" s="81" t="s">
        <v>2746</v>
      </c>
      <c r="I1556" s="149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2">
        <v>46138.0</v>
      </c>
      <c r="O1556" s="103" t="s">
        <v>67</v>
      </c>
      <c r="P1556" s="103" t="s">
        <v>68</v>
      </c>
      <c r="Q1556" s="150">
        <v>46161.0</v>
      </c>
      <c r="R1556" s="103" t="s">
        <v>597</v>
      </c>
      <c r="S1556" s="104">
        <v>46166.0</v>
      </c>
      <c r="T1556" s="103"/>
      <c r="U1556" s="90" t="s">
        <v>31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1">
        <v>1551.0</v>
      </c>
      <c r="B1557" s="141" t="s">
        <v>2750</v>
      </c>
      <c r="C1557" s="82" t="str">
        <f>VLOOKUP($B$7:$B$5000,SUM!$L$6:$L$500,1,FALSE)</f>
        <v>#N/A</v>
      </c>
      <c r="D1557" s="171" t="s">
        <v>2702</v>
      </c>
      <c r="E1557" s="165" t="s">
        <v>58</v>
      </c>
      <c r="F1557" s="81" t="s">
        <v>105</v>
      </c>
      <c r="G1557" s="125" t="s">
        <v>2719</v>
      </c>
      <c r="H1557" s="81" t="s">
        <v>2751</v>
      </c>
      <c r="I1557" s="149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2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1">
        <v>1552.0</v>
      </c>
      <c r="B1558" s="141" t="s">
        <v>2752</v>
      </c>
      <c r="C1558" s="82" t="str">
        <f>VLOOKUP($B$7:$B$5000,SUM!$L$6:$L$500,1,FALSE)</f>
        <v>#N/A</v>
      </c>
      <c r="D1558" s="171" t="s">
        <v>2702</v>
      </c>
      <c r="E1558" s="165" t="s">
        <v>58</v>
      </c>
      <c r="F1558" s="81" t="s">
        <v>105</v>
      </c>
      <c r="G1558" s="125" t="s">
        <v>2719</v>
      </c>
      <c r="H1558" s="81" t="s">
        <v>2751</v>
      </c>
      <c r="I1558" s="149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2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1">
        <v>1553.0</v>
      </c>
      <c r="B1559" s="141" t="s">
        <v>2753</v>
      </c>
      <c r="C1559" s="82" t="str">
        <f>VLOOKUP($B$7:$B$5000,SUM!$L$6:$L$500,1,FALSE)</f>
        <v>#N/A</v>
      </c>
      <c r="D1559" s="171" t="s">
        <v>2702</v>
      </c>
      <c r="E1559" s="165" t="s">
        <v>58</v>
      </c>
      <c r="F1559" s="81" t="s">
        <v>105</v>
      </c>
      <c r="G1559" s="125" t="s">
        <v>2719</v>
      </c>
      <c r="H1559" s="81" t="s">
        <v>2751</v>
      </c>
      <c r="I1559" s="149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2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1">
        <v>1554.0</v>
      </c>
      <c r="B1560" s="141" t="s">
        <v>2754</v>
      </c>
      <c r="C1560" s="82" t="str">
        <f>VLOOKUP($B$7:$B$5000,SUM!$L$6:$L$500,1,FALSE)</f>
        <v>#N/A</v>
      </c>
      <c r="D1560" s="171" t="s">
        <v>2702</v>
      </c>
      <c r="E1560" s="165" t="s">
        <v>58</v>
      </c>
      <c r="F1560" s="81" t="s">
        <v>105</v>
      </c>
      <c r="G1560" s="125" t="s">
        <v>2719</v>
      </c>
      <c r="H1560" s="81" t="s">
        <v>2755</v>
      </c>
      <c r="I1560" s="149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2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1">
        <v>1555.0</v>
      </c>
      <c r="B1561" s="141" t="s">
        <v>2756</v>
      </c>
      <c r="C1561" s="82" t="str">
        <f>VLOOKUP($B$7:$B$5000,SUM!$L$6:$L$500,1,FALSE)</f>
        <v>#N/A</v>
      </c>
      <c r="D1561" s="171" t="s">
        <v>2702</v>
      </c>
      <c r="E1561" s="165" t="s">
        <v>58</v>
      </c>
      <c r="F1561" s="81" t="s">
        <v>105</v>
      </c>
      <c r="G1561" s="125" t="s">
        <v>2719</v>
      </c>
      <c r="H1561" s="81" t="s">
        <v>2755</v>
      </c>
      <c r="I1561" s="149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2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1">
        <v>1556.0</v>
      </c>
      <c r="B1562" s="141" t="s">
        <v>2757</v>
      </c>
      <c r="C1562" s="82" t="str">
        <f>VLOOKUP($B$7:$B$5000,SUM!$L$6:$L$500,1,FALSE)</f>
        <v>#N/A</v>
      </c>
      <c r="D1562" s="171" t="s">
        <v>2702</v>
      </c>
      <c r="E1562" s="165" t="s">
        <v>58</v>
      </c>
      <c r="F1562" s="81" t="s">
        <v>105</v>
      </c>
      <c r="G1562" s="125" t="s">
        <v>2719</v>
      </c>
      <c r="H1562" s="81" t="s">
        <v>2755</v>
      </c>
      <c r="I1562" s="149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2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1">
        <v>1557.0</v>
      </c>
      <c r="B1563" s="141" t="s">
        <v>2758</v>
      </c>
      <c r="C1563" s="82" t="str">
        <f>VLOOKUP($B$7:$B$5000,SUM!$L$6:$L$500,1,FALSE)</f>
        <v>#N/A</v>
      </c>
      <c r="D1563" s="171" t="s">
        <v>2702</v>
      </c>
      <c r="E1563" s="165" t="s">
        <v>58</v>
      </c>
      <c r="F1563" s="81" t="s">
        <v>105</v>
      </c>
      <c r="G1563" s="125" t="s">
        <v>2719</v>
      </c>
      <c r="H1563" s="81" t="s">
        <v>2759</v>
      </c>
      <c r="I1563" s="149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2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1">
        <v>1558.0</v>
      </c>
      <c r="B1564" s="141" t="s">
        <v>2760</v>
      </c>
      <c r="C1564" s="82" t="str">
        <f>VLOOKUP($B$7:$B$5000,SUM!$L$6:$L$500,1,FALSE)</f>
        <v>#N/A</v>
      </c>
      <c r="D1564" s="171" t="s">
        <v>2702</v>
      </c>
      <c r="E1564" s="165" t="s">
        <v>58</v>
      </c>
      <c r="F1564" s="81" t="s">
        <v>105</v>
      </c>
      <c r="G1564" s="125" t="s">
        <v>2719</v>
      </c>
      <c r="H1564" s="81" t="s">
        <v>2759</v>
      </c>
      <c r="I1564" s="149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2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1">
        <v>1559.0</v>
      </c>
      <c r="B1565" s="141" t="s">
        <v>2761</v>
      </c>
      <c r="C1565" s="82" t="str">
        <f>VLOOKUP($B$7:$B$5000,SUM!$L$6:$L$500,1,FALSE)</f>
        <v>#N/A</v>
      </c>
      <c r="D1565" s="171" t="s">
        <v>2702</v>
      </c>
      <c r="E1565" s="165" t="s">
        <v>58</v>
      </c>
      <c r="F1565" s="81" t="s">
        <v>105</v>
      </c>
      <c r="G1565" s="125" t="s">
        <v>2719</v>
      </c>
      <c r="H1565" s="81" t="s">
        <v>2759</v>
      </c>
      <c r="I1565" s="149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2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1">
        <v>1560.0</v>
      </c>
      <c r="B1566" s="141" t="s">
        <v>2762</v>
      </c>
      <c r="C1566" s="82" t="str">
        <f>VLOOKUP($B$7:$B$5000,SUM!$L$6:$L$500,1,FALSE)</f>
        <v>#N/A</v>
      </c>
      <c r="D1566" s="171" t="s">
        <v>2702</v>
      </c>
      <c r="E1566" s="165" t="s">
        <v>58</v>
      </c>
      <c r="F1566" s="81" t="s">
        <v>105</v>
      </c>
      <c r="G1566" s="125" t="s">
        <v>1955</v>
      </c>
      <c r="H1566" s="81" t="s">
        <v>2763</v>
      </c>
      <c r="I1566" s="149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2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1">
        <v>1561.0</v>
      </c>
      <c r="B1567" s="141" t="s">
        <v>2765</v>
      </c>
      <c r="C1567" s="82" t="str">
        <f>VLOOKUP($B$7:$B$5000,SUM!$L$6:$L$500,1,FALSE)</f>
        <v>#N/A</v>
      </c>
      <c r="D1567" s="171" t="s">
        <v>2702</v>
      </c>
      <c r="E1567" s="165" t="s">
        <v>58</v>
      </c>
      <c r="F1567" s="81" t="s">
        <v>105</v>
      </c>
      <c r="G1567" s="125" t="s">
        <v>1955</v>
      </c>
      <c r="H1567" s="81" t="s">
        <v>2763</v>
      </c>
      <c r="I1567" s="149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2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1">
        <v>1562.0</v>
      </c>
      <c r="B1568" s="141" t="s">
        <v>2767</v>
      </c>
      <c r="C1568" s="82" t="str">
        <f>VLOOKUP($B$7:$B$5000,SUM!$L$6:$L$500,1,FALSE)</f>
        <v>#N/A</v>
      </c>
      <c r="D1568" s="171" t="s">
        <v>2702</v>
      </c>
      <c r="E1568" s="165" t="s">
        <v>58</v>
      </c>
      <c r="F1568" s="81" t="s">
        <v>105</v>
      </c>
      <c r="G1568" s="125" t="s">
        <v>1319</v>
      </c>
      <c r="H1568" s="81" t="s">
        <v>2768</v>
      </c>
      <c r="I1568" s="149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2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1">
        <v>1563.0</v>
      </c>
      <c r="B1569" s="141" t="s">
        <v>2770</v>
      </c>
      <c r="C1569" s="82" t="str">
        <f>VLOOKUP($B$7:$B$5000,SUM!$L$6:$L$500,1,FALSE)</f>
        <v>#N/A</v>
      </c>
      <c r="D1569" s="171" t="s">
        <v>2702</v>
      </c>
      <c r="E1569" s="165" t="s">
        <v>58</v>
      </c>
      <c r="F1569" s="81" t="s">
        <v>105</v>
      </c>
      <c r="G1569" s="125" t="s">
        <v>1319</v>
      </c>
      <c r="H1569" s="81" t="s">
        <v>2768</v>
      </c>
      <c r="I1569" s="149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2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1">
        <v>1564.0</v>
      </c>
      <c r="B1570" s="141" t="s">
        <v>2772</v>
      </c>
      <c r="C1570" s="82" t="str">
        <f>VLOOKUP($B$7:$B$5000,SUM!$L$6:$L$500,1,FALSE)</f>
        <v>#N/A</v>
      </c>
      <c r="D1570" s="171" t="s">
        <v>2702</v>
      </c>
      <c r="E1570" s="165" t="s">
        <v>58</v>
      </c>
      <c r="F1570" s="81" t="s">
        <v>105</v>
      </c>
      <c r="G1570" s="125" t="s">
        <v>1319</v>
      </c>
      <c r="H1570" s="81" t="s">
        <v>2773</v>
      </c>
      <c r="I1570" s="149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2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1">
        <v>1565.0</v>
      </c>
      <c r="B1571" s="141" t="s">
        <v>2774</v>
      </c>
      <c r="C1571" s="82" t="str">
        <f>VLOOKUP($B$7:$B$5000,SUM!$L$6:$L$500,1,FALSE)</f>
        <v>#N/A</v>
      </c>
      <c r="D1571" s="171" t="s">
        <v>2702</v>
      </c>
      <c r="E1571" s="165" t="s">
        <v>58</v>
      </c>
      <c r="F1571" s="81" t="s">
        <v>105</v>
      </c>
      <c r="G1571" s="125" t="s">
        <v>1319</v>
      </c>
      <c r="H1571" s="81" t="s">
        <v>2773</v>
      </c>
      <c r="I1571" s="149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2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1">
        <v>1566.0</v>
      </c>
      <c r="B1572" s="141" t="s">
        <v>2775</v>
      </c>
      <c r="C1572" s="82" t="str">
        <f>VLOOKUP($B$7:$B$5000,SUM!$L$6:$L$500,1,FALSE)</f>
        <v>#N/A</v>
      </c>
      <c r="D1572" s="171" t="s">
        <v>2776</v>
      </c>
      <c r="E1572" s="165" t="s">
        <v>58</v>
      </c>
      <c r="F1572" s="81" t="s">
        <v>2777</v>
      </c>
      <c r="G1572" s="125" t="s">
        <v>2778</v>
      </c>
      <c r="H1572" s="95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2">
        <v>46139.0</v>
      </c>
      <c r="O1572" s="103" t="s">
        <v>67</v>
      </c>
      <c r="P1572" s="103" t="s">
        <v>68</v>
      </c>
      <c r="Q1572" s="150">
        <v>46166.0</v>
      </c>
      <c r="R1572" s="103" t="s">
        <v>597</v>
      </c>
      <c r="S1572" s="150">
        <v>46167.0</v>
      </c>
      <c r="T1572" s="103"/>
      <c r="U1572" s="90" t="s">
        <v>31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1">
        <v>1567.0</v>
      </c>
      <c r="B1573" s="141" t="s">
        <v>2781</v>
      </c>
      <c r="C1573" s="82" t="str">
        <f>VLOOKUP($B$7:$B$5000,SUM!$L$6:$L$500,1,FALSE)</f>
        <v>#N/A</v>
      </c>
      <c r="D1573" s="171" t="s">
        <v>2776</v>
      </c>
      <c r="E1573" s="165" t="s">
        <v>58</v>
      </c>
      <c r="F1573" s="81" t="s">
        <v>2777</v>
      </c>
      <c r="G1573" s="125" t="s">
        <v>2778</v>
      </c>
      <c r="H1573" s="95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2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1">
        <v>1568.0</v>
      </c>
      <c r="B1574" s="141" t="s">
        <v>2783</v>
      </c>
      <c r="C1574" s="82" t="str">
        <f>VLOOKUP($B$7:$B$5000,SUM!$L$6:$L$500,1,FALSE)</f>
        <v>#N/A</v>
      </c>
      <c r="D1574" s="171" t="s">
        <v>2776</v>
      </c>
      <c r="E1574" s="165" t="s">
        <v>58</v>
      </c>
      <c r="F1574" s="81" t="s">
        <v>2777</v>
      </c>
      <c r="G1574" s="125" t="s">
        <v>2778</v>
      </c>
      <c r="H1574" s="95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2">
        <v>46139.0</v>
      </c>
      <c r="O1574" s="103" t="s">
        <v>67</v>
      </c>
      <c r="P1574" s="103" t="s">
        <v>68</v>
      </c>
      <c r="Q1574" s="154" t="s">
        <v>791</v>
      </c>
      <c r="R1574" s="154" t="s">
        <v>66</v>
      </c>
      <c r="S1574" s="173">
        <v>46189.0</v>
      </c>
      <c r="T1574" s="156"/>
      <c r="U1574" s="154" t="s">
        <v>31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1">
        <v>1569.0</v>
      </c>
      <c r="B1575" s="141" t="s">
        <v>2785</v>
      </c>
      <c r="C1575" s="82" t="str">
        <f>VLOOKUP($B$7:$B$5000,SUM!$L$6:$L$500,1,FALSE)</f>
        <v>#N/A</v>
      </c>
      <c r="D1575" s="171" t="s">
        <v>2776</v>
      </c>
      <c r="E1575" s="165" t="s">
        <v>58</v>
      </c>
      <c r="F1575" s="81" t="s">
        <v>2777</v>
      </c>
      <c r="G1575" s="125" t="s">
        <v>2778</v>
      </c>
      <c r="H1575" s="95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2">
        <v>46139.0</v>
      </c>
      <c r="O1575" s="103" t="s">
        <v>67</v>
      </c>
      <c r="P1575" s="103" t="s">
        <v>68</v>
      </c>
      <c r="Q1575" s="153">
        <v>46169.0</v>
      </c>
      <c r="R1575" s="154" t="s">
        <v>66</v>
      </c>
      <c r="S1575" s="155">
        <v>46188.0</v>
      </c>
      <c r="T1575" s="156"/>
      <c r="U1575" s="154" t="s">
        <v>31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1">
        <v>1570.0</v>
      </c>
      <c r="B1576" s="141" t="s">
        <v>2787</v>
      </c>
      <c r="C1576" s="82" t="str">
        <f>VLOOKUP($B$7:$B$5000,SUM!$L$6:$L$500,1,FALSE)</f>
        <v>#N/A</v>
      </c>
      <c r="D1576" s="171" t="s">
        <v>2776</v>
      </c>
      <c r="E1576" s="165" t="s">
        <v>58</v>
      </c>
      <c r="F1576" s="81" t="s">
        <v>2777</v>
      </c>
      <c r="G1576" s="125" t="s">
        <v>2778</v>
      </c>
      <c r="H1576" s="95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2">
        <v>46139.0</v>
      </c>
      <c r="O1576" s="103" t="s">
        <v>67</v>
      </c>
      <c r="P1576" s="103" t="s">
        <v>68</v>
      </c>
      <c r="Q1576" s="150">
        <v>46166.0</v>
      </c>
      <c r="R1576" s="103" t="s">
        <v>597</v>
      </c>
      <c r="S1576" s="150">
        <v>46167.0</v>
      </c>
      <c r="T1576" s="103"/>
      <c r="U1576" s="90" t="s">
        <v>31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1">
        <v>1571.0</v>
      </c>
      <c r="B1577" s="141" t="s">
        <v>2789</v>
      </c>
      <c r="C1577" s="82" t="str">
        <f>VLOOKUP($B$7:$B$5000,SUM!$L$6:$L$500,1,FALSE)</f>
        <v>#N/A</v>
      </c>
      <c r="D1577" s="171" t="s">
        <v>2776</v>
      </c>
      <c r="E1577" s="165" t="s">
        <v>58</v>
      </c>
      <c r="F1577" s="81" t="s">
        <v>2777</v>
      </c>
      <c r="G1577" s="125" t="s">
        <v>2778</v>
      </c>
      <c r="H1577" s="95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2">
        <v>46139.0</v>
      </c>
      <c r="O1577" s="103" t="s">
        <v>67</v>
      </c>
      <c r="P1577" s="103" t="s">
        <v>68</v>
      </c>
      <c r="Q1577" s="150">
        <v>46166.0</v>
      </c>
      <c r="R1577" s="103" t="s">
        <v>597</v>
      </c>
      <c r="S1577" s="150">
        <v>46167.0</v>
      </c>
      <c r="T1577" s="103"/>
      <c r="U1577" s="90" t="s">
        <v>31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1">
        <v>1572.0</v>
      </c>
      <c r="B1578" s="141" t="s">
        <v>2791</v>
      </c>
      <c r="C1578" s="82" t="str">
        <f>VLOOKUP($B$7:$B$5000,SUM!$L$6:$L$500,1,FALSE)</f>
        <v>#N/A</v>
      </c>
      <c r="D1578" s="171" t="s">
        <v>2776</v>
      </c>
      <c r="E1578" s="165" t="s">
        <v>58</v>
      </c>
      <c r="F1578" s="81" t="s">
        <v>2777</v>
      </c>
      <c r="G1578" s="125" t="s">
        <v>2778</v>
      </c>
      <c r="H1578" s="95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2">
        <v>46139.0</v>
      </c>
      <c r="O1578" s="103" t="s">
        <v>67</v>
      </c>
      <c r="P1578" s="103" t="s">
        <v>68</v>
      </c>
      <c r="Q1578" s="153">
        <v>46169.0</v>
      </c>
      <c r="R1578" s="154" t="s">
        <v>66</v>
      </c>
      <c r="S1578" s="155">
        <v>46188.0</v>
      </c>
      <c r="T1578" s="156"/>
      <c r="U1578" s="154" t="s">
        <v>31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1">
        <v>1573.0</v>
      </c>
      <c r="B1579" s="141" t="s">
        <v>2793</v>
      </c>
      <c r="C1579" s="82" t="str">
        <f>VLOOKUP($B$7:$B$5000,SUM!$L$6:$L$500,1,FALSE)</f>
        <v>#N/A</v>
      </c>
      <c r="D1579" s="171" t="s">
        <v>2776</v>
      </c>
      <c r="E1579" s="165" t="s">
        <v>58</v>
      </c>
      <c r="F1579" s="81" t="s">
        <v>2777</v>
      </c>
      <c r="G1579" s="125" t="s">
        <v>2778</v>
      </c>
      <c r="H1579" s="95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2">
        <v>46139.0</v>
      </c>
      <c r="O1579" s="103" t="s">
        <v>67</v>
      </c>
      <c r="P1579" s="103" t="s">
        <v>68</v>
      </c>
      <c r="Q1579" s="151">
        <v>46168.0</v>
      </c>
      <c r="R1579" s="107" t="s">
        <v>66</v>
      </c>
      <c r="S1579" s="152">
        <v>46171.0</v>
      </c>
      <c r="T1579" s="103"/>
      <c r="U1579" s="97" t="s">
        <v>31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1">
        <v>1574.0</v>
      </c>
      <c r="B1580" s="141" t="s">
        <v>2795</v>
      </c>
      <c r="C1580" s="82" t="str">
        <f>VLOOKUP($B$7:$B$5000,SUM!$L$6:$L$500,1,FALSE)</f>
        <v>#N/A</v>
      </c>
      <c r="D1580" s="171" t="s">
        <v>2776</v>
      </c>
      <c r="E1580" s="165" t="s">
        <v>58</v>
      </c>
      <c r="F1580" s="81" t="s">
        <v>2777</v>
      </c>
      <c r="G1580" s="125" t="s">
        <v>2778</v>
      </c>
      <c r="H1580" s="95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2">
        <v>46139.0</v>
      </c>
      <c r="O1580" s="103" t="s">
        <v>67</v>
      </c>
      <c r="P1580" s="103" t="s">
        <v>68</v>
      </c>
      <c r="Q1580" s="150">
        <v>46166.0</v>
      </c>
      <c r="R1580" s="103" t="s">
        <v>597</v>
      </c>
      <c r="S1580" s="150">
        <v>46167.0</v>
      </c>
      <c r="T1580" s="103"/>
      <c r="U1580" s="90" t="s">
        <v>31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1">
        <v>1575.0</v>
      </c>
      <c r="B1581" s="141" t="s">
        <v>2797</v>
      </c>
      <c r="C1581" s="82" t="str">
        <f>VLOOKUP($B$7:$B$5000,SUM!$L$6:$L$500,1,FALSE)</f>
        <v>#N/A</v>
      </c>
      <c r="D1581" s="171" t="s">
        <v>2776</v>
      </c>
      <c r="E1581" s="165" t="s">
        <v>58</v>
      </c>
      <c r="F1581" s="81" t="s">
        <v>2777</v>
      </c>
      <c r="G1581" s="125" t="s">
        <v>2778</v>
      </c>
      <c r="H1581" s="95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2">
        <v>46139.0</v>
      </c>
      <c r="O1581" s="103" t="s">
        <v>67</v>
      </c>
      <c r="P1581" s="103" t="s">
        <v>68</v>
      </c>
      <c r="Q1581" s="150">
        <v>46166.0</v>
      </c>
      <c r="R1581" s="103" t="s">
        <v>597</v>
      </c>
      <c r="S1581" s="150">
        <v>46167.0</v>
      </c>
      <c r="T1581" s="103"/>
      <c r="U1581" s="90" t="s">
        <v>31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1">
        <v>1576.0</v>
      </c>
      <c r="B1582" s="141" t="s">
        <v>2799</v>
      </c>
      <c r="C1582" s="82" t="str">
        <f>VLOOKUP($B$7:$B$5000,SUM!$L$6:$L$500,1,FALSE)</f>
        <v>#N/A</v>
      </c>
      <c r="D1582" s="171" t="s">
        <v>2776</v>
      </c>
      <c r="E1582" s="165" t="s">
        <v>58</v>
      </c>
      <c r="F1582" s="81" t="s">
        <v>2777</v>
      </c>
      <c r="G1582" s="125" t="s">
        <v>2778</v>
      </c>
      <c r="H1582" s="95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2">
        <v>46139.0</v>
      </c>
      <c r="O1582" s="103" t="s">
        <v>67</v>
      </c>
      <c r="P1582" s="103" t="s">
        <v>68</v>
      </c>
      <c r="Q1582" s="151">
        <v>46168.0</v>
      </c>
      <c r="R1582" s="107" t="s">
        <v>66</v>
      </c>
      <c r="S1582" s="152">
        <v>46171.0</v>
      </c>
      <c r="T1582" s="103"/>
      <c r="U1582" s="97" t="s">
        <v>31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1">
        <v>1577.0</v>
      </c>
      <c r="B1583" s="141" t="s">
        <v>2800</v>
      </c>
      <c r="C1583" s="82" t="str">
        <f>VLOOKUP($B$7:$B$5000,SUM!$L$6:$L$500,1,FALSE)</f>
        <v>#N/A</v>
      </c>
      <c r="D1583" s="171" t="s">
        <v>2776</v>
      </c>
      <c r="E1583" s="165" t="s">
        <v>58</v>
      </c>
      <c r="F1583" s="81" t="s">
        <v>2777</v>
      </c>
      <c r="G1583" s="125" t="s">
        <v>2778</v>
      </c>
      <c r="H1583" s="95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2">
        <v>46139.0</v>
      </c>
      <c r="O1583" s="103" t="s">
        <v>67</v>
      </c>
      <c r="P1583" s="103" t="s">
        <v>68</v>
      </c>
      <c r="Q1583" s="154" t="s">
        <v>791</v>
      </c>
      <c r="R1583" s="154" t="s">
        <v>66</v>
      </c>
      <c r="S1583" s="173">
        <v>46189.0</v>
      </c>
      <c r="T1583" s="156"/>
      <c r="U1583" s="154" t="s">
        <v>31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1">
        <v>1578.0</v>
      </c>
      <c r="B1584" s="141" t="s">
        <v>2801</v>
      </c>
      <c r="C1584" s="82" t="str">
        <f>VLOOKUP($B$7:$B$5000,SUM!$L$6:$L$500,1,FALSE)</f>
        <v>#N/A</v>
      </c>
      <c r="D1584" s="171" t="s">
        <v>2776</v>
      </c>
      <c r="E1584" s="165" t="s">
        <v>58</v>
      </c>
      <c r="F1584" s="81" t="s">
        <v>2777</v>
      </c>
      <c r="G1584" s="125" t="s">
        <v>2778</v>
      </c>
      <c r="H1584" s="95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2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1">
        <v>1579.0</v>
      </c>
      <c r="B1585" s="141" t="s">
        <v>2803</v>
      </c>
      <c r="C1585" s="82" t="str">
        <f>VLOOKUP($B$7:$B$5000,SUM!$L$6:$L$500,1,FALSE)</f>
        <v>#N/A</v>
      </c>
      <c r="D1585" s="171" t="s">
        <v>2776</v>
      </c>
      <c r="E1585" s="165" t="s">
        <v>58</v>
      </c>
      <c r="F1585" s="81" t="s">
        <v>2777</v>
      </c>
      <c r="G1585" s="125" t="s">
        <v>2778</v>
      </c>
      <c r="H1585" s="95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2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1">
        <v>1580.0</v>
      </c>
      <c r="B1586" s="141" t="s">
        <v>2804</v>
      </c>
      <c r="C1586" s="82" t="str">
        <f>VLOOKUP($B$7:$B$5000,SUM!$L$6:$L$500,1,FALSE)</f>
        <v>#N/A</v>
      </c>
      <c r="D1586" s="171" t="s">
        <v>2776</v>
      </c>
      <c r="E1586" s="165" t="s">
        <v>58</v>
      </c>
      <c r="F1586" s="81" t="s">
        <v>2777</v>
      </c>
      <c r="G1586" s="125" t="s">
        <v>2778</v>
      </c>
      <c r="H1586" s="95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2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1">
        <v>1581.0</v>
      </c>
      <c r="B1587" s="141" t="s">
        <v>2805</v>
      </c>
      <c r="C1587" s="82" t="str">
        <f>VLOOKUP($B$7:$B$5000,SUM!$L$6:$L$500,1,FALSE)</f>
        <v>#N/A</v>
      </c>
      <c r="D1587" s="171" t="s">
        <v>2776</v>
      </c>
      <c r="E1587" s="165" t="s">
        <v>58</v>
      </c>
      <c r="F1587" s="81" t="s">
        <v>2777</v>
      </c>
      <c r="G1587" s="125" t="s">
        <v>2778</v>
      </c>
      <c r="H1587" s="95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2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1">
        <v>1582.0</v>
      </c>
      <c r="B1588" s="141" t="s">
        <v>2806</v>
      </c>
      <c r="C1588" s="82" t="str">
        <f>VLOOKUP($B$7:$B$5000,SUM!$L$6:$L$500,1,FALSE)</f>
        <v>#N/A</v>
      </c>
      <c r="D1588" s="171" t="s">
        <v>2776</v>
      </c>
      <c r="E1588" s="165" t="s">
        <v>58</v>
      </c>
      <c r="F1588" s="81" t="s">
        <v>2777</v>
      </c>
      <c r="G1588" s="125" t="s">
        <v>2778</v>
      </c>
      <c r="H1588" s="95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2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1">
        <v>1583.0</v>
      </c>
      <c r="B1589" s="141" t="s">
        <v>2807</v>
      </c>
      <c r="C1589" s="82" t="str">
        <f>VLOOKUP($B$7:$B$5000,SUM!$L$6:$L$500,1,FALSE)</f>
        <v>#N/A</v>
      </c>
      <c r="D1589" s="171" t="s">
        <v>2776</v>
      </c>
      <c r="E1589" s="165" t="s">
        <v>58</v>
      </c>
      <c r="F1589" s="81" t="s">
        <v>2777</v>
      </c>
      <c r="G1589" s="125" t="s">
        <v>2778</v>
      </c>
      <c r="H1589" s="95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2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1">
        <v>1584.0</v>
      </c>
      <c r="B1590" s="141" t="s">
        <v>2808</v>
      </c>
      <c r="C1590" s="82" t="str">
        <f>VLOOKUP($B$7:$B$5000,SUM!$L$6:$L$500,1,FALSE)</f>
        <v>#N/A</v>
      </c>
      <c r="D1590" s="171" t="s">
        <v>2776</v>
      </c>
      <c r="E1590" s="165" t="s">
        <v>58</v>
      </c>
      <c r="F1590" s="81" t="s">
        <v>2777</v>
      </c>
      <c r="G1590" s="125" t="s">
        <v>2778</v>
      </c>
      <c r="H1590" s="95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2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1">
        <v>1585.0</v>
      </c>
      <c r="B1591" s="141" t="s">
        <v>2809</v>
      </c>
      <c r="C1591" s="82" t="str">
        <f>VLOOKUP($B$7:$B$5000,SUM!$L$6:$L$500,1,FALSE)</f>
        <v>#N/A</v>
      </c>
      <c r="D1591" s="171" t="s">
        <v>2776</v>
      </c>
      <c r="E1591" s="165" t="s">
        <v>58</v>
      </c>
      <c r="F1591" s="81" t="s">
        <v>2777</v>
      </c>
      <c r="G1591" s="125" t="s">
        <v>2778</v>
      </c>
      <c r="H1591" s="95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2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1">
        <v>1586.0</v>
      </c>
      <c r="B1592" s="141" t="s">
        <v>2810</v>
      </c>
      <c r="C1592" s="82" t="str">
        <f>VLOOKUP($B$7:$B$5000,SUM!$L$6:$L$500,1,FALSE)</f>
        <v>#N/A</v>
      </c>
      <c r="D1592" s="171" t="s">
        <v>2776</v>
      </c>
      <c r="E1592" s="165" t="s">
        <v>58</v>
      </c>
      <c r="F1592" s="81" t="s">
        <v>2777</v>
      </c>
      <c r="G1592" s="125" t="s">
        <v>2778</v>
      </c>
      <c r="H1592" s="95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2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1">
        <v>1587.0</v>
      </c>
      <c r="B1593" s="141" t="s">
        <v>2811</v>
      </c>
      <c r="C1593" s="82" t="str">
        <f>VLOOKUP($B$7:$B$5000,SUM!$L$6:$L$500,1,FALSE)</f>
        <v>#N/A</v>
      </c>
      <c r="D1593" s="171" t="s">
        <v>2776</v>
      </c>
      <c r="E1593" s="165" t="s">
        <v>58</v>
      </c>
      <c r="F1593" s="81" t="s">
        <v>2777</v>
      </c>
      <c r="G1593" s="125" t="s">
        <v>2778</v>
      </c>
      <c r="H1593" s="95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2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1">
        <v>1588.0</v>
      </c>
      <c r="B1594" s="141" t="s">
        <v>2812</v>
      </c>
      <c r="C1594" s="82" t="str">
        <f>VLOOKUP($B$7:$B$5000,SUM!$L$6:$L$500,1,FALSE)</f>
        <v>#N/A</v>
      </c>
      <c r="D1594" s="174" t="s">
        <v>2813</v>
      </c>
      <c r="E1594" s="165" t="s">
        <v>58</v>
      </c>
      <c r="F1594" s="81" t="s">
        <v>105</v>
      </c>
      <c r="G1594" s="125" t="s">
        <v>1362</v>
      </c>
      <c r="H1594" s="95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2">
        <v>46139.0</v>
      </c>
      <c r="O1594" s="103" t="s">
        <v>67</v>
      </c>
      <c r="P1594" s="103" t="s">
        <v>68</v>
      </c>
      <c r="Q1594" s="150">
        <v>46161.0</v>
      </c>
      <c r="R1594" s="103" t="s">
        <v>597</v>
      </c>
      <c r="S1594" s="104">
        <v>46166.0</v>
      </c>
      <c r="T1594" s="103"/>
      <c r="U1594" s="90" t="s">
        <v>31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1">
        <v>1589.0</v>
      </c>
      <c r="B1595" s="141" t="s">
        <v>2816</v>
      </c>
      <c r="C1595" s="82" t="str">
        <f>VLOOKUP($B$7:$B$5000,SUM!$L$6:$L$500,1,FALSE)</f>
        <v>#N/A</v>
      </c>
      <c r="D1595" s="175" t="s">
        <v>2813</v>
      </c>
      <c r="E1595" s="165" t="s">
        <v>58</v>
      </c>
      <c r="F1595" s="81" t="s">
        <v>105</v>
      </c>
      <c r="G1595" s="125" t="s">
        <v>1362</v>
      </c>
      <c r="H1595" s="95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2">
        <v>46139.0</v>
      </c>
      <c r="O1595" s="103" t="s">
        <v>67</v>
      </c>
      <c r="P1595" s="103" t="s">
        <v>68</v>
      </c>
      <c r="Q1595" s="150">
        <v>46161.0</v>
      </c>
      <c r="R1595" s="103" t="s">
        <v>597</v>
      </c>
      <c r="S1595" s="104">
        <v>46166.0</v>
      </c>
      <c r="T1595" s="103"/>
      <c r="U1595" s="90" t="s">
        <v>31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1">
        <v>1590.0</v>
      </c>
      <c r="B1596" s="141" t="s">
        <v>2818</v>
      </c>
      <c r="C1596" s="82" t="str">
        <f>VLOOKUP($B$7:$B$5000,SUM!$L$6:$L$500,1,FALSE)</f>
        <v>#N/A</v>
      </c>
      <c r="D1596" s="175" t="s">
        <v>2813</v>
      </c>
      <c r="E1596" s="165" t="s">
        <v>58</v>
      </c>
      <c r="F1596" s="81" t="s">
        <v>105</v>
      </c>
      <c r="G1596" s="125" t="s">
        <v>1362</v>
      </c>
      <c r="H1596" s="81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2">
        <v>46139.0</v>
      </c>
      <c r="O1596" s="103" t="s">
        <v>67</v>
      </c>
      <c r="P1596" s="103" t="s">
        <v>68</v>
      </c>
      <c r="Q1596" s="150">
        <v>46161.0</v>
      </c>
      <c r="R1596" s="103" t="s">
        <v>597</v>
      </c>
      <c r="S1596" s="104">
        <v>46166.0</v>
      </c>
      <c r="T1596" s="103"/>
      <c r="U1596" s="90" t="s">
        <v>31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1">
        <v>1591.0</v>
      </c>
      <c r="B1597" s="141" t="s">
        <v>2820</v>
      </c>
      <c r="C1597" s="82" t="str">
        <f>VLOOKUP($B$7:$B$5000,SUM!$L$6:$L$500,1,FALSE)</f>
        <v>#N/A</v>
      </c>
      <c r="D1597" s="175" t="s">
        <v>2813</v>
      </c>
      <c r="E1597" s="165" t="s">
        <v>58</v>
      </c>
      <c r="F1597" s="81" t="s">
        <v>105</v>
      </c>
      <c r="G1597" s="125" t="s">
        <v>1362</v>
      </c>
      <c r="H1597" s="81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2">
        <v>46139.0</v>
      </c>
      <c r="O1597" s="103" t="s">
        <v>67</v>
      </c>
      <c r="P1597" s="103" t="s">
        <v>68</v>
      </c>
      <c r="Q1597" s="150">
        <v>46161.0</v>
      </c>
      <c r="R1597" s="103" t="s">
        <v>597</v>
      </c>
      <c r="S1597" s="104">
        <v>46166.0</v>
      </c>
      <c r="T1597" s="103"/>
      <c r="U1597" s="90" t="s">
        <v>31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1">
        <v>1592.0</v>
      </c>
      <c r="B1598" s="141" t="s">
        <v>2822</v>
      </c>
      <c r="C1598" s="82" t="str">
        <f>VLOOKUP($B$7:$B$5000,SUM!$L$6:$L$500,1,FALSE)</f>
        <v>#N/A</v>
      </c>
      <c r="D1598" s="175" t="s">
        <v>2813</v>
      </c>
      <c r="E1598" s="165" t="s">
        <v>58</v>
      </c>
      <c r="F1598" s="81" t="s">
        <v>105</v>
      </c>
      <c r="G1598" s="125" t="s">
        <v>1362</v>
      </c>
      <c r="H1598" s="81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2">
        <v>46139.0</v>
      </c>
      <c r="O1598" s="103" t="s">
        <v>67</v>
      </c>
      <c r="P1598" s="103" t="s">
        <v>68</v>
      </c>
      <c r="Q1598" s="150">
        <v>46161.0</v>
      </c>
      <c r="R1598" s="103" t="s">
        <v>597</v>
      </c>
      <c r="S1598" s="104">
        <v>46166.0</v>
      </c>
      <c r="T1598" s="103"/>
      <c r="U1598" s="90" t="s">
        <v>31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1">
        <v>1593.0</v>
      </c>
      <c r="B1599" s="141" t="s">
        <v>2824</v>
      </c>
      <c r="C1599" s="82" t="str">
        <f>VLOOKUP($B$7:$B$5000,SUM!$L$6:$L$500,1,FALSE)</f>
        <v>#N/A</v>
      </c>
      <c r="D1599" s="175" t="s">
        <v>2813</v>
      </c>
      <c r="E1599" s="165" t="s">
        <v>58</v>
      </c>
      <c r="F1599" s="81" t="s">
        <v>105</v>
      </c>
      <c r="G1599" s="125" t="s">
        <v>1362</v>
      </c>
      <c r="H1599" s="81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2">
        <v>46139.0</v>
      </c>
      <c r="O1599" s="103" t="s">
        <v>67</v>
      </c>
      <c r="P1599" s="103" t="s">
        <v>68</v>
      </c>
      <c r="Q1599" s="150">
        <v>46161.0</v>
      </c>
      <c r="R1599" s="103" t="s">
        <v>597</v>
      </c>
      <c r="S1599" s="104">
        <v>46166.0</v>
      </c>
      <c r="T1599" s="103"/>
      <c r="U1599" s="90" t="s">
        <v>31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1">
        <v>1594.0</v>
      </c>
      <c r="B1600" s="141" t="s">
        <v>2826</v>
      </c>
      <c r="C1600" s="82" t="str">
        <f>VLOOKUP($B$7:$B$5000,SUM!$L$6:$L$500,1,FALSE)</f>
        <v>#N/A</v>
      </c>
      <c r="D1600" s="175" t="s">
        <v>2813</v>
      </c>
      <c r="E1600" s="165" t="s">
        <v>58</v>
      </c>
      <c r="F1600" s="81" t="s">
        <v>105</v>
      </c>
      <c r="G1600" s="125" t="s">
        <v>1362</v>
      </c>
      <c r="H1600" s="81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2">
        <v>46139.0</v>
      </c>
      <c r="O1600" s="103" t="s">
        <v>67</v>
      </c>
      <c r="P1600" s="103" t="s">
        <v>68</v>
      </c>
      <c r="Q1600" s="150">
        <v>46161.0</v>
      </c>
      <c r="R1600" s="103" t="s">
        <v>597</v>
      </c>
      <c r="S1600" s="104">
        <v>46166.0</v>
      </c>
      <c r="T1600" s="103"/>
      <c r="U1600" s="90" t="s">
        <v>31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1">
        <v>1595.0</v>
      </c>
      <c r="B1601" s="141" t="s">
        <v>2828</v>
      </c>
      <c r="C1601" s="82" t="str">
        <f>VLOOKUP($B$7:$B$5000,SUM!$L$6:$L$500,1,FALSE)</f>
        <v>#N/A</v>
      </c>
      <c r="D1601" s="175" t="s">
        <v>2813</v>
      </c>
      <c r="E1601" s="165" t="s">
        <v>58</v>
      </c>
      <c r="F1601" s="81" t="s">
        <v>105</v>
      </c>
      <c r="G1601" s="125" t="s">
        <v>1362</v>
      </c>
      <c r="H1601" s="81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2">
        <v>46139.0</v>
      </c>
      <c r="O1601" s="103" t="s">
        <v>67</v>
      </c>
      <c r="P1601" s="103" t="s">
        <v>68</v>
      </c>
      <c r="Q1601" s="150">
        <v>46164.0</v>
      </c>
      <c r="R1601" s="103" t="s">
        <v>597</v>
      </c>
      <c r="S1601" s="150">
        <v>46166.0</v>
      </c>
      <c r="T1601" s="103"/>
      <c r="U1601" s="90" t="s">
        <v>31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1">
        <v>1596.0</v>
      </c>
      <c r="B1602" s="141" t="s">
        <v>2830</v>
      </c>
      <c r="C1602" s="82" t="str">
        <f>VLOOKUP($B$7:$B$5000,SUM!$L$6:$L$500,1,FALSE)</f>
        <v>#N/A</v>
      </c>
      <c r="D1602" s="175" t="s">
        <v>2813</v>
      </c>
      <c r="E1602" s="165" t="s">
        <v>58</v>
      </c>
      <c r="F1602" s="81" t="s">
        <v>105</v>
      </c>
      <c r="G1602" s="125" t="s">
        <v>1362</v>
      </c>
      <c r="H1602" s="81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2">
        <v>46139.0</v>
      </c>
      <c r="O1602" s="103" t="s">
        <v>67</v>
      </c>
      <c r="P1602" s="103" t="s">
        <v>68</v>
      </c>
      <c r="Q1602" s="150">
        <v>46161.0</v>
      </c>
      <c r="R1602" s="103" t="s">
        <v>597</v>
      </c>
      <c r="S1602" s="104">
        <v>46166.0</v>
      </c>
      <c r="T1602" s="103"/>
      <c r="U1602" s="90" t="s">
        <v>31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1">
        <v>1597.0</v>
      </c>
      <c r="B1603" s="141" t="s">
        <v>2832</v>
      </c>
      <c r="C1603" s="82" t="str">
        <f>VLOOKUP($B$7:$B$5000,SUM!$L$6:$L$500,1,FALSE)</f>
        <v>#N/A</v>
      </c>
      <c r="D1603" s="175" t="s">
        <v>2813</v>
      </c>
      <c r="E1603" s="165" t="s">
        <v>58</v>
      </c>
      <c r="F1603" s="81" t="s">
        <v>105</v>
      </c>
      <c r="G1603" s="125" t="s">
        <v>1362</v>
      </c>
      <c r="H1603" s="81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2">
        <v>46139.0</v>
      </c>
      <c r="O1603" s="103" t="s">
        <v>67</v>
      </c>
      <c r="P1603" s="103" t="s">
        <v>68</v>
      </c>
      <c r="Q1603" s="150">
        <v>46161.0</v>
      </c>
      <c r="R1603" s="103" t="s">
        <v>597</v>
      </c>
      <c r="S1603" s="104">
        <v>46166.0</v>
      </c>
      <c r="T1603" s="103"/>
      <c r="U1603" s="90" t="s">
        <v>31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1">
        <v>1598.0</v>
      </c>
      <c r="B1604" s="141" t="s">
        <v>2834</v>
      </c>
      <c r="C1604" s="82" t="str">
        <f>VLOOKUP($B$7:$B$5000,SUM!$L$6:$L$500,1,FALSE)</f>
        <v>#N/A</v>
      </c>
      <c r="D1604" s="175" t="s">
        <v>2813</v>
      </c>
      <c r="E1604" s="165" t="s">
        <v>58</v>
      </c>
      <c r="F1604" s="81" t="s">
        <v>105</v>
      </c>
      <c r="G1604" s="125" t="s">
        <v>1362</v>
      </c>
      <c r="H1604" s="81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2">
        <v>46139.0</v>
      </c>
      <c r="O1604" s="103" t="s">
        <v>67</v>
      </c>
      <c r="P1604" s="103" t="s">
        <v>68</v>
      </c>
      <c r="Q1604" s="150">
        <v>46161.0</v>
      </c>
      <c r="R1604" s="103" t="s">
        <v>597</v>
      </c>
      <c r="S1604" s="104">
        <v>46166.0</v>
      </c>
      <c r="T1604" s="103"/>
      <c r="U1604" s="90" t="s">
        <v>31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1">
        <v>1599.0</v>
      </c>
      <c r="B1605" s="141" t="s">
        <v>2836</v>
      </c>
      <c r="C1605" s="82" t="str">
        <f>VLOOKUP($B$7:$B$5000,SUM!$L$6:$L$500,1,FALSE)</f>
        <v>#N/A</v>
      </c>
      <c r="D1605" s="175" t="s">
        <v>2813</v>
      </c>
      <c r="E1605" s="165" t="s">
        <v>58</v>
      </c>
      <c r="F1605" s="81" t="s">
        <v>105</v>
      </c>
      <c r="G1605" s="125" t="s">
        <v>1362</v>
      </c>
      <c r="H1605" s="81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2">
        <v>46139.0</v>
      </c>
      <c r="O1605" s="103" t="s">
        <v>67</v>
      </c>
      <c r="P1605" s="103" t="s">
        <v>68</v>
      </c>
      <c r="Q1605" s="150">
        <v>46161.0</v>
      </c>
      <c r="R1605" s="103" t="s">
        <v>597</v>
      </c>
      <c r="S1605" s="104">
        <v>46166.0</v>
      </c>
      <c r="T1605" s="103"/>
      <c r="U1605" s="90" t="s">
        <v>31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1">
        <v>1600.0</v>
      </c>
      <c r="B1606" s="141" t="s">
        <v>2838</v>
      </c>
      <c r="C1606" s="82" t="str">
        <f>VLOOKUP($B$7:$B$5000,SUM!$L$6:$L$500,1,FALSE)</f>
        <v>#N/A</v>
      </c>
      <c r="D1606" s="175" t="s">
        <v>2813</v>
      </c>
      <c r="E1606" s="165" t="s">
        <v>58</v>
      </c>
      <c r="F1606" s="81" t="s">
        <v>105</v>
      </c>
      <c r="G1606" s="125" t="s">
        <v>1362</v>
      </c>
      <c r="H1606" s="81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2">
        <v>46139.0</v>
      </c>
      <c r="O1606" s="103" t="s">
        <v>67</v>
      </c>
      <c r="P1606" s="103" t="s">
        <v>68</v>
      </c>
      <c r="Q1606" s="150">
        <v>46161.0</v>
      </c>
      <c r="R1606" s="103" t="s">
        <v>597</v>
      </c>
      <c r="S1606" s="104">
        <v>46166.0</v>
      </c>
      <c r="T1606" s="103"/>
      <c r="U1606" s="90" t="s">
        <v>31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1">
        <v>1601.0</v>
      </c>
      <c r="B1607" s="141" t="s">
        <v>2840</v>
      </c>
      <c r="C1607" s="82" t="str">
        <f>VLOOKUP($B$7:$B$5000,SUM!$L$6:$L$500,1,FALSE)</f>
        <v>#N/A</v>
      </c>
      <c r="D1607" s="175" t="s">
        <v>2813</v>
      </c>
      <c r="E1607" s="165" t="s">
        <v>58</v>
      </c>
      <c r="F1607" s="81" t="s">
        <v>105</v>
      </c>
      <c r="G1607" s="125" t="s">
        <v>1362</v>
      </c>
      <c r="H1607" s="81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2">
        <v>46139.0</v>
      </c>
      <c r="O1607" s="103" t="s">
        <v>67</v>
      </c>
      <c r="P1607" s="103" t="s">
        <v>68</v>
      </c>
      <c r="Q1607" s="150">
        <v>46161.0</v>
      </c>
      <c r="R1607" s="103" t="s">
        <v>597</v>
      </c>
      <c r="S1607" s="104">
        <v>46166.0</v>
      </c>
      <c r="T1607" s="103"/>
      <c r="U1607" s="90" t="s">
        <v>31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1">
        <v>1602.0</v>
      </c>
      <c r="B1608" s="141" t="s">
        <v>2842</v>
      </c>
      <c r="C1608" s="82" t="str">
        <f>VLOOKUP($B$7:$B$5000,SUM!$L$6:$L$500,1,FALSE)</f>
        <v>#N/A</v>
      </c>
      <c r="D1608" s="175" t="s">
        <v>2813</v>
      </c>
      <c r="E1608" s="165" t="s">
        <v>58</v>
      </c>
      <c r="F1608" s="81" t="s">
        <v>105</v>
      </c>
      <c r="G1608" s="125" t="s">
        <v>1362</v>
      </c>
      <c r="H1608" s="81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2">
        <v>46139.0</v>
      </c>
      <c r="O1608" s="103" t="s">
        <v>67</v>
      </c>
      <c r="P1608" s="103" t="s">
        <v>68</v>
      </c>
      <c r="Q1608" s="150">
        <v>46161.0</v>
      </c>
      <c r="R1608" s="103" t="s">
        <v>597</v>
      </c>
      <c r="S1608" s="104">
        <v>46166.0</v>
      </c>
      <c r="T1608" s="103"/>
      <c r="U1608" s="90" t="s">
        <v>31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1">
        <v>1603.0</v>
      </c>
      <c r="B1609" s="141" t="s">
        <v>2844</v>
      </c>
      <c r="C1609" s="82" t="str">
        <f>VLOOKUP($B$7:$B$5000,SUM!$L$6:$L$500,1,FALSE)</f>
        <v>#N/A</v>
      </c>
      <c r="D1609" s="175" t="s">
        <v>2813</v>
      </c>
      <c r="E1609" s="165" t="s">
        <v>58</v>
      </c>
      <c r="F1609" s="81" t="s">
        <v>105</v>
      </c>
      <c r="G1609" s="125" t="s">
        <v>1362</v>
      </c>
      <c r="H1609" s="81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2">
        <v>46139.0</v>
      </c>
      <c r="O1609" s="103" t="s">
        <v>67</v>
      </c>
      <c r="P1609" s="103" t="s">
        <v>68</v>
      </c>
      <c r="Q1609" s="150">
        <v>46161.0</v>
      </c>
      <c r="R1609" s="103" t="s">
        <v>597</v>
      </c>
      <c r="S1609" s="104">
        <v>46166.0</v>
      </c>
      <c r="T1609" s="103"/>
      <c r="U1609" s="90" t="s">
        <v>31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1">
        <v>1604.0</v>
      </c>
      <c r="B1610" s="141" t="s">
        <v>2846</v>
      </c>
      <c r="C1610" s="82" t="str">
        <f>VLOOKUP($B$7:$B$5000,SUM!$L$6:$L$500,1,FALSE)</f>
        <v>#N/A</v>
      </c>
      <c r="D1610" s="175" t="s">
        <v>2813</v>
      </c>
      <c r="E1610" s="165" t="s">
        <v>58</v>
      </c>
      <c r="F1610" s="81" t="s">
        <v>105</v>
      </c>
      <c r="G1610" s="125" t="s">
        <v>1362</v>
      </c>
      <c r="H1610" s="81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2">
        <v>46139.0</v>
      </c>
      <c r="O1610" s="103" t="s">
        <v>67</v>
      </c>
      <c r="P1610" s="103" t="s">
        <v>68</v>
      </c>
      <c r="Q1610" s="150">
        <v>46161.0</v>
      </c>
      <c r="R1610" s="103" t="s">
        <v>597</v>
      </c>
      <c r="S1610" s="104">
        <v>46166.0</v>
      </c>
      <c r="T1610" s="103"/>
      <c r="U1610" s="90" t="s">
        <v>31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1">
        <v>1605.0</v>
      </c>
      <c r="B1611" s="141" t="s">
        <v>2848</v>
      </c>
      <c r="C1611" s="82" t="str">
        <f>VLOOKUP($B$7:$B$5000,SUM!$L$6:$L$500,1,FALSE)</f>
        <v>#N/A</v>
      </c>
      <c r="D1611" s="175" t="s">
        <v>2813</v>
      </c>
      <c r="E1611" s="165" t="s">
        <v>58</v>
      </c>
      <c r="F1611" s="81" t="s">
        <v>105</v>
      </c>
      <c r="G1611" s="125" t="s">
        <v>1362</v>
      </c>
      <c r="H1611" s="81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2">
        <v>46139.0</v>
      </c>
      <c r="O1611" s="103" t="s">
        <v>67</v>
      </c>
      <c r="P1611" s="103" t="s">
        <v>68</v>
      </c>
      <c r="Q1611" s="150">
        <v>46161.0</v>
      </c>
      <c r="R1611" s="103" t="s">
        <v>597</v>
      </c>
      <c r="S1611" s="104">
        <v>46166.0</v>
      </c>
      <c r="T1611" s="103"/>
      <c r="U1611" s="90" t="s">
        <v>31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1">
        <v>1606.0</v>
      </c>
      <c r="B1612" s="141" t="s">
        <v>2850</v>
      </c>
      <c r="C1612" s="82" t="str">
        <f>VLOOKUP($B$7:$B$5000,SUM!$L$6:$L$500,1,FALSE)</f>
        <v>#N/A</v>
      </c>
      <c r="D1612" s="175" t="s">
        <v>2813</v>
      </c>
      <c r="E1612" s="165" t="s">
        <v>58</v>
      </c>
      <c r="F1612" s="81" t="s">
        <v>105</v>
      </c>
      <c r="G1612" s="125" t="s">
        <v>1362</v>
      </c>
      <c r="H1612" s="81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2">
        <v>46139.0</v>
      </c>
      <c r="O1612" s="103" t="s">
        <v>67</v>
      </c>
      <c r="P1612" s="103" t="s">
        <v>68</v>
      </c>
      <c r="Q1612" s="150">
        <v>46161.0</v>
      </c>
      <c r="R1612" s="103" t="s">
        <v>597</v>
      </c>
      <c r="S1612" s="104">
        <v>46166.0</v>
      </c>
      <c r="T1612" s="103"/>
      <c r="U1612" s="90" t="s">
        <v>31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1">
        <v>1607.0</v>
      </c>
      <c r="B1613" s="141" t="s">
        <v>2852</v>
      </c>
      <c r="C1613" s="82" t="str">
        <f>VLOOKUP($B$7:$B$5000,SUM!$L$6:$L$500,1,FALSE)</f>
        <v>#N/A</v>
      </c>
      <c r="D1613" s="175" t="s">
        <v>2813</v>
      </c>
      <c r="E1613" s="165" t="s">
        <v>58</v>
      </c>
      <c r="F1613" s="81" t="s">
        <v>105</v>
      </c>
      <c r="G1613" s="125" t="s">
        <v>1362</v>
      </c>
      <c r="H1613" s="81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2">
        <v>46139.0</v>
      </c>
      <c r="O1613" s="103" t="s">
        <v>67</v>
      </c>
      <c r="P1613" s="103" t="s">
        <v>68</v>
      </c>
      <c r="Q1613" s="150">
        <v>46161.0</v>
      </c>
      <c r="R1613" s="103" t="s">
        <v>597</v>
      </c>
      <c r="S1613" s="104">
        <v>46166.0</v>
      </c>
      <c r="T1613" s="103"/>
      <c r="U1613" s="90" t="s">
        <v>31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1">
        <v>1608.0</v>
      </c>
      <c r="B1614" s="141" t="s">
        <v>2854</v>
      </c>
      <c r="C1614" s="82" t="str">
        <f>VLOOKUP($B$7:$B$5000,SUM!$L$6:$L$500,1,FALSE)</f>
        <v>#N/A</v>
      </c>
      <c r="D1614" s="175" t="s">
        <v>2813</v>
      </c>
      <c r="E1614" s="165" t="s">
        <v>58</v>
      </c>
      <c r="F1614" s="81" t="s">
        <v>105</v>
      </c>
      <c r="G1614" s="125" t="s">
        <v>1362</v>
      </c>
      <c r="H1614" s="81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2">
        <v>46139.0</v>
      </c>
      <c r="O1614" s="103" t="s">
        <v>67</v>
      </c>
      <c r="P1614" s="103" t="s">
        <v>68</v>
      </c>
      <c r="Q1614" s="150">
        <v>46161.0</v>
      </c>
      <c r="R1614" s="103" t="s">
        <v>597</v>
      </c>
      <c r="S1614" s="104">
        <v>46166.0</v>
      </c>
      <c r="T1614" s="103"/>
      <c r="U1614" s="90" t="s">
        <v>31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1">
        <v>1609.0</v>
      </c>
      <c r="B1615" s="141" t="s">
        <v>2856</v>
      </c>
      <c r="C1615" s="82" t="str">
        <f>VLOOKUP($B$7:$B$5000,SUM!$L$6:$L$500,1,FALSE)</f>
        <v>#N/A</v>
      </c>
      <c r="D1615" s="175" t="s">
        <v>2813</v>
      </c>
      <c r="E1615" s="165" t="s">
        <v>58</v>
      </c>
      <c r="F1615" s="81" t="s">
        <v>105</v>
      </c>
      <c r="G1615" s="125" t="s">
        <v>1362</v>
      </c>
      <c r="H1615" s="81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2">
        <v>46139.0</v>
      </c>
      <c r="O1615" s="103" t="s">
        <v>67</v>
      </c>
      <c r="P1615" s="103" t="s">
        <v>68</v>
      </c>
      <c r="Q1615" s="150">
        <v>46161.0</v>
      </c>
      <c r="R1615" s="103" t="s">
        <v>597</v>
      </c>
      <c r="S1615" s="104">
        <v>46166.0</v>
      </c>
      <c r="T1615" s="103"/>
      <c r="U1615" s="90" t="s">
        <v>31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1">
        <v>1610.0</v>
      </c>
      <c r="B1616" s="141" t="s">
        <v>2858</v>
      </c>
      <c r="C1616" s="82" t="str">
        <f>VLOOKUP($B$7:$B$5000,SUM!$L$6:$L$500,1,FALSE)</f>
        <v>#N/A</v>
      </c>
      <c r="D1616" s="175" t="s">
        <v>2813</v>
      </c>
      <c r="E1616" s="165" t="s">
        <v>58</v>
      </c>
      <c r="F1616" s="81" t="s">
        <v>105</v>
      </c>
      <c r="G1616" s="125" t="s">
        <v>1362</v>
      </c>
      <c r="H1616" s="81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2">
        <v>46139.0</v>
      </c>
      <c r="O1616" s="103" t="s">
        <v>67</v>
      </c>
      <c r="P1616" s="103" t="s">
        <v>68</v>
      </c>
      <c r="Q1616" s="150">
        <v>46161.0</v>
      </c>
      <c r="R1616" s="103" t="s">
        <v>597</v>
      </c>
      <c r="S1616" s="104">
        <v>46166.0</v>
      </c>
      <c r="T1616" s="103"/>
      <c r="U1616" s="90" t="s">
        <v>31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1">
        <v>1611.0</v>
      </c>
      <c r="B1617" s="141" t="s">
        <v>2860</v>
      </c>
      <c r="C1617" s="82" t="str">
        <f>VLOOKUP($B$7:$B$5000,SUM!$L$6:$L$500,1,FALSE)</f>
        <v>#N/A</v>
      </c>
      <c r="D1617" s="175" t="s">
        <v>2813</v>
      </c>
      <c r="E1617" s="165" t="s">
        <v>58</v>
      </c>
      <c r="F1617" s="81" t="s">
        <v>105</v>
      </c>
      <c r="G1617" s="125" t="s">
        <v>1362</v>
      </c>
      <c r="H1617" s="81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2">
        <v>46139.0</v>
      </c>
      <c r="O1617" s="103" t="s">
        <v>67</v>
      </c>
      <c r="P1617" s="103" t="s">
        <v>68</v>
      </c>
      <c r="Q1617" s="150">
        <v>46161.0</v>
      </c>
      <c r="R1617" s="103" t="s">
        <v>597</v>
      </c>
      <c r="S1617" s="104">
        <v>46166.0</v>
      </c>
      <c r="T1617" s="103"/>
      <c r="U1617" s="90" t="s">
        <v>31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1">
        <v>1612.0</v>
      </c>
      <c r="B1618" s="141" t="s">
        <v>2862</v>
      </c>
      <c r="C1618" s="82" t="str">
        <f>VLOOKUP($B$7:$B$5000,SUM!$L$6:$L$500,1,FALSE)</f>
        <v>#N/A</v>
      </c>
      <c r="D1618" s="175" t="s">
        <v>2813</v>
      </c>
      <c r="E1618" s="165" t="s">
        <v>58</v>
      </c>
      <c r="F1618" s="81" t="s">
        <v>105</v>
      </c>
      <c r="G1618" s="125" t="s">
        <v>1362</v>
      </c>
      <c r="H1618" s="81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2">
        <v>46139.0</v>
      </c>
      <c r="O1618" s="103" t="s">
        <v>67</v>
      </c>
      <c r="P1618" s="103" t="s">
        <v>68</v>
      </c>
      <c r="Q1618" s="150">
        <v>46161.0</v>
      </c>
      <c r="R1618" s="103" t="s">
        <v>597</v>
      </c>
      <c r="S1618" s="104">
        <v>46166.0</v>
      </c>
      <c r="T1618" s="103"/>
      <c r="U1618" s="90" t="s">
        <v>31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1">
        <v>1613.0</v>
      </c>
      <c r="B1619" s="141" t="s">
        <v>2864</v>
      </c>
      <c r="C1619" s="82" t="str">
        <f>VLOOKUP($B$7:$B$5000,SUM!$L$6:$L$500,1,FALSE)</f>
        <v>#N/A</v>
      </c>
      <c r="D1619" s="175" t="s">
        <v>2813</v>
      </c>
      <c r="E1619" s="165" t="s">
        <v>58</v>
      </c>
      <c r="F1619" s="81" t="s">
        <v>105</v>
      </c>
      <c r="G1619" s="125" t="s">
        <v>1362</v>
      </c>
      <c r="H1619" s="81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2">
        <v>46139.0</v>
      </c>
      <c r="O1619" s="103" t="s">
        <v>67</v>
      </c>
      <c r="P1619" s="103" t="s">
        <v>68</v>
      </c>
      <c r="Q1619" s="150">
        <v>46161.0</v>
      </c>
      <c r="R1619" s="103" t="s">
        <v>597</v>
      </c>
      <c r="S1619" s="104">
        <v>46166.0</v>
      </c>
      <c r="T1619" s="103"/>
      <c r="U1619" s="90" t="s">
        <v>31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1">
        <v>1614.0</v>
      </c>
      <c r="B1620" s="141" t="s">
        <v>2866</v>
      </c>
      <c r="C1620" s="82" t="str">
        <f>VLOOKUP($B$7:$B$5000,SUM!$L$6:$L$500,1,FALSE)</f>
        <v>#N/A</v>
      </c>
      <c r="D1620" s="175" t="s">
        <v>2813</v>
      </c>
      <c r="E1620" s="165" t="s">
        <v>58</v>
      </c>
      <c r="F1620" s="81" t="s">
        <v>105</v>
      </c>
      <c r="G1620" s="125" t="s">
        <v>1362</v>
      </c>
      <c r="H1620" s="81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2">
        <v>46139.0</v>
      </c>
      <c r="O1620" s="103" t="s">
        <v>67</v>
      </c>
      <c r="P1620" s="103" t="s">
        <v>68</v>
      </c>
      <c r="Q1620" s="150">
        <v>46161.0</v>
      </c>
      <c r="R1620" s="103" t="s">
        <v>597</v>
      </c>
      <c r="S1620" s="104">
        <v>46166.0</v>
      </c>
      <c r="T1620" s="103"/>
      <c r="U1620" s="90" t="s">
        <v>31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1">
        <v>1615.0</v>
      </c>
      <c r="B1621" s="141" t="s">
        <v>2868</v>
      </c>
      <c r="C1621" s="82" t="str">
        <f>VLOOKUP($B$7:$B$5000,SUM!$L$6:$L$500,1,FALSE)</f>
        <v>#N/A</v>
      </c>
      <c r="D1621" s="175" t="s">
        <v>2813</v>
      </c>
      <c r="E1621" s="165" t="s">
        <v>58</v>
      </c>
      <c r="F1621" s="81" t="s">
        <v>105</v>
      </c>
      <c r="G1621" s="125" t="s">
        <v>1362</v>
      </c>
      <c r="H1621" s="81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2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31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1">
        <v>1616.0</v>
      </c>
      <c r="B1622" s="141" t="s">
        <v>2871</v>
      </c>
      <c r="C1622" s="82" t="str">
        <f>VLOOKUP($B$7:$B$5000,SUM!$L$6:$L$500,1,FALSE)</f>
        <v>#N/A</v>
      </c>
      <c r="D1622" s="175" t="s">
        <v>2813</v>
      </c>
      <c r="E1622" s="165" t="s">
        <v>58</v>
      </c>
      <c r="F1622" s="81" t="s">
        <v>105</v>
      </c>
      <c r="G1622" s="125" t="s">
        <v>1362</v>
      </c>
      <c r="H1622" s="81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2">
        <v>46139.0</v>
      </c>
      <c r="O1622" s="103" t="s">
        <v>67</v>
      </c>
      <c r="P1622" s="103" t="s">
        <v>68</v>
      </c>
      <c r="Q1622" s="150">
        <v>46164.0</v>
      </c>
      <c r="R1622" s="103" t="s">
        <v>597</v>
      </c>
      <c r="S1622" s="150">
        <v>46166.0</v>
      </c>
      <c r="T1622" s="103"/>
      <c r="U1622" s="90" t="s">
        <v>31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1">
        <v>1617.0</v>
      </c>
      <c r="B1623" s="141" t="s">
        <v>2873</v>
      </c>
      <c r="C1623" s="82" t="str">
        <f>VLOOKUP($B$7:$B$5000,SUM!$L$6:$L$500,1,FALSE)</f>
        <v>#N/A</v>
      </c>
      <c r="D1623" s="175" t="s">
        <v>2813</v>
      </c>
      <c r="E1623" s="165" t="s">
        <v>58</v>
      </c>
      <c r="F1623" s="81" t="s">
        <v>105</v>
      </c>
      <c r="G1623" s="125" t="s">
        <v>2778</v>
      </c>
      <c r="H1623" s="81" t="s">
        <v>2874</v>
      </c>
      <c r="I1623" s="149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2">
        <v>46139.0</v>
      </c>
      <c r="O1623" s="103" t="s">
        <v>67</v>
      </c>
      <c r="P1623" s="103" t="s">
        <v>68</v>
      </c>
      <c r="Q1623" s="150">
        <v>46164.0</v>
      </c>
      <c r="R1623" s="103" t="s">
        <v>597</v>
      </c>
      <c r="S1623" s="150">
        <v>46166.0</v>
      </c>
      <c r="T1623" s="103"/>
      <c r="U1623" s="90" t="s">
        <v>31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1">
        <v>1618.0</v>
      </c>
      <c r="B1624" s="141" t="s">
        <v>2876</v>
      </c>
      <c r="C1624" s="82" t="str">
        <f>VLOOKUP($B$7:$B$5000,SUM!$L$6:$L$500,1,FALSE)</f>
        <v>#N/A</v>
      </c>
      <c r="D1624" s="175" t="s">
        <v>2813</v>
      </c>
      <c r="E1624" s="165" t="s">
        <v>58</v>
      </c>
      <c r="F1624" s="81" t="s">
        <v>105</v>
      </c>
      <c r="G1624" s="125" t="s">
        <v>2778</v>
      </c>
      <c r="H1624" s="81" t="s">
        <v>2877</v>
      </c>
      <c r="I1624" s="149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2">
        <v>46139.0</v>
      </c>
      <c r="O1624" s="103" t="s">
        <v>67</v>
      </c>
      <c r="P1624" s="103" t="s">
        <v>68</v>
      </c>
      <c r="Q1624" s="150">
        <v>46164.0</v>
      </c>
      <c r="R1624" s="103" t="s">
        <v>597</v>
      </c>
      <c r="S1624" s="150">
        <v>46166.0</v>
      </c>
      <c r="T1624" s="103"/>
      <c r="U1624" s="90" t="s">
        <v>31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1">
        <v>1619.0</v>
      </c>
      <c r="B1625" s="141" t="s">
        <v>2878</v>
      </c>
      <c r="C1625" s="82" t="str">
        <f>VLOOKUP($B$7:$B$5000,SUM!$L$6:$L$500,1,FALSE)</f>
        <v>#N/A</v>
      </c>
      <c r="D1625" s="175" t="s">
        <v>2813</v>
      </c>
      <c r="E1625" s="165" t="s">
        <v>58</v>
      </c>
      <c r="F1625" s="81" t="s">
        <v>105</v>
      </c>
      <c r="G1625" s="125" t="s">
        <v>2778</v>
      </c>
      <c r="H1625" s="81" t="s">
        <v>2879</v>
      </c>
      <c r="I1625" s="149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2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31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1">
        <v>1620.0</v>
      </c>
      <c r="B1626" s="141" t="s">
        <v>2881</v>
      </c>
      <c r="C1626" s="82" t="str">
        <f>VLOOKUP($B$7:$B$5000,SUM!$L$6:$L$500,1,FALSE)</f>
        <v>#N/A</v>
      </c>
      <c r="D1626" s="175" t="s">
        <v>2813</v>
      </c>
      <c r="E1626" s="165" t="s">
        <v>58</v>
      </c>
      <c r="F1626" s="81" t="s">
        <v>105</v>
      </c>
      <c r="G1626" s="125" t="s">
        <v>1362</v>
      </c>
      <c r="H1626" s="81" t="s">
        <v>2814</v>
      </c>
      <c r="I1626" s="149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2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1">
        <v>1621.0</v>
      </c>
      <c r="B1627" s="141" t="s">
        <v>2883</v>
      </c>
      <c r="C1627" s="82" t="str">
        <f>VLOOKUP($B$7:$B$5000,SUM!$L$6:$L$500,1,FALSE)</f>
        <v>#N/A</v>
      </c>
      <c r="D1627" s="175" t="s">
        <v>2813</v>
      </c>
      <c r="E1627" s="165" t="s">
        <v>58</v>
      </c>
      <c r="F1627" s="81" t="s">
        <v>105</v>
      </c>
      <c r="G1627" s="125" t="s">
        <v>1362</v>
      </c>
      <c r="H1627" s="81" t="s">
        <v>2817</v>
      </c>
      <c r="I1627" s="149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2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1">
        <v>1622.0</v>
      </c>
      <c r="B1628" s="141" t="s">
        <v>2884</v>
      </c>
      <c r="C1628" s="82" t="str">
        <f>VLOOKUP($B$7:$B$5000,SUM!$L$6:$L$500,1,FALSE)</f>
        <v>#N/A</v>
      </c>
      <c r="D1628" s="175" t="s">
        <v>2813</v>
      </c>
      <c r="E1628" s="165" t="s">
        <v>58</v>
      </c>
      <c r="F1628" s="81" t="s">
        <v>105</v>
      </c>
      <c r="G1628" s="125" t="s">
        <v>1362</v>
      </c>
      <c r="H1628" s="81" t="s">
        <v>2819</v>
      </c>
      <c r="I1628" s="149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2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1">
        <v>1623.0</v>
      </c>
      <c r="B1629" s="141" t="s">
        <v>2885</v>
      </c>
      <c r="C1629" s="82" t="str">
        <f>VLOOKUP($B$7:$B$5000,SUM!$L$6:$L$500,1,FALSE)</f>
        <v>#N/A</v>
      </c>
      <c r="D1629" s="175" t="s">
        <v>2813</v>
      </c>
      <c r="E1629" s="165" t="s">
        <v>58</v>
      </c>
      <c r="F1629" s="81" t="s">
        <v>105</v>
      </c>
      <c r="G1629" s="125" t="s">
        <v>1362</v>
      </c>
      <c r="H1629" s="81" t="s">
        <v>2821</v>
      </c>
      <c r="I1629" s="149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2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1">
        <v>1624.0</v>
      </c>
      <c r="B1630" s="141" t="s">
        <v>2886</v>
      </c>
      <c r="C1630" s="82" t="str">
        <f>VLOOKUP($B$7:$B$5000,SUM!$L$6:$L$500,1,FALSE)</f>
        <v>#N/A</v>
      </c>
      <c r="D1630" s="175" t="s">
        <v>2813</v>
      </c>
      <c r="E1630" s="165" t="s">
        <v>58</v>
      </c>
      <c r="F1630" s="81" t="s">
        <v>105</v>
      </c>
      <c r="G1630" s="125" t="s">
        <v>1362</v>
      </c>
      <c r="H1630" s="81" t="s">
        <v>2823</v>
      </c>
      <c r="I1630" s="149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2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1">
        <v>1625.0</v>
      </c>
      <c r="B1631" s="141" t="s">
        <v>2887</v>
      </c>
      <c r="C1631" s="82" t="str">
        <f>VLOOKUP($B$7:$B$5000,SUM!$L$6:$L$500,1,FALSE)</f>
        <v>#N/A</v>
      </c>
      <c r="D1631" s="175" t="s">
        <v>2813</v>
      </c>
      <c r="E1631" s="165" t="s">
        <v>58</v>
      </c>
      <c r="F1631" s="81" t="s">
        <v>105</v>
      </c>
      <c r="G1631" s="125" t="s">
        <v>1362</v>
      </c>
      <c r="H1631" s="81" t="s">
        <v>2825</v>
      </c>
      <c r="I1631" s="149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2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1">
        <v>1626.0</v>
      </c>
      <c r="B1632" s="141" t="s">
        <v>2888</v>
      </c>
      <c r="C1632" s="82" t="str">
        <f>VLOOKUP($B$7:$B$5000,SUM!$L$6:$L$500,1,FALSE)</f>
        <v>#N/A</v>
      </c>
      <c r="D1632" s="175" t="s">
        <v>2813</v>
      </c>
      <c r="E1632" s="165" t="s">
        <v>58</v>
      </c>
      <c r="F1632" s="81" t="s">
        <v>105</v>
      </c>
      <c r="G1632" s="125" t="s">
        <v>1362</v>
      </c>
      <c r="H1632" s="81" t="s">
        <v>2827</v>
      </c>
      <c r="I1632" s="149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2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1">
        <v>1627.0</v>
      </c>
      <c r="B1633" s="141" t="s">
        <v>2889</v>
      </c>
      <c r="C1633" s="82" t="str">
        <f>VLOOKUP($B$7:$B$5000,SUM!$L$6:$L$500,1,FALSE)</f>
        <v>#N/A</v>
      </c>
      <c r="D1633" s="175" t="s">
        <v>2813</v>
      </c>
      <c r="E1633" s="165" t="s">
        <v>58</v>
      </c>
      <c r="F1633" s="81" t="s">
        <v>105</v>
      </c>
      <c r="G1633" s="125" t="s">
        <v>1362</v>
      </c>
      <c r="H1633" s="81" t="s">
        <v>2829</v>
      </c>
      <c r="I1633" s="149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2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1">
        <v>1628.0</v>
      </c>
      <c r="B1634" s="141" t="s">
        <v>2890</v>
      </c>
      <c r="C1634" s="82" t="str">
        <f>VLOOKUP($B$7:$B$5000,SUM!$L$6:$L$500,1,FALSE)</f>
        <v>#N/A</v>
      </c>
      <c r="D1634" s="175" t="s">
        <v>2813</v>
      </c>
      <c r="E1634" s="165" t="s">
        <v>58</v>
      </c>
      <c r="F1634" s="81" t="s">
        <v>105</v>
      </c>
      <c r="G1634" s="125" t="s">
        <v>1362</v>
      </c>
      <c r="H1634" s="81" t="s">
        <v>2831</v>
      </c>
      <c r="I1634" s="149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2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1">
        <v>1629.0</v>
      </c>
      <c r="B1635" s="141" t="s">
        <v>2891</v>
      </c>
      <c r="C1635" s="82" t="str">
        <f>VLOOKUP($B$7:$B$5000,SUM!$L$6:$L$500,1,FALSE)</f>
        <v>#N/A</v>
      </c>
      <c r="D1635" s="175" t="s">
        <v>2813</v>
      </c>
      <c r="E1635" s="165" t="s">
        <v>58</v>
      </c>
      <c r="F1635" s="81" t="s">
        <v>105</v>
      </c>
      <c r="G1635" s="125" t="s">
        <v>1362</v>
      </c>
      <c r="H1635" s="81" t="s">
        <v>2833</v>
      </c>
      <c r="I1635" s="149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2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1">
        <v>1630.0</v>
      </c>
      <c r="B1636" s="141" t="s">
        <v>2892</v>
      </c>
      <c r="C1636" s="82" t="str">
        <f>VLOOKUP($B$7:$B$5000,SUM!$L$6:$L$500,1,FALSE)</f>
        <v>#N/A</v>
      </c>
      <c r="D1636" s="175" t="s">
        <v>2813</v>
      </c>
      <c r="E1636" s="165" t="s">
        <v>58</v>
      </c>
      <c r="F1636" s="81" t="s">
        <v>105</v>
      </c>
      <c r="G1636" s="125" t="s">
        <v>1362</v>
      </c>
      <c r="H1636" s="81" t="s">
        <v>2835</v>
      </c>
      <c r="I1636" s="149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2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1">
        <v>1631.0</v>
      </c>
      <c r="B1637" s="141" t="s">
        <v>2893</v>
      </c>
      <c r="C1637" s="82" t="str">
        <f>VLOOKUP($B$7:$B$5000,SUM!$L$6:$L$500,1,FALSE)</f>
        <v>#N/A</v>
      </c>
      <c r="D1637" s="175" t="s">
        <v>2813</v>
      </c>
      <c r="E1637" s="165" t="s">
        <v>58</v>
      </c>
      <c r="F1637" s="81" t="s">
        <v>105</v>
      </c>
      <c r="G1637" s="125" t="s">
        <v>1362</v>
      </c>
      <c r="H1637" s="81" t="s">
        <v>2837</v>
      </c>
      <c r="I1637" s="149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2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1">
        <v>1632.0</v>
      </c>
      <c r="B1638" s="141" t="s">
        <v>2894</v>
      </c>
      <c r="C1638" s="82" t="str">
        <f>VLOOKUP($B$7:$B$5000,SUM!$L$6:$L$500,1,FALSE)</f>
        <v>#N/A</v>
      </c>
      <c r="D1638" s="175" t="s">
        <v>2813</v>
      </c>
      <c r="E1638" s="165" t="s">
        <v>58</v>
      </c>
      <c r="F1638" s="81" t="s">
        <v>105</v>
      </c>
      <c r="G1638" s="125" t="s">
        <v>1362</v>
      </c>
      <c r="H1638" s="81" t="s">
        <v>2839</v>
      </c>
      <c r="I1638" s="149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2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1">
        <v>1633.0</v>
      </c>
      <c r="B1639" s="141" t="s">
        <v>2895</v>
      </c>
      <c r="C1639" s="82" t="str">
        <f>VLOOKUP($B$7:$B$5000,SUM!$L$6:$L$500,1,FALSE)</f>
        <v>#N/A</v>
      </c>
      <c r="D1639" s="175" t="s">
        <v>2813</v>
      </c>
      <c r="E1639" s="165" t="s">
        <v>58</v>
      </c>
      <c r="F1639" s="81" t="s">
        <v>105</v>
      </c>
      <c r="G1639" s="125" t="s">
        <v>1362</v>
      </c>
      <c r="H1639" s="81" t="s">
        <v>2841</v>
      </c>
      <c r="I1639" s="149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2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1">
        <v>1634.0</v>
      </c>
      <c r="B1640" s="141" t="s">
        <v>2896</v>
      </c>
      <c r="C1640" s="82" t="str">
        <f>VLOOKUP($B$7:$B$5000,SUM!$L$6:$L$500,1,FALSE)</f>
        <v>#N/A</v>
      </c>
      <c r="D1640" s="175" t="s">
        <v>2813</v>
      </c>
      <c r="E1640" s="165" t="s">
        <v>58</v>
      </c>
      <c r="F1640" s="81" t="s">
        <v>105</v>
      </c>
      <c r="G1640" s="125" t="s">
        <v>1362</v>
      </c>
      <c r="H1640" s="81" t="s">
        <v>2843</v>
      </c>
      <c r="I1640" s="149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2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1">
        <v>1635.0</v>
      </c>
      <c r="B1641" s="141" t="s">
        <v>2897</v>
      </c>
      <c r="C1641" s="82" t="str">
        <f>VLOOKUP($B$7:$B$5000,SUM!$L$6:$L$500,1,FALSE)</f>
        <v>#N/A</v>
      </c>
      <c r="D1641" s="175" t="s">
        <v>2813</v>
      </c>
      <c r="E1641" s="165" t="s">
        <v>58</v>
      </c>
      <c r="F1641" s="81" t="s">
        <v>105</v>
      </c>
      <c r="G1641" s="125" t="s">
        <v>1362</v>
      </c>
      <c r="H1641" s="81" t="s">
        <v>2845</v>
      </c>
      <c r="I1641" s="149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2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1">
        <v>1636.0</v>
      </c>
      <c r="B1642" s="141" t="s">
        <v>2898</v>
      </c>
      <c r="C1642" s="82" t="str">
        <f>VLOOKUP($B$7:$B$5000,SUM!$L$6:$L$500,1,FALSE)</f>
        <v>#N/A</v>
      </c>
      <c r="D1642" s="175" t="s">
        <v>2813</v>
      </c>
      <c r="E1642" s="165" t="s">
        <v>58</v>
      </c>
      <c r="F1642" s="81" t="s">
        <v>105</v>
      </c>
      <c r="G1642" s="125" t="s">
        <v>1362</v>
      </c>
      <c r="H1642" s="81" t="s">
        <v>2847</v>
      </c>
      <c r="I1642" s="149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2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1">
        <v>1637.0</v>
      </c>
      <c r="B1643" s="141" t="s">
        <v>2899</v>
      </c>
      <c r="C1643" s="82" t="str">
        <f>VLOOKUP($B$7:$B$5000,SUM!$L$6:$L$500,1,FALSE)</f>
        <v>#N/A</v>
      </c>
      <c r="D1643" s="175" t="s">
        <v>2813</v>
      </c>
      <c r="E1643" s="165" t="s">
        <v>58</v>
      </c>
      <c r="F1643" s="81" t="s">
        <v>105</v>
      </c>
      <c r="G1643" s="125" t="s">
        <v>1362</v>
      </c>
      <c r="H1643" s="81" t="s">
        <v>2849</v>
      </c>
      <c r="I1643" s="149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2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1">
        <v>1638.0</v>
      </c>
      <c r="B1644" s="141" t="s">
        <v>2900</v>
      </c>
      <c r="C1644" s="82" t="str">
        <f>VLOOKUP($B$7:$B$5000,SUM!$L$6:$L$500,1,FALSE)</f>
        <v>#N/A</v>
      </c>
      <c r="D1644" s="175" t="s">
        <v>2813</v>
      </c>
      <c r="E1644" s="165" t="s">
        <v>58</v>
      </c>
      <c r="F1644" s="81" t="s">
        <v>105</v>
      </c>
      <c r="G1644" s="125" t="s">
        <v>1362</v>
      </c>
      <c r="H1644" s="81" t="s">
        <v>2851</v>
      </c>
      <c r="I1644" s="149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2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1">
        <v>1639.0</v>
      </c>
      <c r="B1645" s="141" t="s">
        <v>2901</v>
      </c>
      <c r="C1645" s="82" t="str">
        <f>VLOOKUP($B$7:$B$5000,SUM!$L$6:$L$500,1,FALSE)</f>
        <v>#N/A</v>
      </c>
      <c r="D1645" s="175" t="s">
        <v>2813</v>
      </c>
      <c r="E1645" s="165" t="s">
        <v>58</v>
      </c>
      <c r="F1645" s="81" t="s">
        <v>105</v>
      </c>
      <c r="G1645" s="125" t="s">
        <v>1362</v>
      </c>
      <c r="H1645" s="81" t="s">
        <v>2853</v>
      </c>
      <c r="I1645" s="149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2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1">
        <v>1640.0</v>
      </c>
      <c r="B1646" s="141" t="s">
        <v>2902</v>
      </c>
      <c r="C1646" s="82" t="str">
        <f>VLOOKUP($B$7:$B$5000,SUM!$L$6:$L$500,1,FALSE)</f>
        <v>#N/A</v>
      </c>
      <c r="D1646" s="175" t="s">
        <v>2813</v>
      </c>
      <c r="E1646" s="165" t="s">
        <v>58</v>
      </c>
      <c r="F1646" s="81" t="s">
        <v>105</v>
      </c>
      <c r="G1646" s="125" t="s">
        <v>1362</v>
      </c>
      <c r="H1646" s="81" t="s">
        <v>2855</v>
      </c>
      <c r="I1646" s="149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2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1">
        <v>1641.0</v>
      </c>
      <c r="B1647" s="141" t="s">
        <v>2903</v>
      </c>
      <c r="C1647" s="82" t="str">
        <f>VLOOKUP($B$7:$B$5000,SUM!$L$6:$L$500,1,FALSE)</f>
        <v>#N/A</v>
      </c>
      <c r="D1647" s="175" t="s">
        <v>2813</v>
      </c>
      <c r="E1647" s="165" t="s">
        <v>58</v>
      </c>
      <c r="F1647" s="81" t="s">
        <v>105</v>
      </c>
      <c r="G1647" s="125" t="s">
        <v>1362</v>
      </c>
      <c r="H1647" s="81" t="s">
        <v>2857</v>
      </c>
      <c r="I1647" s="149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2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1">
        <v>1642.0</v>
      </c>
      <c r="B1648" s="141" t="s">
        <v>2904</v>
      </c>
      <c r="C1648" s="82" t="str">
        <f>VLOOKUP($B$7:$B$5000,SUM!$L$6:$L$500,1,FALSE)</f>
        <v>#N/A</v>
      </c>
      <c r="D1648" s="175" t="s">
        <v>2813</v>
      </c>
      <c r="E1648" s="165" t="s">
        <v>58</v>
      </c>
      <c r="F1648" s="81" t="s">
        <v>105</v>
      </c>
      <c r="G1648" s="125" t="s">
        <v>1362</v>
      </c>
      <c r="H1648" s="81" t="s">
        <v>2859</v>
      </c>
      <c r="I1648" s="149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2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1">
        <v>1643.0</v>
      </c>
      <c r="B1649" s="141" t="s">
        <v>2905</v>
      </c>
      <c r="C1649" s="82" t="str">
        <f>VLOOKUP($B$7:$B$5000,SUM!$L$6:$L$500,1,FALSE)</f>
        <v>#N/A</v>
      </c>
      <c r="D1649" s="175" t="s">
        <v>2813</v>
      </c>
      <c r="E1649" s="165" t="s">
        <v>58</v>
      </c>
      <c r="F1649" s="81" t="s">
        <v>105</v>
      </c>
      <c r="G1649" s="125" t="s">
        <v>1362</v>
      </c>
      <c r="H1649" s="81" t="s">
        <v>2861</v>
      </c>
      <c r="I1649" s="149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2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1">
        <v>1644.0</v>
      </c>
      <c r="B1650" s="141" t="s">
        <v>2906</v>
      </c>
      <c r="C1650" s="82" t="str">
        <f>VLOOKUP($B$7:$B$5000,SUM!$L$6:$L$500,1,FALSE)</f>
        <v>#N/A</v>
      </c>
      <c r="D1650" s="175" t="s">
        <v>2813</v>
      </c>
      <c r="E1650" s="165" t="s">
        <v>58</v>
      </c>
      <c r="F1650" s="81" t="s">
        <v>105</v>
      </c>
      <c r="G1650" s="125" t="s">
        <v>1362</v>
      </c>
      <c r="H1650" s="81" t="s">
        <v>2863</v>
      </c>
      <c r="I1650" s="149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2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1">
        <v>1645.0</v>
      </c>
      <c r="B1651" s="141" t="s">
        <v>2907</v>
      </c>
      <c r="C1651" s="82" t="str">
        <f>VLOOKUP($B$7:$B$5000,SUM!$L$6:$L$500,1,FALSE)</f>
        <v>#N/A</v>
      </c>
      <c r="D1651" s="175" t="s">
        <v>2813</v>
      </c>
      <c r="E1651" s="165" t="s">
        <v>58</v>
      </c>
      <c r="F1651" s="81" t="s">
        <v>105</v>
      </c>
      <c r="G1651" s="125" t="s">
        <v>1362</v>
      </c>
      <c r="H1651" s="81" t="s">
        <v>2865</v>
      </c>
      <c r="I1651" s="149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2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1">
        <v>1646.0</v>
      </c>
      <c r="B1652" s="141" t="s">
        <v>2908</v>
      </c>
      <c r="C1652" s="82" t="str">
        <f>VLOOKUP($B$7:$B$5000,SUM!$L$6:$L$500,1,FALSE)</f>
        <v>#N/A</v>
      </c>
      <c r="D1652" s="175" t="s">
        <v>2813</v>
      </c>
      <c r="E1652" s="165" t="s">
        <v>58</v>
      </c>
      <c r="F1652" s="81" t="s">
        <v>105</v>
      </c>
      <c r="G1652" s="125" t="s">
        <v>1362</v>
      </c>
      <c r="H1652" s="81" t="s">
        <v>2867</v>
      </c>
      <c r="I1652" s="149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2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1">
        <v>1647.0</v>
      </c>
      <c r="B1653" s="141" t="s">
        <v>2909</v>
      </c>
      <c r="C1653" s="82" t="str">
        <f>VLOOKUP($B$7:$B$5000,SUM!$L$6:$L$500,1,FALSE)</f>
        <v>#N/A</v>
      </c>
      <c r="D1653" s="175" t="s">
        <v>2813</v>
      </c>
      <c r="E1653" s="165" t="s">
        <v>58</v>
      </c>
      <c r="F1653" s="81" t="s">
        <v>105</v>
      </c>
      <c r="G1653" s="125" t="s">
        <v>1362</v>
      </c>
      <c r="H1653" s="81" t="s">
        <v>2869</v>
      </c>
      <c r="I1653" s="149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2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1">
        <v>1648.0</v>
      </c>
      <c r="B1654" s="141" t="s">
        <v>2910</v>
      </c>
      <c r="C1654" s="82" t="str">
        <f>VLOOKUP($B$7:$B$5000,SUM!$L$6:$L$500,1,FALSE)</f>
        <v>#N/A</v>
      </c>
      <c r="D1654" s="175" t="s">
        <v>2813</v>
      </c>
      <c r="E1654" s="165" t="s">
        <v>58</v>
      </c>
      <c r="F1654" s="81" t="s">
        <v>105</v>
      </c>
      <c r="G1654" s="125" t="s">
        <v>1362</v>
      </c>
      <c r="H1654" s="81" t="s">
        <v>2872</v>
      </c>
      <c r="I1654" s="149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2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1">
        <v>1649.0</v>
      </c>
      <c r="B1655" s="141" t="s">
        <v>2911</v>
      </c>
      <c r="C1655" s="82" t="str">
        <f>VLOOKUP($B$7:$B$5000,SUM!$L$6:$L$500,1,FALSE)</f>
        <v>#N/A</v>
      </c>
      <c r="D1655" s="175" t="s">
        <v>2813</v>
      </c>
      <c r="E1655" s="165" t="s">
        <v>58</v>
      </c>
      <c r="F1655" s="81" t="s">
        <v>105</v>
      </c>
      <c r="G1655" s="125" t="s">
        <v>2778</v>
      </c>
      <c r="H1655" s="81" t="s">
        <v>2874</v>
      </c>
      <c r="I1655" s="149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2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1">
        <v>1650.0</v>
      </c>
      <c r="B1656" s="141" t="s">
        <v>2913</v>
      </c>
      <c r="C1656" s="82" t="str">
        <f>VLOOKUP($B$7:$B$5000,SUM!$L$6:$L$500,1,FALSE)</f>
        <v>#N/A</v>
      </c>
      <c r="D1656" s="175" t="s">
        <v>2813</v>
      </c>
      <c r="E1656" s="165" t="s">
        <v>58</v>
      </c>
      <c r="F1656" s="81" t="s">
        <v>105</v>
      </c>
      <c r="G1656" s="125" t="s">
        <v>2778</v>
      </c>
      <c r="H1656" s="81" t="s">
        <v>2877</v>
      </c>
      <c r="I1656" s="149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2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1">
        <v>1651.0</v>
      </c>
      <c r="B1657" s="141" t="s">
        <v>2914</v>
      </c>
      <c r="C1657" s="82" t="str">
        <f>VLOOKUP($B$7:$B$5000,SUM!$L$6:$L$500,1,FALSE)</f>
        <v>#N/A</v>
      </c>
      <c r="D1657" s="175" t="s">
        <v>2813</v>
      </c>
      <c r="E1657" s="165" t="s">
        <v>58</v>
      </c>
      <c r="F1657" s="81" t="s">
        <v>105</v>
      </c>
      <c r="G1657" s="125" t="s">
        <v>2778</v>
      </c>
      <c r="H1657" s="81" t="s">
        <v>2879</v>
      </c>
      <c r="I1657" s="149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2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1">
        <v>1652.0</v>
      </c>
      <c r="B1658" s="141" t="s">
        <v>2915</v>
      </c>
      <c r="C1658" s="82" t="str">
        <f>VLOOKUP($B$7:$B$5000,SUM!$L$6:$L$500,1,FALSE)</f>
        <v>#N/A</v>
      </c>
      <c r="D1658" s="175" t="s">
        <v>2813</v>
      </c>
      <c r="E1658" s="165" t="s">
        <v>58</v>
      </c>
      <c r="F1658" s="81" t="s">
        <v>105</v>
      </c>
      <c r="G1658" s="125" t="s">
        <v>1362</v>
      </c>
      <c r="H1658" s="81" t="s">
        <v>2814</v>
      </c>
      <c r="I1658" s="149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2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1">
        <v>1653.0</v>
      </c>
      <c r="B1659" s="141" t="s">
        <v>2917</v>
      </c>
      <c r="C1659" s="82" t="str">
        <f>VLOOKUP($B$7:$B$5000,SUM!$L$6:$L$500,1,FALSE)</f>
        <v>#N/A</v>
      </c>
      <c r="D1659" s="175" t="s">
        <v>2813</v>
      </c>
      <c r="E1659" s="165" t="s">
        <v>58</v>
      </c>
      <c r="F1659" s="81" t="s">
        <v>105</v>
      </c>
      <c r="G1659" s="125" t="s">
        <v>1362</v>
      </c>
      <c r="H1659" s="81" t="s">
        <v>2817</v>
      </c>
      <c r="I1659" s="149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2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1">
        <v>1654.0</v>
      </c>
      <c r="B1660" s="141" t="s">
        <v>2918</v>
      </c>
      <c r="C1660" s="82" t="str">
        <f>VLOOKUP($B$7:$B$5000,SUM!$L$6:$L$500,1,FALSE)</f>
        <v>#N/A</v>
      </c>
      <c r="D1660" s="175" t="s">
        <v>2813</v>
      </c>
      <c r="E1660" s="165" t="s">
        <v>58</v>
      </c>
      <c r="F1660" s="81" t="s">
        <v>105</v>
      </c>
      <c r="G1660" s="125" t="s">
        <v>1362</v>
      </c>
      <c r="H1660" s="81" t="s">
        <v>2819</v>
      </c>
      <c r="I1660" s="149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2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1">
        <v>1655.0</v>
      </c>
      <c r="B1661" s="141" t="s">
        <v>2919</v>
      </c>
      <c r="C1661" s="82" t="str">
        <f>VLOOKUP($B$7:$B$5000,SUM!$L$6:$L$500,1,FALSE)</f>
        <v>#N/A</v>
      </c>
      <c r="D1661" s="175" t="s">
        <v>2813</v>
      </c>
      <c r="E1661" s="165" t="s">
        <v>58</v>
      </c>
      <c r="F1661" s="81" t="s">
        <v>105</v>
      </c>
      <c r="G1661" s="125" t="s">
        <v>1362</v>
      </c>
      <c r="H1661" s="81" t="s">
        <v>2821</v>
      </c>
      <c r="I1661" s="149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2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1">
        <v>1656.0</v>
      </c>
      <c r="B1662" s="141" t="s">
        <v>2920</v>
      </c>
      <c r="C1662" s="82" t="str">
        <f>VLOOKUP($B$7:$B$5000,SUM!$L$6:$L$500,1,FALSE)</f>
        <v>#N/A</v>
      </c>
      <c r="D1662" s="175" t="s">
        <v>2813</v>
      </c>
      <c r="E1662" s="165" t="s">
        <v>58</v>
      </c>
      <c r="F1662" s="81" t="s">
        <v>105</v>
      </c>
      <c r="G1662" s="125" t="s">
        <v>1362</v>
      </c>
      <c r="H1662" s="81" t="s">
        <v>2823</v>
      </c>
      <c r="I1662" s="149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2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1">
        <v>1657.0</v>
      </c>
      <c r="B1663" s="141" t="s">
        <v>2921</v>
      </c>
      <c r="C1663" s="82" t="str">
        <f>VLOOKUP($B$7:$B$5000,SUM!$L$6:$L$500,1,FALSE)</f>
        <v>#N/A</v>
      </c>
      <c r="D1663" s="175" t="s">
        <v>2813</v>
      </c>
      <c r="E1663" s="165" t="s">
        <v>58</v>
      </c>
      <c r="F1663" s="81" t="s">
        <v>105</v>
      </c>
      <c r="G1663" s="125" t="s">
        <v>1362</v>
      </c>
      <c r="H1663" s="81" t="s">
        <v>2825</v>
      </c>
      <c r="I1663" s="149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2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1">
        <v>1658.0</v>
      </c>
      <c r="B1664" s="141" t="s">
        <v>2922</v>
      </c>
      <c r="C1664" s="82" t="str">
        <f>VLOOKUP($B$7:$B$5000,SUM!$L$6:$L$500,1,FALSE)</f>
        <v>#N/A</v>
      </c>
      <c r="D1664" s="175" t="s">
        <v>2813</v>
      </c>
      <c r="E1664" s="165" t="s">
        <v>58</v>
      </c>
      <c r="F1664" s="81" t="s">
        <v>105</v>
      </c>
      <c r="G1664" s="125" t="s">
        <v>1362</v>
      </c>
      <c r="H1664" s="81" t="s">
        <v>2827</v>
      </c>
      <c r="I1664" s="149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2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1">
        <v>1659.0</v>
      </c>
      <c r="B1665" s="141" t="s">
        <v>2923</v>
      </c>
      <c r="C1665" s="82" t="str">
        <f>VLOOKUP($B$7:$B$5000,SUM!$L$6:$L$500,1,FALSE)</f>
        <v>#N/A</v>
      </c>
      <c r="D1665" s="175" t="s">
        <v>2813</v>
      </c>
      <c r="E1665" s="165" t="s">
        <v>58</v>
      </c>
      <c r="F1665" s="81" t="s">
        <v>105</v>
      </c>
      <c r="G1665" s="125" t="s">
        <v>1362</v>
      </c>
      <c r="H1665" s="81" t="s">
        <v>2829</v>
      </c>
      <c r="I1665" s="149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2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1">
        <v>1660.0</v>
      </c>
      <c r="B1666" s="141" t="s">
        <v>2924</v>
      </c>
      <c r="C1666" s="82" t="str">
        <f>VLOOKUP($B$7:$B$5000,SUM!$L$6:$L$500,1,FALSE)</f>
        <v>#N/A</v>
      </c>
      <c r="D1666" s="175" t="s">
        <v>2813</v>
      </c>
      <c r="E1666" s="165" t="s">
        <v>58</v>
      </c>
      <c r="F1666" s="81" t="s">
        <v>105</v>
      </c>
      <c r="G1666" s="125" t="s">
        <v>1362</v>
      </c>
      <c r="H1666" s="81" t="s">
        <v>2831</v>
      </c>
      <c r="I1666" s="149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2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1">
        <v>1661.0</v>
      </c>
      <c r="B1667" s="141" t="s">
        <v>2925</v>
      </c>
      <c r="C1667" s="82" t="str">
        <f>VLOOKUP($B$7:$B$5000,SUM!$L$6:$L$500,1,FALSE)</f>
        <v>#N/A</v>
      </c>
      <c r="D1667" s="175" t="s">
        <v>2813</v>
      </c>
      <c r="E1667" s="165" t="s">
        <v>58</v>
      </c>
      <c r="F1667" s="81" t="s">
        <v>105</v>
      </c>
      <c r="G1667" s="125" t="s">
        <v>1362</v>
      </c>
      <c r="H1667" s="81" t="s">
        <v>2833</v>
      </c>
      <c r="I1667" s="149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2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1">
        <v>1662.0</v>
      </c>
      <c r="B1668" s="141" t="s">
        <v>2926</v>
      </c>
      <c r="C1668" s="82" t="str">
        <f>VLOOKUP($B$7:$B$5000,SUM!$L$6:$L$500,1,FALSE)</f>
        <v>#N/A</v>
      </c>
      <c r="D1668" s="175" t="s">
        <v>2813</v>
      </c>
      <c r="E1668" s="165" t="s">
        <v>58</v>
      </c>
      <c r="F1668" s="81" t="s">
        <v>105</v>
      </c>
      <c r="G1668" s="125" t="s">
        <v>1362</v>
      </c>
      <c r="H1668" s="81" t="s">
        <v>2835</v>
      </c>
      <c r="I1668" s="149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2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1">
        <v>1663.0</v>
      </c>
      <c r="B1669" s="141" t="s">
        <v>2927</v>
      </c>
      <c r="C1669" s="82" t="str">
        <f>VLOOKUP($B$7:$B$5000,SUM!$L$6:$L$500,1,FALSE)</f>
        <v>#N/A</v>
      </c>
      <c r="D1669" s="175" t="s">
        <v>2813</v>
      </c>
      <c r="E1669" s="165" t="s">
        <v>58</v>
      </c>
      <c r="F1669" s="81" t="s">
        <v>105</v>
      </c>
      <c r="G1669" s="125" t="s">
        <v>1362</v>
      </c>
      <c r="H1669" s="81" t="s">
        <v>2837</v>
      </c>
      <c r="I1669" s="149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2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1">
        <v>1664.0</v>
      </c>
      <c r="B1670" s="141" t="s">
        <v>2928</v>
      </c>
      <c r="C1670" s="82" t="str">
        <f>VLOOKUP($B$7:$B$5000,SUM!$L$6:$L$500,1,FALSE)</f>
        <v>#N/A</v>
      </c>
      <c r="D1670" s="175" t="s">
        <v>2813</v>
      </c>
      <c r="E1670" s="165" t="s">
        <v>58</v>
      </c>
      <c r="F1670" s="81" t="s">
        <v>105</v>
      </c>
      <c r="G1670" s="125" t="s">
        <v>1362</v>
      </c>
      <c r="H1670" s="81" t="s">
        <v>2839</v>
      </c>
      <c r="I1670" s="149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2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1">
        <v>1665.0</v>
      </c>
      <c r="B1671" s="141" t="s">
        <v>2929</v>
      </c>
      <c r="C1671" s="82" t="str">
        <f>VLOOKUP($B$7:$B$5000,SUM!$L$6:$L$500,1,FALSE)</f>
        <v>#N/A</v>
      </c>
      <c r="D1671" s="175" t="s">
        <v>2813</v>
      </c>
      <c r="E1671" s="165" t="s">
        <v>58</v>
      </c>
      <c r="F1671" s="81" t="s">
        <v>105</v>
      </c>
      <c r="G1671" s="125" t="s">
        <v>1362</v>
      </c>
      <c r="H1671" s="81" t="s">
        <v>2841</v>
      </c>
      <c r="I1671" s="149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2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1">
        <v>1666.0</v>
      </c>
      <c r="B1672" s="141" t="s">
        <v>2930</v>
      </c>
      <c r="C1672" s="82" t="str">
        <f>VLOOKUP($B$7:$B$5000,SUM!$L$6:$L$500,1,FALSE)</f>
        <v>#N/A</v>
      </c>
      <c r="D1672" s="175" t="s">
        <v>2813</v>
      </c>
      <c r="E1672" s="165" t="s">
        <v>58</v>
      </c>
      <c r="F1672" s="81" t="s">
        <v>105</v>
      </c>
      <c r="G1672" s="125" t="s">
        <v>1362</v>
      </c>
      <c r="H1672" s="81" t="s">
        <v>2843</v>
      </c>
      <c r="I1672" s="149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2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1">
        <v>1667.0</v>
      </c>
      <c r="B1673" s="141" t="s">
        <v>2931</v>
      </c>
      <c r="C1673" s="82" t="str">
        <f>VLOOKUP($B$7:$B$5000,SUM!$L$6:$L$500,1,FALSE)</f>
        <v>#N/A</v>
      </c>
      <c r="D1673" s="175" t="s">
        <v>2813</v>
      </c>
      <c r="E1673" s="165" t="s">
        <v>58</v>
      </c>
      <c r="F1673" s="81" t="s">
        <v>105</v>
      </c>
      <c r="G1673" s="125" t="s">
        <v>1362</v>
      </c>
      <c r="H1673" s="81" t="s">
        <v>2845</v>
      </c>
      <c r="I1673" s="149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2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1">
        <v>1668.0</v>
      </c>
      <c r="B1674" s="141" t="s">
        <v>2932</v>
      </c>
      <c r="C1674" s="82" t="str">
        <f>VLOOKUP($B$7:$B$5000,SUM!$L$6:$L$500,1,FALSE)</f>
        <v>#N/A</v>
      </c>
      <c r="D1674" s="175" t="s">
        <v>2813</v>
      </c>
      <c r="E1674" s="165" t="s">
        <v>58</v>
      </c>
      <c r="F1674" s="81" t="s">
        <v>105</v>
      </c>
      <c r="G1674" s="125" t="s">
        <v>1362</v>
      </c>
      <c r="H1674" s="81" t="s">
        <v>2847</v>
      </c>
      <c r="I1674" s="149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2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1">
        <v>1669.0</v>
      </c>
      <c r="B1675" s="141" t="s">
        <v>2933</v>
      </c>
      <c r="C1675" s="82" t="str">
        <f>VLOOKUP($B$7:$B$5000,SUM!$L$6:$L$500,1,FALSE)</f>
        <v>#N/A</v>
      </c>
      <c r="D1675" s="175" t="s">
        <v>2813</v>
      </c>
      <c r="E1675" s="165" t="s">
        <v>58</v>
      </c>
      <c r="F1675" s="81" t="s">
        <v>105</v>
      </c>
      <c r="G1675" s="125" t="s">
        <v>1362</v>
      </c>
      <c r="H1675" s="81" t="s">
        <v>2849</v>
      </c>
      <c r="I1675" s="149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2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1">
        <v>1670.0</v>
      </c>
      <c r="B1676" s="141" t="s">
        <v>2934</v>
      </c>
      <c r="C1676" s="82" t="str">
        <f>VLOOKUP($B$7:$B$5000,SUM!$L$6:$L$500,1,FALSE)</f>
        <v>#N/A</v>
      </c>
      <c r="D1676" s="175" t="s">
        <v>2813</v>
      </c>
      <c r="E1676" s="165" t="s">
        <v>58</v>
      </c>
      <c r="F1676" s="81" t="s">
        <v>105</v>
      </c>
      <c r="G1676" s="125" t="s">
        <v>1362</v>
      </c>
      <c r="H1676" s="81" t="s">
        <v>2851</v>
      </c>
      <c r="I1676" s="149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2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1">
        <v>1671.0</v>
      </c>
      <c r="B1677" s="141" t="s">
        <v>2935</v>
      </c>
      <c r="C1677" s="82" t="str">
        <f>VLOOKUP($B$7:$B$5000,SUM!$L$6:$L$500,1,FALSE)</f>
        <v>#N/A</v>
      </c>
      <c r="D1677" s="175" t="s">
        <v>2813</v>
      </c>
      <c r="E1677" s="165" t="s">
        <v>58</v>
      </c>
      <c r="F1677" s="81" t="s">
        <v>105</v>
      </c>
      <c r="G1677" s="125" t="s">
        <v>1362</v>
      </c>
      <c r="H1677" s="81" t="s">
        <v>2853</v>
      </c>
      <c r="I1677" s="149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2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1">
        <v>1672.0</v>
      </c>
      <c r="B1678" s="141" t="s">
        <v>2936</v>
      </c>
      <c r="C1678" s="82" t="str">
        <f>VLOOKUP($B$7:$B$5000,SUM!$L$6:$L$500,1,FALSE)</f>
        <v>#N/A</v>
      </c>
      <c r="D1678" s="175" t="s">
        <v>2813</v>
      </c>
      <c r="E1678" s="165" t="s">
        <v>58</v>
      </c>
      <c r="F1678" s="81" t="s">
        <v>105</v>
      </c>
      <c r="G1678" s="125" t="s">
        <v>1362</v>
      </c>
      <c r="H1678" s="81" t="s">
        <v>2855</v>
      </c>
      <c r="I1678" s="149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2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1">
        <v>1673.0</v>
      </c>
      <c r="B1679" s="141" t="s">
        <v>2937</v>
      </c>
      <c r="C1679" s="82" t="str">
        <f>VLOOKUP($B$7:$B$5000,SUM!$L$6:$L$500,1,FALSE)</f>
        <v>#N/A</v>
      </c>
      <c r="D1679" s="175" t="s">
        <v>2813</v>
      </c>
      <c r="E1679" s="165" t="s">
        <v>58</v>
      </c>
      <c r="F1679" s="81" t="s">
        <v>105</v>
      </c>
      <c r="G1679" s="125" t="s">
        <v>1362</v>
      </c>
      <c r="H1679" s="81" t="s">
        <v>2857</v>
      </c>
      <c r="I1679" s="149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2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1">
        <v>1674.0</v>
      </c>
      <c r="B1680" s="141" t="s">
        <v>2938</v>
      </c>
      <c r="C1680" s="82" t="str">
        <f>VLOOKUP($B$7:$B$5000,SUM!$L$6:$L$500,1,FALSE)</f>
        <v>#N/A</v>
      </c>
      <c r="D1680" s="175" t="s">
        <v>2813</v>
      </c>
      <c r="E1680" s="165" t="s">
        <v>58</v>
      </c>
      <c r="F1680" s="81" t="s">
        <v>105</v>
      </c>
      <c r="G1680" s="125" t="s">
        <v>1362</v>
      </c>
      <c r="H1680" s="81" t="s">
        <v>2859</v>
      </c>
      <c r="I1680" s="149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2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1">
        <v>1675.0</v>
      </c>
      <c r="B1681" s="141" t="s">
        <v>2939</v>
      </c>
      <c r="C1681" s="82" t="str">
        <f>VLOOKUP($B$7:$B$5000,SUM!$L$6:$L$500,1,FALSE)</f>
        <v>#N/A</v>
      </c>
      <c r="D1681" s="175" t="s">
        <v>2813</v>
      </c>
      <c r="E1681" s="165" t="s">
        <v>58</v>
      </c>
      <c r="F1681" s="81" t="s">
        <v>105</v>
      </c>
      <c r="G1681" s="125" t="s">
        <v>1362</v>
      </c>
      <c r="H1681" s="81" t="s">
        <v>2861</v>
      </c>
      <c r="I1681" s="149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2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1">
        <v>1676.0</v>
      </c>
      <c r="B1682" s="141" t="s">
        <v>2940</v>
      </c>
      <c r="C1682" s="82" t="str">
        <f>VLOOKUP($B$7:$B$5000,SUM!$L$6:$L$500,1,FALSE)</f>
        <v>#N/A</v>
      </c>
      <c r="D1682" s="175" t="s">
        <v>2813</v>
      </c>
      <c r="E1682" s="165" t="s">
        <v>58</v>
      </c>
      <c r="F1682" s="81" t="s">
        <v>105</v>
      </c>
      <c r="G1682" s="125" t="s">
        <v>1362</v>
      </c>
      <c r="H1682" s="81" t="s">
        <v>2863</v>
      </c>
      <c r="I1682" s="149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2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1">
        <v>1677.0</v>
      </c>
      <c r="B1683" s="141" t="s">
        <v>2941</v>
      </c>
      <c r="C1683" s="82" t="str">
        <f>VLOOKUP($B$7:$B$5000,SUM!$L$6:$L$500,1,FALSE)</f>
        <v>#N/A</v>
      </c>
      <c r="D1683" s="175" t="s">
        <v>2813</v>
      </c>
      <c r="E1683" s="165" t="s">
        <v>58</v>
      </c>
      <c r="F1683" s="81" t="s">
        <v>105</v>
      </c>
      <c r="G1683" s="125" t="s">
        <v>1362</v>
      </c>
      <c r="H1683" s="81" t="s">
        <v>2865</v>
      </c>
      <c r="I1683" s="149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2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1">
        <v>1678.0</v>
      </c>
      <c r="B1684" s="141" t="s">
        <v>2942</v>
      </c>
      <c r="C1684" s="82" t="str">
        <f>VLOOKUP($B$7:$B$5000,SUM!$L$6:$L$500,1,FALSE)</f>
        <v>#N/A</v>
      </c>
      <c r="D1684" s="175" t="s">
        <v>2813</v>
      </c>
      <c r="E1684" s="165" t="s">
        <v>58</v>
      </c>
      <c r="F1684" s="81" t="s">
        <v>105</v>
      </c>
      <c r="G1684" s="125" t="s">
        <v>1362</v>
      </c>
      <c r="H1684" s="81" t="s">
        <v>2867</v>
      </c>
      <c r="I1684" s="149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2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1">
        <v>1679.0</v>
      </c>
      <c r="B1685" s="141" t="s">
        <v>2943</v>
      </c>
      <c r="C1685" s="82" t="str">
        <f>VLOOKUP($B$7:$B$5000,SUM!$L$6:$L$500,1,FALSE)</f>
        <v>#N/A</v>
      </c>
      <c r="D1685" s="171" t="s">
        <v>2944</v>
      </c>
      <c r="E1685" s="165" t="s">
        <v>58</v>
      </c>
      <c r="F1685" s="81" t="s">
        <v>105</v>
      </c>
      <c r="G1685" s="125" t="s">
        <v>1362</v>
      </c>
      <c r="H1685" s="81" t="s">
        <v>2945</v>
      </c>
      <c r="I1685" s="149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2">
        <v>46142.0</v>
      </c>
      <c r="O1685" s="103" t="s">
        <v>67</v>
      </c>
      <c r="P1685" s="103" t="s">
        <v>68</v>
      </c>
      <c r="Q1685" s="150">
        <v>46165.0</v>
      </c>
      <c r="R1685" s="103" t="s">
        <v>597</v>
      </c>
      <c r="S1685" s="150">
        <v>46166.0</v>
      </c>
      <c r="T1685" s="103"/>
      <c r="U1685" s="90" t="s">
        <v>31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1">
        <v>1680.0</v>
      </c>
      <c r="B1686" s="141" t="s">
        <v>2947</v>
      </c>
      <c r="C1686" s="82" t="str">
        <f>VLOOKUP($B$7:$B$5000,SUM!$L$6:$L$500,1,FALSE)</f>
        <v>#N/A</v>
      </c>
      <c r="D1686" s="171" t="s">
        <v>2944</v>
      </c>
      <c r="E1686" s="165" t="s">
        <v>58</v>
      </c>
      <c r="F1686" s="81" t="s">
        <v>105</v>
      </c>
      <c r="G1686" s="125" t="s">
        <v>1362</v>
      </c>
      <c r="H1686" s="81" t="s">
        <v>2945</v>
      </c>
      <c r="I1686" s="149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2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1">
        <v>1681.0</v>
      </c>
      <c r="B1687" s="141" t="s">
        <v>2949</v>
      </c>
      <c r="C1687" s="82" t="str">
        <f>VLOOKUP($B$7:$B$5000,SUM!$L$6:$L$500,1,FALSE)</f>
        <v>#N/A</v>
      </c>
      <c r="D1687" s="171" t="s">
        <v>2944</v>
      </c>
      <c r="E1687" s="165" t="s">
        <v>58</v>
      </c>
      <c r="F1687" s="81" t="s">
        <v>105</v>
      </c>
      <c r="G1687" s="125" t="s">
        <v>1362</v>
      </c>
      <c r="H1687" s="81" t="s">
        <v>2945</v>
      </c>
      <c r="I1687" s="149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2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1">
        <v>1682.0</v>
      </c>
      <c r="B1688" s="141" t="s">
        <v>2951</v>
      </c>
      <c r="C1688" s="82" t="str">
        <f>VLOOKUP($B$7:$B$5000,SUM!$L$6:$L$500,1,FALSE)</f>
        <v>#N/A</v>
      </c>
      <c r="D1688" s="171" t="s">
        <v>2944</v>
      </c>
      <c r="E1688" s="165" t="s">
        <v>58</v>
      </c>
      <c r="F1688" s="81" t="s">
        <v>105</v>
      </c>
      <c r="G1688" s="125" t="s">
        <v>1740</v>
      </c>
      <c r="H1688" s="81" t="s">
        <v>2952</v>
      </c>
      <c r="I1688" s="149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2">
        <v>46142.0</v>
      </c>
      <c r="O1688" s="103" t="s">
        <v>67</v>
      </c>
      <c r="P1688" s="103" t="s">
        <v>68</v>
      </c>
      <c r="Q1688" s="150">
        <v>46165.0</v>
      </c>
      <c r="R1688" s="103" t="s">
        <v>597</v>
      </c>
      <c r="S1688" s="150">
        <v>46166.0</v>
      </c>
      <c r="T1688" s="103"/>
      <c r="U1688" s="90" t="s">
        <v>31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1">
        <v>1683.0</v>
      </c>
      <c r="B1689" s="141" t="s">
        <v>2954</v>
      </c>
      <c r="C1689" s="82" t="str">
        <f>VLOOKUP($B$7:$B$5000,SUM!$L$6:$L$500,1,FALSE)</f>
        <v>#N/A</v>
      </c>
      <c r="D1689" s="171" t="s">
        <v>2944</v>
      </c>
      <c r="E1689" s="165" t="s">
        <v>58</v>
      </c>
      <c r="F1689" s="81" t="s">
        <v>105</v>
      </c>
      <c r="G1689" s="125" t="s">
        <v>1740</v>
      </c>
      <c r="H1689" s="81" t="s">
        <v>2952</v>
      </c>
      <c r="I1689" s="149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2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1">
        <v>1684.0</v>
      </c>
      <c r="B1690" s="141" t="s">
        <v>2956</v>
      </c>
      <c r="C1690" s="82" t="str">
        <f>VLOOKUP($B$7:$B$5000,SUM!$L$6:$L$500,1,FALSE)</f>
        <v>#N/A</v>
      </c>
      <c r="D1690" s="171" t="s">
        <v>2944</v>
      </c>
      <c r="E1690" s="165" t="s">
        <v>58</v>
      </c>
      <c r="F1690" s="81" t="s">
        <v>105</v>
      </c>
      <c r="G1690" s="125" t="s">
        <v>1740</v>
      </c>
      <c r="H1690" s="81" t="s">
        <v>2952</v>
      </c>
      <c r="I1690" s="149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2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1">
        <v>1685.0</v>
      </c>
      <c r="B1691" s="141" t="s">
        <v>2958</v>
      </c>
      <c r="C1691" s="82" t="str">
        <f>VLOOKUP($B$7:$B$5000,SUM!$L$6:$L$500,1,FALSE)</f>
        <v>#N/A</v>
      </c>
      <c r="D1691" s="171" t="s">
        <v>2944</v>
      </c>
      <c r="E1691" s="165" t="s">
        <v>58</v>
      </c>
      <c r="F1691" s="81" t="s">
        <v>105</v>
      </c>
      <c r="G1691" s="125" t="s">
        <v>1740</v>
      </c>
      <c r="H1691" s="81" t="s">
        <v>2952</v>
      </c>
      <c r="I1691" s="149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2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1">
        <v>1686.0</v>
      </c>
      <c r="B1692" s="141" t="s">
        <v>2960</v>
      </c>
      <c r="C1692" s="82" t="str">
        <f>VLOOKUP($B$7:$B$5000,SUM!$L$6:$L$500,1,FALSE)</f>
        <v>#N/A</v>
      </c>
      <c r="D1692" s="171" t="s">
        <v>2944</v>
      </c>
      <c r="E1692" s="165" t="s">
        <v>58</v>
      </c>
      <c r="F1692" s="81" t="s">
        <v>105</v>
      </c>
      <c r="G1692" s="125" t="s">
        <v>1740</v>
      </c>
      <c r="H1692" s="81" t="s">
        <v>2961</v>
      </c>
      <c r="I1692" s="149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2">
        <v>46142.0</v>
      </c>
      <c r="O1692" s="103" t="s">
        <v>67</v>
      </c>
      <c r="P1692" s="103" t="s">
        <v>68</v>
      </c>
      <c r="Q1692" s="150">
        <v>46165.0</v>
      </c>
      <c r="R1692" s="103" t="s">
        <v>597</v>
      </c>
      <c r="S1692" s="150">
        <v>46166.0</v>
      </c>
      <c r="T1692" s="103"/>
      <c r="U1692" s="90" t="s">
        <v>31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1">
        <v>1687.0</v>
      </c>
      <c r="B1693" s="141" t="s">
        <v>2962</v>
      </c>
      <c r="C1693" s="82" t="str">
        <f>VLOOKUP($B$7:$B$5000,SUM!$L$6:$L$500,1,FALSE)</f>
        <v>#N/A</v>
      </c>
      <c r="D1693" s="171" t="s">
        <v>2944</v>
      </c>
      <c r="E1693" s="165" t="s">
        <v>58</v>
      </c>
      <c r="F1693" s="81" t="s">
        <v>105</v>
      </c>
      <c r="G1693" s="125" t="s">
        <v>1740</v>
      </c>
      <c r="H1693" s="81" t="s">
        <v>2961</v>
      </c>
      <c r="I1693" s="149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2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1">
        <v>1688.0</v>
      </c>
      <c r="B1694" s="141" t="s">
        <v>2963</v>
      </c>
      <c r="C1694" s="82" t="str">
        <f>VLOOKUP($B$7:$B$5000,SUM!$L$6:$L$500,1,FALSE)</f>
        <v>#N/A</v>
      </c>
      <c r="D1694" s="171" t="s">
        <v>2944</v>
      </c>
      <c r="E1694" s="165" t="s">
        <v>58</v>
      </c>
      <c r="F1694" s="81" t="s">
        <v>105</v>
      </c>
      <c r="G1694" s="125" t="s">
        <v>1740</v>
      </c>
      <c r="H1694" s="81" t="s">
        <v>2961</v>
      </c>
      <c r="I1694" s="149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2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1">
        <v>1689.0</v>
      </c>
      <c r="B1695" s="141" t="s">
        <v>2964</v>
      </c>
      <c r="C1695" s="82" t="str">
        <f>VLOOKUP($B$7:$B$5000,SUM!$L$6:$L$500,1,FALSE)</f>
        <v>#N/A</v>
      </c>
      <c r="D1695" s="171" t="s">
        <v>2944</v>
      </c>
      <c r="E1695" s="165" t="s">
        <v>58</v>
      </c>
      <c r="F1695" s="81" t="s">
        <v>105</v>
      </c>
      <c r="G1695" s="125" t="s">
        <v>1740</v>
      </c>
      <c r="H1695" s="81" t="s">
        <v>2961</v>
      </c>
      <c r="I1695" s="149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2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1">
        <v>1690.0</v>
      </c>
      <c r="B1696" s="141" t="s">
        <v>2965</v>
      </c>
      <c r="C1696" s="82" t="str">
        <f>VLOOKUP($B$7:$B$5000,SUM!$L$6:$L$500,1,FALSE)</f>
        <v>#N/A</v>
      </c>
      <c r="D1696" s="171" t="s">
        <v>2944</v>
      </c>
      <c r="E1696" s="165" t="s">
        <v>58</v>
      </c>
      <c r="F1696" s="81" t="s">
        <v>105</v>
      </c>
      <c r="G1696" s="125" t="s">
        <v>1761</v>
      </c>
      <c r="H1696" s="81" t="s">
        <v>2966</v>
      </c>
      <c r="I1696" s="149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2">
        <v>46142.0</v>
      </c>
      <c r="O1696" s="103" t="s">
        <v>67</v>
      </c>
      <c r="P1696" s="103" t="s">
        <v>68</v>
      </c>
      <c r="Q1696" s="150">
        <v>46164.0</v>
      </c>
      <c r="R1696" s="103" t="s">
        <v>597</v>
      </c>
      <c r="S1696" s="150">
        <v>46166.0</v>
      </c>
      <c r="T1696" s="103"/>
      <c r="U1696" s="90" t="s">
        <v>31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1">
        <v>1691.0</v>
      </c>
      <c r="B1697" s="141" t="s">
        <v>2968</v>
      </c>
      <c r="C1697" s="82" t="str">
        <f>VLOOKUP($B$7:$B$5000,SUM!$L$6:$L$500,1,FALSE)</f>
        <v>#N/A</v>
      </c>
      <c r="D1697" s="171" t="s">
        <v>2944</v>
      </c>
      <c r="E1697" s="165" t="s">
        <v>58</v>
      </c>
      <c r="F1697" s="81" t="s">
        <v>105</v>
      </c>
      <c r="G1697" s="125" t="s">
        <v>1761</v>
      </c>
      <c r="H1697" s="81" t="s">
        <v>2966</v>
      </c>
      <c r="I1697" s="149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2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1">
        <v>1692.0</v>
      </c>
      <c r="B1698" s="141" t="s">
        <v>2970</v>
      </c>
      <c r="C1698" s="82" t="str">
        <f>VLOOKUP($B$7:$B$5000,SUM!$L$6:$L$500,1,FALSE)</f>
        <v>#N/A</v>
      </c>
      <c r="D1698" s="171" t="s">
        <v>2944</v>
      </c>
      <c r="E1698" s="165" t="s">
        <v>58</v>
      </c>
      <c r="F1698" s="81" t="s">
        <v>105</v>
      </c>
      <c r="G1698" s="125" t="s">
        <v>1761</v>
      </c>
      <c r="H1698" s="81" t="s">
        <v>2966</v>
      </c>
      <c r="I1698" s="149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2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1">
        <v>1693.0</v>
      </c>
      <c r="B1699" s="141" t="s">
        <v>2972</v>
      </c>
      <c r="C1699" s="82" t="str">
        <f>VLOOKUP($B$7:$B$5000,SUM!$L$6:$L$500,1,FALSE)</f>
        <v>#N/A</v>
      </c>
      <c r="D1699" s="171" t="s">
        <v>2944</v>
      </c>
      <c r="E1699" s="165" t="s">
        <v>58</v>
      </c>
      <c r="F1699" s="81" t="s">
        <v>105</v>
      </c>
      <c r="G1699" s="125" t="s">
        <v>2973</v>
      </c>
      <c r="H1699" s="81" t="s">
        <v>2974</v>
      </c>
      <c r="I1699" s="149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2">
        <v>46142.0</v>
      </c>
      <c r="O1699" s="103" t="s">
        <v>67</v>
      </c>
      <c r="P1699" s="103" t="s">
        <v>68</v>
      </c>
      <c r="Q1699" s="150">
        <v>46164.0</v>
      </c>
      <c r="R1699" s="103" t="s">
        <v>597</v>
      </c>
      <c r="S1699" s="150">
        <v>46166.0</v>
      </c>
      <c r="T1699" s="103"/>
      <c r="U1699" s="90" t="s">
        <v>31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1">
        <v>1694.0</v>
      </c>
      <c r="B1700" s="141" t="s">
        <v>2976</v>
      </c>
      <c r="C1700" s="82" t="str">
        <f>VLOOKUP($B$7:$B$5000,SUM!$L$6:$L$500,1,FALSE)</f>
        <v>#N/A</v>
      </c>
      <c r="D1700" s="171" t="s">
        <v>2944</v>
      </c>
      <c r="E1700" s="165" t="s">
        <v>58</v>
      </c>
      <c r="F1700" s="81" t="s">
        <v>105</v>
      </c>
      <c r="G1700" s="125" t="s">
        <v>2973</v>
      </c>
      <c r="H1700" s="81" t="s">
        <v>2974</v>
      </c>
      <c r="I1700" s="149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2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1">
        <v>1695.0</v>
      </c>
      <c r="B1701" s="141" t="s">
        <v>2978</v>
      </c>
      <c r="C1701" s="82" t="str">
        <f>VLOOKUP($B$7:$B$5000,SUM!$L$6:$L$500,1,FALSE)</f>
        <v>#N/A</v>
      </c>
      <c r="D1701" s="171" t="s">
        <v>2944</v>
      </c>
      <c r="E1701" s="165" t="s">
        <v>58</v>
      </c>
      <c r="F1701" s="81" t="s">
        <v>105</v>
      </c>
      <c r="G1701" s="125" t="s">
        <v>2973</v>
      </c>
      <c r="H1701" s="81" t="s">
        <v>2974</v>
      </c>
      <c r="I1701" s="149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2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1">
        <v>1696.0</v>
      </c>
      <c r="B1702" s="141" t="s">
        <v>2980</v>
      </c>
      <c r="C1702" s="82" t="str">
        <f>VLOOKUP($B$7:$B$5000,SUM!$L$6:$L$500,1,FALSE)</f>
        <v>#N/A</v>
      </c>
      <c r="D1702" s="171" t="s">
        <v>2944</v>
      </c>
      <c r="E1702" s="165" t="s">
        <v>58</v>
      </c>
      <c r="F1702" s="81" t="s">
        <v>105</v>
      </c>
      <c r="G1702" s="125" t="s">
        <v>2719</v>
      </c>
      <c r="H1702" s="81" t="s">
        <v>2981</v>
      </c>
      <c r="I1702" s="149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2">
        <v>46142.0</v>
      </c>
      <c r="O1702" s="103" t="s">
        <v>67</v>
      </c>
      <c r="P1702" s="103" t="s">
        <v>68</v>
      </c>
      <c r="Q1702" s="150">
        <v>46161.0</v>
      </c>
      <c r="R1702" s="103" t="s">
        <v>597</v>
      </c>
      <c r="S1702" s="104">
        <v>46166.0</v>
      </c>
      <c r="T1702" s="103"/>
      <c r="U1702" s="90" t="s">
        <v>31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1">
        <v>1697.0</v>
      </c>
      <c r="B1703" s="141" t="s">
        <v>2983</v>
      </c>
      <c r="C1703" s="82" t="str">
        <f>VLOOKUP($B$7:$B$5000,SUM!$L$6:$L$500,1,FALSE)</f>
        <v>#N/A</v>
      </c>
      <c r="D1703" s="171" t="s">
        <v>2944</v>
      </c>
      <c r="E1703" s="165" t="s">
        <v>58</v>
      </c>
      <c r="F1703" s="81" t="s">
        <v>105</v>
      </c>
      <c r="G1703" s="125" t="s">
        <v>2719</v>
      </c>
      <c r="H1703" s="81" t="s">
        <v>2981</v>
      </c>
      <c r="I1703" s="149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2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1">
        <v>1698.0</v>
      </c>
      <c r="B1704" s="141" t="s">
        <v>2985</v>
      </c>
      <c r="C1704" s="82" t="str">
        <f>VLOOKUP($B$7:$B$5000,SUM!$L$6:$L$500,1,FALSE)</f>
        <v>#N/A</v>
      </c>
      <c r="D1704" s="171" t="s">
        <v>2944</v>
      </c>
      <c r="E1704" s="165" t="s">
        <v>58</v>
      </c>
      <c r="F1704" s="81" t="s">
        <v>105</v>
      </c>
      <c r="G1704" s="125" t="s">
        <v>2719</v>
      </c>
      <c r="H1704" s="81" t="s">
        <v>2981</v>
      </c>
      <c r="I1704" s="149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2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1">
        <v>1699.0</v>
      </c>
      <c r="B1705" s="141" t="s">
        <v>2987</v>
      </c>
      <c r="C1705" s="82" t="str">
        <f>VLOOKUP($B$7:$B$5000,SUM!$L$6:$L$500,1,FALSE)</f>
        <v>#N/A</v>
      </c>
      <c r="D1705" s="171" t="s">
        <v>2944</v>
      </c>
      <c r="E1705" s="165" t="s">
        <v>58</v>
      </c>
      <c r="F1705" s="81" t="s">
        <v>105</v>
      </c>
      <c r="G1705" s="125" t="s">
        <v>2667</v>
      </c>
      <c r="H1705" s="81" t="s">
        <v>2988</v>
      </c>
      <c r="I1705" s="149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2">
        <v>46142.0</v>
      </c>
      <c r="O1705" s="103" t="s">
        <v>67</v>
      </c>
      <c r="P1705" s="103" t="s">
        <v>68</v>
      </c>
      <c r="Q1705" s="150">
        <v>46161.0</v>
      </c>
      <c r="R1705" s="103" t="s">
        <v>597</v>
      </c>
      <c r="S1705" s="104">
        <v>46166.0</v>
      </c>
      <c r="T1705" s="103"/>
      <c r="U1705" s="90" t="s">
        <v>31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1">
        <v>1700.0</v>
      </c>
      <c r="B1706" s="141" t="s">
        <v>2990</v>
      </c>
      <c r="C1706" s="82" t="str">
        <f>VLOOKUP($B$7:$B$5000,SUM!$L$6:$L$500,1,FALSE)</f>
        <v>#N/A</v>
      </c>
      <c r="D1706" s="171" t="s">
        <v>2944</v>
      </c>
      <c r="E1706" s="165" t="s">
        <v>58</v>
      </c>
      <c r="F1706" s="81" t="s">
        <v>105</v>
      </c>
      <c r="G1706" s="125" t="s">
        <v>2667</v>
      </c>
      <c r="H1706" s="81" t="s">
        <v>2988</v>
      </c>
      <c r="I1706" s="149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2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1">
        <v>1701.0</v>
      </c>
      <c r="B1707" s="141" t="s">
        <v>2992</v>
      </c>
      <c r="C1707" s="82" t="str">
        <f>VLOOKUP($B$7:$B$5000,SUM!$L$6:$L$500,1,FALSE)</f>
        <v>#N/A</v>
      </c>
      <c r="D1707" s="171" t="s">
        <v>2944</v>
      </c>
      <c r="E1707" s="165" t="s">
        <v>58</v>
      </c>
      <c r="F1707" s="81" t="s">
        <v>105</v>
      </c>
      <c r="G1707" s="125" t="s">
        <v>2667</v>
      </c>
      <c r="H1707" s="81" t="s">
        <v>2988</v>
      </c>
      <c r="I1707" s="149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2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1">
        <v>1702.0</v>
      </c>
      <c r="B1708" s="141" t="s">
        <v>2994</v>
      </c>
      <c r="C1708" s="82" t="str">
        <f>VLOOKUP($B$7:$B$5000,SUM!$L$6:$L$500,1,FALSE)</f>
        <v>#N/A</v>
      </c>
      <c r="D1708" s="171" t="s">
        <v>2944</v>
      </c>
      <c r="E1708" s="165" t="s">
        <v>58</v>
      </c>
      <c r="F1708" s="81" t="s">
        <v>105</v>
      </c>
      <c r="G1708" s="125" t="s">
        <v>2667</v>
      </c>
      <c r="H1708" s="81" t="s">
        <v>2995</v>
      </c>
      <c r="I1708" s="149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2">
        <v>46142.0</v>
      </c>
      <c r="O1708" s="103" t="s">
        <v>67</v>
      </c>
      <c r="P1708" s="103" t="s">
        <v>68</v>
      </c>
      <c r="Q1708" s="150">
        <v>46161.0</v>
      </c>
      <c r="R1708" s="103" t="s">
        <v>597</v>
      </c>
      <c r="S1708" s="104">
        <v>46166.0</v>
      </c>
      <c r="T1708" s="103"/>
      <c r="U1708" s="90" t="s">
        <v>31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1">
        <v>1703.0</v>
      </c>
      <c r="B1709" s="141" t="s">
        <v>2996</v>
      </c>
      <c r="C1709" s="82" t="str">
        <f>VLOOKUP($B$7:$B$5000,SUM!$L$6:$L$500,1,FALSE)</f>
        <v>#N/A</v>
      </c>
      <c r="D1709" s="171" t="s">
        <v>2944</v>
      </c>
      <c r="E1709" s="165" t="s">
        <v>58</v>
      </c>
      <c r="F1709" s="81" t="s">
        <v>105</v>
      </c>
      <c r="G1709" s="125" t="s">
        <v>2667</v>
      </c>
      <c r="H1709" s="81" t="s">
        <v>2995</v>
      </c>
      <c r="I1709" s="149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2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1">
        <v>1704.0</v>
      </c>
      <c r="B1710" s="141" t="s">
        <v>2997</v>
      </c>
      <c r="C1710" s="82" t="str">
        <f>VLOOKUP($B$7:$B$5000,SUM!$L$6:$L$500,1,FALSE)</f>
        <v>#N/A</v>
      </c>
      <c r="D1710" s="171" t="s">
        <v>2944</v>
      </c>
      <c r="E1710" s="165" t="s">
        <v>58</v>
      </c>
      <c r="F1710" s="81" t="s">
        <v>105</v>
      </c>
      <c r="G1710" s="125" t="s">
        <v>2667</v>
      </c>
      <c r="H1710" s="81" t="s">
        <v>2995</v>
      </c>
      <c r="I1710" s="149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2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1">
        <v>1705.0</v>
      </c>
      <c r="B1711" s="141" t="s">
        <v>2998</v>
      </c>
      <c r="C1711" s="82" t="str">
        <f>VLOOKUP($B$7:$B$5000,SUM!$L$6:$L$500,1,FALSE)</f>
        <v>#N/A</v>
      </c>
      <c r="D1711" s="171" t="s">
        <v>2999</v>
      </c>
      <c r="E1711" s="165" t="s">
        <v>58</v>
      </c>
      <c r="F1711" s="81" t="s">
        <v>2777</v>
      </c>
      <c r="G1711" s="176" t="s">
        <v>3000</v>
      </c>
      <c r="H1711" s="81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2">
        <v>46142.0</v>
      </c>
      <c r="O1711" s="103" t="s">
        <v>67</v>
      </c>
      <c r="P1711" s="103" t="s">
        <v>68</v>
      </c>
      <c r="Q1711" s="150">
        <v>46167.0</v>
      </c>
      <c r="R1711" s="103" t="s">
        <v>597</v>
      </c>
      <c r="S1711" s="150">
        <v>46168.0</v>
      </c>
      <c r="T1711" s="103"/>
      <c r="U1711" s="90" t="s">
        <v>31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1">
        <v>1706.0</v>
      </c>
      <c r="B1712" s="141" t="s">
        <v>3002</v>
      </c>
      <c r="C1712" s="82" t="str">
        <f>VLOOKUP($B$7:$B$5000,SUM!$L$6:$L$500,1,FALSE)</f>
        <v>#N/A</v>
      </c>
      <c r="D1712" s="171" t="s">
        <v>2999</v>
      </c>
      <c r="E1712" s="165" t="s">
        <v>58</v>
      </c>
      <c r="F1712" s="81" t="s">
        <v>2777</v>
      </c>
      <c r="G1712" s="176" t="s">
        <v>3003</v>
      </c>
      <c r="H1712" s="81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2">
        <v>46142.0</v>
      </c>
      <c r="O1712" s="103" t="s">
        <v>67</v>
      </c>
      <c r="P1712" s="103" t="s">
        <v>68</v>
      </c>
      <c r="Q1712" s="150">
        <v>46167.0</v>
      </c>
      <c r="R1712" s="103" t="s">
        <v>597</v>
      </c>
      <c r="S1712" s="150">
        <v>46168.0</v>
      </c>
      <c r="T1712" s="103"/>
      <c r="U1712" s="90" t="s">
        <v>31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1">
        <v>1707.0</v>
      </c>
      <c r="B1713" s="141" t="s">
        <v>3005</v>
      </c>
      <c r="C1713" s="82" t="str">
        <f>VLOOKUP($B$7:$B$5000,SUM!$L$6:$L$500,1,FALSE)</f>
        <v>#N/A</v>
      </c>
      <c r="D1713" s="171" t="s">
        <v>2999</v>
      </c>
      <c r="E1713" s="165" t="s">
        <v>58</v>
      </c>
      <c r="F1713" s="81" t="s">
        <v>2777</v>
      </c>
      <c r="G1713" s="176" t="s">
        <v>3006</v>
      </c>
      <c r="H1713" s="81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2">
        <v>46142.0</v>
      </c>
      <c r="O1713" s="103" t="s">
        <v>67</v>
      </c>
      <c r="P1713" s="103" t="s">
        <v>68</v>
      </c>
      <c r="Q1713" s="150">
        <v>46167.0</v>
      </c>
      <c r="R1713" s="103" t="s">
        <v>597</v>
      </c>
      <c r="S1713" s="150">
        <v>46168.0</v>
      </c>
      <c r="T1713" s="103"/>
      <c r="U1713" s="90" t="s">
        <v>31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1">
        <v>1708.0</v>
      </c>
      <c r="B1714" s="141" t="s">
        <v>3008</v>
      </c>
      <c r="C1714" s="82" t="str">
        <f>VLOOKUP($B$7:$B$5000,SUM!$L$6:$L$500,1,FALSE)</f>
        <v>#N/A</v>
      </c>
      <c r="D1714" s="171" t="s">
        <v>2999</v>
      </c>
      <c r="E1714" s="165" t="s">
        <v>58</v>
      </c>
      <c r="F1714" s="81" t="s">
        <v>2777</v>
      </c>
      <c r="G1714" s="176" t="s">
        <v>3009</v>
      </c>
      <c r="H1714" s="81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2">
        <v>46142.0</v>
      </c>
      <c r="O1714" s="103" t="s">
        <v>67</v>
      </c>
      <c r="P1714" s="103" t="s">
        <v>68</v>
      </c>
      <c r="Q1714" s="157">
        <v>46170.0</v>
      </c>
      <c r="R1714" s="90" t="s">
        <v>66</v>
      </c>
      <c r="S1714" s="152">
        <v>46171.0</v>
      </c>
      <c r="T1714" s="103"/>
      <c r="U1714" s="97" t="s">
        <v>31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1">
        <v>1709.0</v>
      </c>
      <c r="B1715" s="141" t="s">
        <v>3011</v>
      </c>
      <c r="C1715" s="82" t="str">
        <f>VLOOKUP($B$7:$B$5000,SUM!$L$6:$L$500,1,FALSE)</f>
        <v>#N/A</v>
      </c>
      <c r="D1715" s="171" t="s">
        <v>2999</v>
      </c>
      <c r="E1715" s="165" t="s">
        <v>58</v>
      </c>
      <c r="F1715" s="81" t="s">
        <v>2777</v>
      </c>
      <c r="G1715" s="176" t="s">
        <v>3009</v>
      </c>
      <c r="H1715" s="81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2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1">
        <v>1710.0</v>
      </c>
      <c r="B1716" s="141" t="s">
        <v>3013</v>
      </c>
      <c r="C1716" s="82" t="str">
        <f>VLOOKUP($B$7:$B$5000,SUM!$L$6:$L$500,1,FALSE)</f>
        <v>#N/A</v>
      </c>
      <c r="D1716" s="171" t="s">
        <v>2999</v>
      </c>
      <c r="E1716" s="165" t="s">
        <v>58</v>
      </c>
      <c r="F1716" s="81" t="s">
        <v>2777</v>
      </c>
      <c r="G1716" s="176" t="s">
        <v>3009</v>
      </c>
      <c r="H1716" s="81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2">
        <v>46142.0</v>
      </c>
      <c r="O1716" s="103" t="s">
        <v>67</v>
      </c>
      <c r="P1716" s="103" t="s">
        <v>68</v>
      </c>
      <c r="Q1716" s="154" t="s">
        <v>791</v>
      </c>
      <c r="R1716" s="154" t="s">
        <v>66</v>
      </c>
      <c r="S1716" s="173">
        <v>46189.0</v>
      </c>
      <c r="T1716" s="156"/>
      <c r="U1716" s="154" t="s">
        <v>31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1">
        <v>1711.0</v>
      </c>
      <c r="B1717" s="141" t="s">
        <v>3015</v>
      </c>
      <c r="C1717" s="82" t="str">
        <f>VLOOKUP($B$7:$B$5000,SUM!$L$6:$L$500,1,FALSE)</f>
        <v>#N/A</v>
      </c>
      <c r="D1717" s="171" t="s">
        <v>2999</v>
      </c>
      <c r="E1717" s="165" t="s">
        <v>58</v>
      </c>
      <c r="F1717" s="81" t="s">
        <v>2777</v>
      </c>
      <c r="G1717" s="176" t="s">
        <v>3016</v>
      </c>
      <c r="H1717" s="81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2">
        <v>46142.0</v>
      </c>
      <c r="O1717" s="103" t="s">
        <v>67</v>
      </c>
      <c r="P1717" s="103" t="s">
        <v>68</v>
      </c>
      <c r="Q1717" s="150">
        <v>46167.0</v>
      </c>
      <c r="R1717" s="103" t="s">
        <v>597</v>
      </c>
      <c r="S1717" s="150">
        <v>46168.0</v>
      </c>
      <c r="T1717" s="103"/>
      <c r="U1717" s="90" t="s">
        <v>31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1">
        <v>1712.0</v>
      </c>
      <c r="B1718" s="141" t="s">
        <v>3018</v>
      </c>
      <c r="C1718" s="82" t="str">
        <f>VLOOKUP($B$7:$B$5000,SUM!$L$6:$L$500,1,FALSE)</f>
        <v>#N/A</v>
      </c>
      <c r="D1718" s="171" t="s">
        <v>2999</v>
      </c>
      <c r="E1718" s="165" t="s">
        <v>58</v>
      </c>
      <c r="F1718" s="81" t="s">
        <v>2777</v>
      </c>
      <c r="G1718" s="176" t="s">
        <v>3016</v>
      </c>
      <c r="H1718" s="81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2">
        <v>46142.0</v>
      </c>
      <c r="O1718" s="103" t="s">
        <v>67</v>
      </c>
      <c r="P1718" s="103" t="s">
        <v>68</v>
      </c>
      <c r="Q1718" s="150">
        <v>46167.0</v>
      </c>
      <c r="R1718" s="103" t="s">
        <v>597</v>
      </c>
      <c r="S1718" s="150">
        <v>46168.0</v>
      </c>
      <c r="T1718" s="103"/>
      <c r="U1718" s="90" t="s">
        <v>31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1">
        <v>1713.0</v>
      </c>
      <c r="B1719" s="141" t="s">
        <v>3020</v>
      </c>
      <c r="C1719" s="82" t="str">
        <f>VLOOKUP($B$7:$B$5000,SUM!$L$6:$L$500,1,FALSE)</f>
        <v>#N/A</v>
      </c>
      <c r="D1719" s="171" t="s">
        <v>2999</v>
      </c>
      <c r="E1719" s="165" t="s">
        <v>58</v>
      </c>
      <c r="F1719" s="81" t="s">
        <v>2777</v>
      </c>
      <c r="G1719" s="176" t="s">
        <v>3016</v>
      </c>
      <c r="H1719" s="81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2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1">
        <v>1714.0</v>
      </c>
      <c r="B1720" s="141" t="s">
        <v>3022</v>
      </c>
      <c r="C1720" s="82" t="str">
        <f>VLOOKUP($B$7:$B$5000,SUM!$L$6:$L$500,1,FALSE)</f>
        <v>#N/A</v>
      </c>
      <c r="D1720" s="171" t="s">
        <v>2999</v>
      </c>
      <c r="E1720" s="165" t="s">
        <v>58</v>
      </c>
      <c r="F1720" s="81" t="s">
        <v>2777</v>
      </c>
      <c r="G1720" s="176" t="s">
        <v>3023</v>
      </c>
      <c r="H1720" s="81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2">
        <v>46142.0</v>
      </c>
      <c r="O1720" s="103" t="s">
        <v>67</v>
      </c>
      <c r="P1720" s="103" t="s">
        <v>68</v>
      </c>
      <c r="Q1720" s="157">
        <v>46170.0</v>
      </c>
      <c r="R1720" s="90" t="s">
        <v>66</v>
      </c>
      <c r="S1720" s="152">
        <v>46171.0</v>
      </c>
      <c r="T1720" s="103"/>
      <c r="U1720" s="97" t="s">
        <v>31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1">
        <v>1715.0</v>
      </c>
      <c r="B1721" s="141" t="s">
        <v>3025</v>
      </c>
      <c r="C1721" s="82" t="str">
        <f>VLOOKUP($B$7:$B$5000,SUM!$L$6:$L$500,1,FALSE)</f>
        <v>#N/A</v>
      </c>
      <c r="D1721" s="171" t="s">
        <v>2999</v>
      </c>
      <c r="E1721" s="165" t="s">
        <v>58</v>
      </c>
      <c r="F1721" s="81" t="s">
        <v>2777</v>
      </c>
      <c r="G1721" s="176" t="s">
        <v>3023</v>
      </c>
      <c r="H1721" s="81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2">
        <v>46142.0</v>
      </c>
      <c r="O1721" s="103" t="s">
        <v>67</v>
      </c>
      <c r="P1721" s="103" t="s">
        <v>68</v>
      </c>
      <c r="Q1721" s="159">
        <v>46171.0</v>
      </c>
      <c r="R1721" s="148" t="s">
        <v>66</v>
      </c>
      <c r="S1721" s="152">
        <v>46173.0</v>
      </c>
      <c r="T1721" s="103"/>
      <c r="U1721" s="97" t="s">
        <v>31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1">
        <v>1716.0</v>
      </c>
      <c r="B1722" s="141" t="s">
        <v>3027</v>
      </c>
      <c r="C1722" s="82" t="str">
        <f>VLOOKUP($B$7:$B$5000,SUM!$L$6:$L$500,1,FALSE)</f>
        <v>#N/A</v>
      </c>
      <c r="D1722" s="171" t="s">
        <v>2999</v>
      </c>
      <c r="E1722" s="165" t="s">
        <v>58</v>
      </c>
      <c r="F1722" s="81" t="s">
        <v>2777</v>
      </c>
      <c r="G1722" s="176" t="s">
        <v>3023</v>
      </c>
      <c r="H1722" s="81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2">
        <v>46142.0</v>
      </c>
      <c r="O1722" s="103" t="s">
        <v>67</v>
      </c>
      <c r="P1722" s="103" t="s">
        <v>68</v>
      </c>
      <c r="Q1722" s="151">
        <v>46168.0</v>
      </c>
      <c r="R1722" s="107" t="s">
        <v>66</v>
      </c>
      <c r="S1722" s="152">
        <v>46171.0</v>
      </c>
      <c r="T1722" s="103"/>
      <c r="U1722" s="97" t="s">
        <v>31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1">
        <v>1717.0</v>
      </c>
      <c r="B1723" s="141" t="s">
        <v>3029</v>
      </c>
      <c r="C1723" s="82" t="str">
        <f>VLOOKUP($B$7:$B$5000,SUM!$L$6:$L$500,1,FALSE)</f>
        <v>#N/A</v>
      </c>
      <c r="D1723" s="171" t="s">
        <v>2999</v>
      </c>
      <c r="E1723" s="165" t="s">
        <v>58</v>
      </c>
      <c r="F1723" s="81" t="s">
        <v>2777</v>
      </c>
      <c r="G1723" s="176" t="s">
        <v>3023</v>
      </c>
      <c r="H1723" s="81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2">
        <v>46142.0</v>
      </c>
      <c r="O1723" s="103" t="s">
        <v>67</v>
      </c>
      <c r="P1723" s="103" t="s">
        <v>68</v>
      </c>
      <c r="Q1723" s="151">
        <v>46168.0</v>
      </c>
      <c r="R1723" s="107" t="s">
        <v>66</v>
      </c>
      <c r="S1723" s="152">
        <v>46171.0</v>
      </c>
      <c r="T1723" s="103"/>
      <c r="U1723" s="97" t="s">
        <v>31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1">
        <v>1718.0</v>
      </c>
      <c r="B1724" s="141" t="s">
        <v>3031</v>
      </c>
      <c r="C1724" s="82" t="str">
        <f>VLOOKUP($B$7:$B$5000,SUM!$L$6:$L$500,1,FALSE)</f>
        <v>#N/A</v>
      </c>
      <c r="D1724" s="171" t="s">
        <v>2999</v>
      </c>
      <c r="E1724" s="165" t="s">
        <v>58</v>
      </c>
      <c r="F1724" s="81" t="s">
        <v>2777</v>
      </c>
      <c r="G1724" s="176" t="s">
        <v>3023</v>
      </c>
      <c r="H1724" s="81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2">
        <v>46142.0</v>
      </c>
      <c r="O1724" s="103" t="s">
        <v>67</v>
      </c>
      <c r="P1724" s="103" t="s">
        <v>68</v>
      </c>
      <c r="Q1724" s="151">
        <v>46168.0</v>
      </c>
      <c r="R1724" s="107" t="s">
        <v>66</v>
      </c>
      <c r="S1724" s="152">
        <v>46171.0</v>
      </c>
      <c r="T1724" s="103"/>
      <c r="U1724" s="97" t="s">
        <v>31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1">
        <v>1719.0</v>
      </c>
      <c r="B1725" s="141" t="s">
        <v>3033</v>
      </c>
      <c r="C1725" s="82" t="str">
        <f>VLOOKUP($B$7:$B$5000,SUM!$L$6:$L$500,1,FALSE)</f>
        <v>#N/A</v>
      </c>
      <c r="D1725" s="171" t="s">
        <v>2999</v>
      </c>
      <c r="E1725" s="165" t="s">
        <v>58</v>
      </c>
      <c r="F1725" s="81" t="s">
        <v>2777</v>
      </c>
      <c r="G1725" s="176" t="s">
        <v>3023</v>
      </c>
      <c r="H1725" s="81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2">
        <v>46142.0</v>
      </c>
      <c r="O1725" s="103" t="s">
        <v>67</v>
      </c>
      <c r="P1725" s="103" t="s">
        <v>68</v>
      </c>
      <c r="Q1725" s="154" t="s">
        <v>791</v>
      </c>
      <c r="R1725" s="154" t="s">
        <v>66</v>
      </c>
      <c r="S1725" s="173">
        <v>46189.0</v>
      </c>
      <c r="T1725" s="156"/>
      <c r="U1725" s="154" t="s">
        <v>31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1">
        <v>1720.0</v>
      </c>
      <c r="B1726" s="141" t="s">
        <v>3035</v>
      </c>
      <c r="C1726" s="82" t="str">
        <f>VLOOKUP($B$7:$B$5000,SUM!$L$6:$L$500,1,FALSE)</f>
        <v>#N/A</v>
      </c>
      <c r="D1726" s="171" t="s">
        <v>2999</v>
      </c>
      <c r="E1726" s="165" t="s">
        <v>58</v>
      </c>
      <c r="F1726" s="81" t="s">
        <v>2777</v>
      </c>
      <c r="G1726" s="176" t="s">
        <v>3023</v>
      </c>
      <c r="H1726" s="81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2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1">
        <v>1721.0</v>
      </c>
      <c r="B1727" s="141" t="s">
        <v>3036</v>
      </c>
      <c r="C1727" s="82" t="str">
        <f>VLOOKUP($B$7:$B$5000,SUM!$L$6:$L$500,1,FALSE)</f>
        <v>#N/A</v>
      </c>
      <c r="D1727" s="171" t="s">
        <v>2999</v>
      </c>
      <c r="E1727" s="165" t="s">
        <v>58</v>
      </c>
      <c r="F1727" s="81" t="s">
        <v>2777</v>
      </c>
      <c r="G1727" s="176" t="s">
        <v>3016</v>
      </c>
      <c r="H1727" s="81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2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1">
        <v>1722.0</v>
      </c>
      <c r="B1728" s="141" t="s">
        <v>3038</v>
      </c>
      <c r="C1728" s="82" t="str">
        <f>VLOOKUP($B$7:$B$5000,SUM!$L$6:$L$500,1,FALSE)</f>
        <v>#N/A</v>
      </c>
      <c r="D1728" s="171" t="s">
        <v>2999</v>
      </c>
      <c r="E1728" s="165" t="s">
        <v>58</v>
      </c>
      <c r="F1728" s="81" t="s">
        <v>2777</v>
      </c>
      <c r="G1728" s="176" t="s">
        <v>3016</v>
      </c>
      <c r="H1728" s="81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2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1">
        <v>1723.0</v>
      </c>
      <c r="B1729" s="141" t="s">
        <v>3040</v>
      </c>
      <c r="C1729" s="82" t="str">
        <f>VLOOKUP($B$7:$B$5000,SUM!$L$6:$L$500,1,FALSE)</f>
        <v>#N/A</v>
      </c>
      <c r="D1729" s="171" t="s">
        <v>2999</v>
      </c>
      <c r="E1729" s="165" t="s">
        <v>58</v>
      </c>
      <c r="F1729" s="81" t="s">
        <v>2777</v>
      </c>
      <c r="G1729" s="176" t="s">
        <v>3016</v>
      </c>
      <c r="H1729" s="81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2">
        <v>46142.0</v>
      </c>
      <c r="O1729" s="103" t="s">
        <v>67</v>
      </c>
      <c r="P1729" s="103" t="s">
        <v>68</v>
      </c>
      <c r="Q1729" s="150">
        <v>46167.0</v>
      </c>
      <c r="R1729" s="103" t="s">
        <v>597</v>
      </c>
      <c r="S1729" s="150">
        <v>46168.0</v>
      </c>
      <c r="T1729" s="103"/>
      <c r="U1729" s="90" t="s">
        <v>31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1">
        <v>1724.0</v>
      </c>
      <c r="B1730" s="141" t="s">
        <v>3042</v>
      </c>
      <c r="C1730" s="82" t="str">
        <f>VLOOKUP($B$7:$B$5000,SUM!$L$6:$L$500,1,FALSE)</f>
        <v>#N/A</v>
      </c>
      <c r="D1730" s="171" t="s">
        <v>2999</v>
      </c>
      <c r="E1730" s="165" t="s">
        <v>58</v>
      </c>
      <c r="F1730" s="81" t="s">
        <v>2777</v>
      </c>
      <c r="G1730" s="176" t="s">
        <v>3016</v>
      </c>
      <c r="H1730" s="81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2">
        <v>46142.0</v>
      </c>
      <c r="O1730" s="103" t="s">
        <v>67</v>
      </c>
      <c r="P1730" s="103" t="s">
        <v>68</v>
      </c>
      <c r="Q1730" s="153">
        <v>46169.0</v>
      </c>
      <c r="R1730" s="154" t="s">
        <v>66</v>
      </c>
      <c r="S1730" s="155">
        <v>46188.0</v>
      </c>
      <c r="T1730" s="156"/>
      <c r="U1730" s="154" t="s">
        <v>31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1">
        <v>1725.0</v>
      </c>
      <c r="B1731" s="141" t="s">
        <v>3044</v>
      </c>
      <c r="C1731" s="82" t="str">
        <f>VLOOKUP($B$7:$B$5000,SUM!$L$6:$L$500,1,FALSE)</f>
        <v>#N/A</v>
      </c>
      <c r="D1731" s="171" t="s">
        <v>2999</v>
      </c>
      <c r="E1731" s="165" t="s">
        <v>58</v>
      </c>
      <c r="F1731" s="81" t="s">
        <v>2777</v>
      </c>
      <c r="G1731" s="176" t="s">
        <v>3016</v>
      </c>
      <c r="H1731" s="81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2">
        <v>46142.0</v>
      </c>
      <c r="O1731" s="103" t="s">
        <v>67</v>
      </c>
      <c r="P1731" s="103" t="s">
        <v>68</v>
      </c>
      <c r="Q1731" s="153">
        <v>46169.0</v>
      </c>
      <c r="R1731" s="154" t="s">
        <v>66</v>
      </c>
      <c r="S1731" s="155">
        <v>46188.0</v>
      </c>
      <c r="T1731" s="156"/>
      <c r="U1731" s="154" t="s">
        <v>31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1">
        <v>1726.0</v>
      </c>
      <c r="B1732" s="141" t="s">
        <v>3046</v>
      </c>
      <c r="C1732" s="82" t="str">
        <f>VLOOKUP($B$7:$B$5000,SUM!$L$6:$L$500,1,FALSE)</f>
        <v>#N/A</v>
      </c>
      <c r="D1732" s="171" t="s">
        <v>2999</v>
      </c>
      <c r="E1732" s="165" t="s">
        <v>58</v>
      </c>
      <c r="F1732" s="81" t="s">
        <v>2777</v>
      </c>
      <c r="G1732" s="176" t="s">
        <v>3016</v>
      </c>
      <c r="H1732" s="81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2">
        <v>46142.0</v>
      </c>
      <c r="O1732" s="103" t="s">
        <v>67</v>
      </c>
      <c r="P1732" s="103" t="s">
        <v>68</v>
      </c>
      <c r="Q1732" s="153">
        <v>46169.0</v>
      </c>
      <c r="R1732" s="154" t="s">
        <v>66</v>
      </c>
      <c r="S1732" s="155">
        <v>46188.0</v>
      </c>
      <c r="T1732" s="156"/>
      <c r="U1732" s="154" t="s">
        <v>31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1">
        <v>1727.0</v>
      </c>
      <c r="B1733" s="141" t="s">
        <v>3048</v>
      </c>
      <c r="C1733" s="82" t="str">
        <f>VLOOKUP($B$7:$B$5000,SUM!$L$6:$L$500,1,FALSE)</f>
        <v>#N/A</v>
      </c>
      <c r="D1733" s="171" t="s">
        <v>2999</v>
      </c>
      <c r="E1733" s="165" t="s">
        <v>58</v>
      </c>
      <c r="F1733" s="81" t="s">
        <v>2777</v>
      </c>
      <c r="G1733" s="176" t="s">
        <v>3016</v>
      </c>
      <c r="H1733" s="81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2">
        <v>46142.0</v>
      </c>
      <c r="O1733" s="103" t="s">
        <v>67</v>
      </c>
      <c r="P1733" s="103" t="s">
        <v>68</v>
      </c>
      <c r="Q1733" s="153">
        <v>46169.0</v>
      </c>
      <c r="R1733" s="154" t="s">
        <v>66</v>
      </c>
      <c r="S1733" s="155">
        <v>46188.0</v>
      </c>
      <c r="T1733" s="156"/>
      <c r="U1733" s="154" t="s">
        <v>31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1">
        <v>1728.0</v>
      </c>
      <c r="B1734" s="141" t="s">
        <v>3050</v>
      </c>
      <c r="C1734" s="82" t="str">
        <f>VLOOKUP($B$7:$B$5000,SUM!$L$6:$L$500,1,FALSE)</f>
        <v>#N/A</v>
      </c>
      <c r="D1734" s="171" t="s">
        <v>2999</v>
      </c>
      <c r="E1734" s="165" t="s">
        <v>58</v>
      </c>
      <c r="F1734" s="81" t="s">
        <v>2777</v>
      </c>
      <c r="G1734" s="176" t="s">
        <v>3016</v>
      </c>
      <c r="H1734" s="81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2">
        <v>46142.0</v>
      </c>
      <c r="O1734" s="103" t="s">
        <v>67</v>
      </c>
      <c r="P1734" s="103" t="s">
        <v>68</v>
      </c>
      <c r="Q1734" s="153">
        <v>46169.0</v>
      </c>
      <c r="R1734" s="154" t="s">
        <v>66</v>
      </c>
      <c r="S1734" s="155">
        <v>46188.0</v>
      </c>
      <c r="T1734" s="156"/>
      <c r="U1734" s="154" t="s">
        <v>31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1">
        <v>1729.0</v>
      </c>
      <c r="B1735" s="141" t="s">
        <v>3052</v>
      </c>
      <c r="C1735" s="82" t="str">
        <f>VLOOKUP($B$7:$B$5000,SUM!$L$6:$L$500,1,FALSE)</f>
        <v>#N/A</v>
      </c>
      <c r="D1735" s="171" t="s">
        <v>2999</v>
      </c>
      <c r="E1735" s="165" t="s">
        <v>58</v>
      </c>
      <c r="F1735" s="81" t="s">
        <v>2777</v>
      </c>
      <c r="G1735" s="176" t="s">
        <v>3016</v>
      </c>
      <c r="H1735" s="81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2">
        <v>46142.0</v>
      </c>
      <c r="O1735" s="103" t="s">
        <v>67</v>
      </c>
      <c r="P1735" s="103" t="s">
        <v>68</v>
      </c>
      <c r="Q1735" s="153">
        <v>46169.0</v>
      </c>
      <c r="R1735" s="154" t="s">
        <v>66</v>
      </c>
      <c r="S1735" s="155">
        <v>46188.0</v>
      </c>
      <c r="T1735" s="156"/>
      <c r="U1735" s="154" t="s">
        <v>31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1">
        <v>1730.0</v>
      </c>
      <c r="B1736" s="141" t="s">
        <v>3054</v>
      </c>
      <c r="C1736" s="82" t="str">
        <f>VLOOKUP($B$7:$B$5000,SUM!$L$6:$L$500,1,FALSE)</f>
        <v>#N/A</v>
      </c>
      <c r="D1736" s="171" t="s">
        <v>2999</v>
      </c>
      <c r="E1736" s="165" t="s">
        <v>58</v>
      </c>
      <c r="F1736" s="81" t="s">
        <v>2777</v>
      </c>
      <c r="G1736" s="176" t="s">
        <v>3006</v>
      </c>
      <c r="H1736" s="81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2">
        <v>46142.0</v>
      </c>
      <c r="O1736" s="103" t="s">
        <v>67</v>
      </c>
      <c r="P1736" s="103" t="s">
        <v>68</v>
      </c>
      <c r="Q1736" s="153">
        <v>46169.0</v>
      </c>
      <c r="R1736" s="154" t="s">
        <v>66</v>
      </c>
      <c r="S1736" s="155">
        <v>46188.0</v>
      </c>
      <c r="T1736" s="156"/>
      <c r="U1736" s="154" t="s">
        <v>31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1">
        <v>1731.0</v>
      </c>
      <c r="B1737" s="141" t="s">
        <v>3056</v>
      </c>
      <c r="C1737" s="82" t="str">
        <f>VLOOKUP($B$7:$B$5000,SUM!$L$6:$L$500,1,FALSE)</f>
        <v>#N/A</v>
      </c>
      <c r="D1737" s="171" t="s">
        <v>2999</v>
      </c>
      <c r="E1737" s="165" t="s">
        <v>58</v>
      </c>
      <c r="F1737" s="81" t="s">
        <v>2777</v>
      </c>
      <c r="G1737" s="176" t="s">
        <v>3000</v>
      </c>
      <c r="H1737" s="81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2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1">
        <v>1732.0</v>
      </c>
      <c r="B1738" s="141" t="s">
        <v>3057</v>
      </c>
      <c r="C1738" s="82" t="str">
        <f>VLOOKUP($B$7:$B$5000,SUM!$L$6:$L$500,1,FALSE)</f>
        <v>#N/A</v>
      </c>
      <c r="D1738" s="171" t="s">
        <v>2999</v>
      </c>
      <c r="E1738" s="165" t="s">
        <v>58</v>
      </c>
      <c r="F1738" s="81" t="s">
        <v>2777</v>
      </c>
      <c r="G1738" s="176" t="s">
        <v>3003</v>
      </c>
      <c r="H1738" s="81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2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1">
        <v>1733.0</v>
      </c>
      <c r="B1739" s="141" t="s">
        <v>3058</v>
      </c>
      <c r="C1739" s="82" t="str">
        <f>VLOOKUP($B$7:$B$5000,SUM!$L$6:$L$500,1,FALSE)</f>
        <v>#N/A</v>
      </c>
      <c r="D1739" s="171" t="s">
        <v>2999</v>
      </c>
      <c r="E1739" s="165" t="s">
        <v>58</v>
      </c>
      <c r="F1739" s="81" t="s">
        <v>2777</v>
      </c>
      <c r="G1739" s="176" t="s">
        <v>3006</v>
      </c>
      <c r="H1739" s="81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2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1">
        <v>1734.0</v>
      </c>
      <c r="B1740" s="141" t="s">
        <v>3059</v>
      </c>
      <c r="C1740" s="82" t="str">
        <f>VLOOKUP($B$7:$B$5000,SUM!$L$6:$L$500,1,FALSE)</f>
        <v>#N/A</v>
      </c>
      <c r="D1740" s="171" t="s">
        <v>2999</v>
      </c>
      <c r="E1740" s="165" t="s">
        <v>58</v>
      </c>
      <c r="F1740" s="81" t="s">
        <v>2777</v>
      </c>
      <c r="G1740" s="176" t="s">
        <v>3009</v>
      </c>
      <c r="H1740" s="81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2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1">
        <v>1735.0</v>
      </c>
      <c r="B1741" s="141" t="s">
        <v>3060</v>
      </c>
      <c r="C1741" s="82" t="str">
        <f>VLOOKUP($B$7:$B$5000,SUM!$L$6:$L$500,1,FALSE)</f>
        <v>#N/A</v>
      </c>
      <c r="D1741" s="171" t="s">
        <v>2999</v>
      </c>
      <c r="E1741" s="165" t="s">
        <v>58</v>
      </c>
      <c r="F1741" s="81" t="s">
        <v>2777</v>
      </c>
      <c r="G1741" s="176" t="s">
        <v>3009</v>
      </c>
      <c r="H1741" s="81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2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1">
        <v>1736.0</v>
      </c>
      <c r="B1742" s="141" t="s">
        <v>3061</v>
      </c>
      <c r="C1742" s="82" t="str">
        <f>VLOOKUP($B$7:$B$5000,SUM!$L$6:$L$500,1,FALSE)</f>
        <v>#N/A</v>
      </c>
      <c r="D1742" s="171" t="s">
        <v>2999</v>
      </c>
      <c r="E1742" s="165" t="s">
        <v>58</v>
      </c>
      <c r="F1742" s="81" t="s">
        <v>2777</v>
      </c>
      <c r="G1742" s="176" t="s">
        <v>3009</v>
      </c>
      <c r="H1742" s="81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2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1">
        <v>1737.0</v>
      </c>
      <c r="B1743" s="141" t="s">
        <v>3062</v>
      </c>
      <c r="C1743" s="82" t="str">
        <f>VLOOKUP($B$7:$B$5000,SUM!$L$6:$L$500,1,FALSE)</f>
        <v>#N/A</v>
      </c>
      <c r="D1743" s="171" t="s">
        <v>2999</v>
      </c>
      <c r="E1743" s="165" t="s">
        <v>58</v>
      </c>
      <c r="F1743" s="81" t="s">
        <v>2777</v>
      </c>
      <c r="G1743" s="176" t="s">
        <v>3016</v>
      </c>
      <c r="H1743" s="81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2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1">
        <v>1738.0</v>
      </c>
      <c r="B1744" s="141" t="s">
        <v>3063</v>
      </c>
      <c r="C1744" s="82" t="str">
        <f>VLOOKUP($B$7:$B$5000,SUM!$L$6:$L$500,1,FALSE)</f>
        <v>#N/A</v>
      </c>
      <c r="D1744" s="171" t="s">
        <v>2999</v>
      </c>
      <c r="E1744" s="165" t="s">
        <v>58</v>
      </c>
      <c r="F1744" s="81" t="s">
        <v>2777</v>
      </c>
      <c r="G1744" s="176" t="s">
        <v>3016</v>
      </c>
      <c r="H1744" s="81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2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1">
        <v>1739.0</v>
      </c>
      <c r="B1745" s="141" t="s">
        <v>3064</v>
      </c>
      <c r="C1745" s="82" t="str">
        <f>VLOOKUP($B$7:$B$5000,SUM!$L$6:$L$500,1,FALSE)</f>
        <v>#N/A</v>
      </c>
      <c r="D1745" s="171" t="s">
        <v>2999</v>
      </c>
      <c r="E1745" s="165" t="s">
        <v>58</v>
      </c>
      <c r="F1745" s="81" t="s">
        <v>2777</v>
      </c>
      <c r="G1745" s="176" t="s">
        <v>3016</v>
      </c>
      <c r="H1745" s="81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2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1">
        <v>1740.0</v>
      </c>
      <c r="B1746" s="141" t="s">
        <v>3065</v>
      </c>
      <c r="C1746" s="82" t="str">
        <f>VLOOKUP($B$7:$B$5000,SUM!$L$6:$L$500,1,FALSE)</f>
        <v>#N/A</v>
      </c>
      <c r="D1746" s="171" t="s">
        <v>2999</v>
      </c>
      <c r="E1746" s="165" t="s">
        <v>58</v>
      </c>
      <c r="F1746" s="81" t="s">
        <v>2777</v>
      </c>
      <c r="G1746" s="176" t="s">
        <v>3023</v>
      </c>
      <c r="H1746" s="81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2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1">
        <v>1741.0</v>
      </c>
      <c r="B1747" s="141" t="s">
        <v>3066</v>
      </c>
      <c r="C1747" s="82" t="str">
        <f>VLOOKUP($B$7:$B$5000,SUM!$L$6:$L$500,1,FALSE)</f>
        <v>#N/A</v>
      </c>
      <c r="D1747" s="171" t="s">
        <v>2999</v>
      </c>
      <c r="E1747" s="165" t="s">
        <v>58</v>
      </c>
      <c r="F1747" s="81" t="s">
        <v>2777</v>
      </c>
      <c r="G1747" s="176" t="s">
        <v>3023</v>
      </c>
      <c r="H1747" s="81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2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1">
        <v>1742.0</v>
      </c>
      <c r="B1748" s="141" t="s">
        <v>3067</v>
      </c>
      <c r="C1748" s="82" t="str">
        <f>VLOOKUP($B$7:$B$5000,SUM!$L$6:$L$500,1,FALSE)</f>
        <v>#N/A</v>
      </c>
      <c r="D1748" s="171" t="s">
        <v>2999</v>
      </c>
      <c r="E1748" s="165" t="s">
        <v>58</v>
      </c>
      <c r="F1748" s="81" t="s">
        <v>2777</v>
      </c>
      <c r="G1748" s="176" t="s">
        <v>3023</v>
      </c>
      <c r="H1748" s="81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2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1">
        <v>1743.0</v>
      </c>
      <c r="B1749" s="141" t="s">
        <v>3068</v>
      </c>
      <c r="C1749" s="82" t="str">
        <f>VLOOKUP($B$7:$B$5000,SUM!$L$6:$L$500,1,FALSE)</f>
        <v>#N/A</v>
      </c>
      <c r="D1749" s="171" t="s">
        <v>2999</v>
      </c>
      <c r="E1749" s="165" t="s">
        <v>58</v>
      </c>
      <c r="F1749" s="81" t="s">
        <v>2777</v>
      </c>
      <c r="G1749" s="176" t="s">
        <v>3023</v>
      </c>
      <c r="H1749" s="81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2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1">
        <v>1744.0</v>
      </c>
      <c r="B1750" s="141" t="s">
        <v>3069</v>
      </c>
      <c r="C1750" s="82" t="str">
        <f>VLOOKUP($B$7:$B$5000,SUM!$L$6:$L$500,1,FALSE)</f>
        <v>#N/A</v>
      </c>
      <c r="D1750" s="171" t="s">
        <v>2999</v>
      </c>
      <c r="E1750" s="165" t="s">
        <v>58</v>
      </c>
      <c r="F1750" s="81" t="s">
        <v>2777</v>
      </c>
      <c r="G1750" s="176" t="s">
        <v>3023</v>
      </c>
      <c r="H1750" s="81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2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1">
        <v>1745.0</v>
      </c>
      <c r="B1751" s="141" t="s">
        <v>3070</v>
      </c>
      <c r="C1751" s="82" t="str">
        <f>VLOOKUP($B$7:$B$5000,SUM!$L$6:$L$500,1,FALSE)</f>
        <v>#N/A</v>
      </c>
      <c r="D1751" s="171" t="s">
        <v>2999</v>
      </c>
      <c r="E1751" s="165" t="s">
        <v>58</v>
      </c>
      <c r="F1751" s="81" t="s">
        <v>2777</v>
      </c>
      <c r="G1751" s="176" t="s">
        <v>3023</v>
      </c>
      <c r="H1751" s="81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2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1">
        <v>1746.0</v>
      </c>
      <c r="B1752" s="141" t="s">
        <v>3071</v>
      </c>
      <c r="C1752" s="82" t="str">
        <f>VLOOKUP($B$7:$B$5000,SUM!$L$6:$L$500,1,FALSE)</f>
        <v>#N/A</v>
      </c>
      <c r="D1752" s="171" t="s">
        <v>2999</v>
      </c>
      <c r="E1752" s="165" t="s">
        <v>58</v>
      </c>
      <c r="F1752" s="81" t="s">
        <v>2777</v>
      </c>
      <c r="G1752" s="176" t="s">
        <v>3023</v>
      </c>
      <c r="H1752" s="81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2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1">
        <v>1747.0</v>
      </c>
      <c r="B1753" s="141" t="s">
        <v>3072</v>
      </c>
      <c r="C1753" s="82" t="str">
        <f>VLOOKUP($B$7:$B$5000,SUM!$L$6:$L$500,1,FALSE)</f>
        <v>#N/A</v>
      </c>
      <c r="D1753" s="171" t="s">
        <v>2999</v>
      </c>
      <c r="E1753" s="165" t="s">
        <v>58</v>
      </c>
      <c r="F1753" s="81" t="s">
        <v>2777</v>
      </c>
      <c r="G1753" s="176" t="s">
        <v>3016</v>
      </c>
      <c r="H1753" s="81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2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1">
        <v>1748.0</v>
      </c>
      <c r="B1754" s="141" t="s">
        <v>3073</v>
      </c>
      <c r="C1754" s="82" t="str">
        <f>VLOOKUP($B$7:$B$5000,SUM!$L$6:$L$500,1,FALSE)</f>
        <v>#N/A</v>
      </c>
      <c r="D1754" s="171" t="s">
        <v>2999</v>
      </c>
      <c r="E1754" s="165" t="s">
        <v>58</v>
      </c>
      <c r="F1754" s="81" t="s">
        <v>2777</v>
      </c>
      <c r="G1754" s="176" t="s">
        <v>3016</v>
      </c>
      <c r="H1754" s="81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2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1">
        <v>1749.0</v>
      </c>
      <c r="B1755" s="141" t="s">
        <v>3074</v>
      </c>
      <c r="C1755" s="82" t="str">
        <f>VLOOKUP($B$7:$B$5000,SUM!$L$6:$L$500,1,FALSE)</f>
        <v>#N/A</v>
      </c>
      <c r="D1755" s="171" t="s">
        <v>2999</v>
      </c>
      <c r="E1755" s="165" t="s">
        <v>58</v>
      </c>
      <c r="F1755" s="81" t="s">
        <v>2777</v>
      </c>
      <c r="G1755" s="176" t="s">
        <v>3016</v>
      </c>
      <c r="H1755" s="81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2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1">
        <v>1750.0</v>
      </c>
      <c r="B1756" s="141" t="s">
        <v>3075</v>
      </c>
      <c r="C1756" s="82" t="str">
        <f>VLOOKUP($B$7:$B$5000,SUM!$L$6:$L$500,1,FALSE)</f>
        <v>#N/A</v>
      </c>
      <c r="D1756" s="171" t="s">
        <v>2999</v>
      </c>
      <c r="E1756" s="165" t="s">
        <v>58</v>
      </c>
      <c r="F1756" s="81" t="s">
        <v>2777</v>
      </c>
      <c r="G1756" s="176" t="s">
        <v>3016</v>
      </c>
      <c r="H1756" s="81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2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1">
        <v>1751.0</v>
      </c>
      <c r="B1757" s="141" t="s">
        <v>3076</v>
      </c>
      <c r="C1757" s="82" t="str">
        <f>VLOOKUP($B$7:$B$5000,SUM!$L$6:$L$500,1,FALSE)</f>
        <v>#N/A</v>
      </c>
      <c r="D1757" s="171" t="s">
        <v>2999</v>
      </c>
      <c r="E1757" s="165" t="s">
        <v>58</v>
      </c>
      <c r="F1757" s="81" t="s">
        <v>2777</v>
      </c>
      <c r="G1757" s="176" t="s">
        <v>3016</v>
      </c>
      <c r="H1757" s="81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2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1">
        <v>1752.0</v>
      </c>
      <c r="B1758" s="141" t="s">
        <v>3077</v>
      </c>
      <c r="C1758" s="82" t="str">
        <f>VLOOKUP($B$7:$B$5000,SUM!$L$6:$L$500,1,FALSE)</f>
        <v>#N/A</v>
      </c>
      <c r="D1758" s="171" t="s">
        <v>2999</v>
      </c>
      <c r="E1758" s="165" t="s">
        <v>58</v>
      </c>
      <c r="F1758" s="81" t="s">
        <v>2777</v>
      </c>
      <c r="G1758" s="176" t="s">
        <v>3016</v>
      </c>
      <c r="H1758" s="81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2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1">
        <v>1753.0</v>
      </c>
      <c r="B1759" s="141" t="s">
        <v>3078</v>
      </c>
      <c r="C1759" s="82" t="str">
        <f>VLOOKUP($B$7:$B$5000,SUM!$L$6:$L$500,1,FALSE)</f>
        <v>#N/A</v>
      </c>
      <c r="D1759" s="171" t="s">
        <v>2999</v>
      </c>
      <c r="E1759" s="165" t="s">
        <v>58</v>
      </c>
      <c r="F1759" s="81" t="s">
        <v>2777</v>
      </c>
      <c r="G1759" s="176" t="s">
        <v>3016</v>
      </c>
      <c r="H1759" s="81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2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1">
        <v>1754.0</v>
      </c>
      <c r="B1760" s="141" t="s">
        <v>3079</v>
      </c>
      <c r="C1760" s="82" t="str">
        <f>VLOOKUP($B$7:$B$5000,SUM!$L$6:$L$500,1,FALSE)</f>
        <v>#N/A</v>
      </c>
      <c r="D1760" s="171" t="s">
        <v>2999</v>
      </c>
      <c r="E1760" s="165" t="s">
        <v>58</v>
      </c>
      <c r="F1760" s="81" t="s">
        <v>2777</v>
      </c>
      <c r="G1760" s="176" t="s">
        <v>3016</v>
      </c>
      <c r="H1760" s="81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2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1">
        <v>1755.0</v>
      </c>
      <c r="B1761" s="141" t="s">
        <v>3080</v>
      </c>
      <c r="C1761" s="82" t="str">
        <f>VLOOKUP($B$7:$B$5000,SUM!$L$6:$L$500,1,FALSE)</f>
        <v>#N/A</v>
      </c>
      <c r="D1761" s="171" t="s">
        <v>2999</v>
      </c>
      <c r="E1761" s="165" t="s">
        <v>58</v>
      </c>
      <c r="F1761" s="81" t="s">
        <v>2777</v>
      </c>
      <c r="G1761" s="176" t="s">
        <v>3016</v>
      </c>
      <c r="H1761" s="81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2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1">
        <v>1756.0</v>
      </c>
      <c r="B1762" s="141" t="s">
        <v>3081</v>
      </c>
      <c r="C1762" s="82" t="str">
        <f>VLOOKUP($B$7:$B$5000,SUM!$L$6:$L$500,1,FALSE)</f>
        <v>#N/A</v>
      </c>
      <c r="D1762" s="171" t="s">
        <v>2999</v>
      </c>
      <c r="E1762" s="165" t="s">
        <v>58</v>
      </c>
      <c r="F1762" s="81" t="s">
        <v>2777</v>
      </c>
      <c r="G1762" s="176" t="s">
        <v>3006</v>
      </c>
      <c r="H1762" s="81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2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1">
        <v>1757.0</v>
      </c>
      <c r="B1763" s="141" t="s">
        <v>3082</v>
      </c>
      <c r="C1763" s="82" t="str">
        <f>VLOOKUP($B$7:$B$5000,SUM!$L$6:$L$500,1,FALSE)</f>
        <v>#N/A</v>
      </c>
      <c r="D1763" s="171" t="s">
        <v>2999</v>
      </c>
      <c r="E1763" s="165" t="s">
        <v>58</v>
      </c>
      <c r="F1763" s="81" t="s">
        <v>2777</v>
      </c>
      <c r="G1763" s="176" t="s">
        <v>3009</v>
      </c>
      <c r="H1763" s="81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2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1">
        <v>1758.0</v>
      </c>
      <c r="B1764" s="141" t="s">
        <v>3084</v>
      </c>
      <c r="C1764" s="82" t="str">
        <f>VLOOKUP($B$7:$B$5000,SUM!$L$6:$L$500,1,FALSE)</f>
        <v>#N/A</v>
      </c>
      <c r="D1764" s="171" t="s">
        <v>2999</v>
      </c>
      <c r="E1764" s="165" t="s">
        <v>58</v>
      </c>
      <c r="F1764" s="81" t="s">
        <v>2777</v>
      </c>
      <c r="G1764" s="176" t="s">
        <v>3009</v>
      </c>
      <c r="H1764" s="81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2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1">
        <v>1759.0</v>
      </c>
      <c r="B1765" s="141" t="s">
        <v>3086</v>
      </c>
      <c r="C1765" s="82" t="str">
        <f>VLOOKUP($B$7:$B$5000,SUM!$L$6:$L$500,1,FALSE)</f>
        <v>#N/A</v>
      </c>
      <c r="D1765" s="171" t="s">
        <v>2999</v>
      </c>
      <c r="E1765" s="165" t="s">
        <v>58</v>
      </c>
      <c r="F1765" s="81" t="s">
        <v>2777</v>
      </c>
      <c r="G1765" s="176" t="s">
        <v>3009</v>
      </c>
      <c r="H1765" s="81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2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1">
        <v>1760.0</v>
      </c>
      <c r="B1766" s="141" t="s">
        <v>3088</v>
      </c>
      <c r="C1766" s="82" t="str">
        <f>VLOOKUP($B$7:$B$5000,SUM!$L$6:$L$500,1,FALSE)</f>
        <v>#N/A</v>
      </c>
      <c r="D1766" s="171" t="s">
        <v>2999</v>
      </c>
      <c r="E1766" s="165" t="s">
        <v>58</v>
      </c>
      <c r="F1766" s="81" t="s">
        <v>2777</v>
      </c>
      <c r="G1766" s="176" t="s">
        <v>3023</v>
      </c>
      <c r="H1766" s="81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2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1">
        <v>1761.0</v>
      </c>
      <c r="B1767" s="141" t="s">
        <v>3090</v>
      </c>
      <c r="C1767" s="82" t="str">
        <f>VLOOKUP($B$7:$B$5000,SUM!$L$6:$L$500,1,FALSE)</f>
        <v>#N/A</v>
      </c>
      <c r="D1767" s="171" t="s">
        <v>2999</v>
      </c>
      <c r="E1767" s="165" t="s">
        <v>58</v>
      </c>
      <c r="F1767" s="81" t="s">
        <v>2777</v>
      </c>
      <c r="G1767" s="176" t="s">
        <v>3023</v>
      </c>
      <c r="H1767" s="81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2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1">
        <v>1762.0</v>
      </c>
      <c r="B1768" s="141" t="s">
        <v>3092</v>
      </c>
      <c r="C1768" s="82" t="str">
        <f>VLOOKUP($B$7:$B$5000,SUM!$L$6:$L$500,1,FALSE)</f>
        <v>#N/A</v>
      </c>
      <c r="D1768" s="171" t="s">
        <v>2999</v>
      </c>
      <c r="E1768" s="165" t="s">
        <v>58</v>
      </c>
      <c r="F1768" s="81" t="s">
        <v>2777</v>
      </c>
      <c r="G1768" s="176" t="s">
        <v>3023</v>
      </c>
      <c r="H1768" s="81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2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1">
        <v>1763.0</v>
      </c>
      <c r="B1769" s="141" t="s">
        <v>3094</v>
      </c>
      <c r="C1769" s="82" t="str">
        <f>VLOOKUP($B$7:$B$5000,SUM!$L$6:$L$500,1,FALSE)</f>
        <v>#N/A</v>
      </c>
      <c r="D1769" s="171" t="s">
        <v>2999</v>
      </c>
      <c r="E1769" s="165" t="s">
        <v>58</v>
      </c>
      <c r="F1769" s="81" t="s">
        <v>2777</v>
      </c>
      <c r="G1769" s="176" t="s">
        <v>3023</v>
      </c>
      <c r="H1769" s="81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2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1">
        <v>1764.0</v>
      </c>
      <c r="B1770" s="141" t="s">
        <v>3096</v>
      </c>
      <c r="C1770" s="82" t="str">
        <f>VLOOKUP($B$7:$B$5000,SUM!$L$6:$L$500,1,FALSE)</f>
        <v>#N/A</v>
      </c>
      <c r="D1770" s="171" t="s">
        <v>2999</v>
      </c>
      <c r="E1770" s="165" t="s">
        <v>58</v>
      </c>
      <c r="F1770" s="81" t="s">
        <v>2777</v>
      </c>
      <c r="G1770" s="176" t="s">
        <v>3023</v>
      </c>
      <c r="H1770" s="81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2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1">
        <v>1765.0</v>
      </c>
      <c r="B1771" s="141" t="s">
        <v>3098</v>
      </c>
      <c r="C1771" s="82" t="str">
        <f>VLOOKUP($B$7:$B$5000,SUM!$L$6:$L$500,1,FALSE)</f>
        <v>#N/A</v>
      </c>
      <c r="D1771" s="171" t="s">
        <v>2999</v>
      </c>
      <c r="E1771" s="165" t="s">
        <v>58</v>
      </c>
      <c r="F1771" s="81" t="s">
        <v>2777</v>
      </c>
      <c r="G1771" s="176" t="s">
        <v>3023</v>
      </c>
      <c r="H1771" s="81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2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1">
        <v>1766.0</v>
      </c>
      <c r="B1772" s="141" t="s">
        <v>3100</v>
      </c>
      <c r="C1772" s="82" t="str">
        <f>VLOOKUP($B$7:$B$5000,SUM!$L$6:$L$500,1,FALSE)</f>
        <v>#N/A</v>
      </c>
      <c r="D1772" s="171" t="s">
        <v>2999</v>
      </c>
      <c r="E1772" s="165" t="s">
        <v>58</v>
      </c>
      <c r="F1772" s="81" t="s">
        <v>2777</v>
      </c>
      <c r="G1772" s="176" t="s">
        <v>3023</v>
      </c>
      <c r="H1772" s="81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2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1">
        <v>1767.0</v>
      </c>
      <c r="B1773" s="141" t="s">
        <v>3102</v>
      </c>
      <c r="C1773" s="82" t="str">
        <f>VLOOKUP($B$7:$B$5000,SUM!$L$6:$L$500,1,FALSE)</f>
        <v>#N/A</v>
      </c>
      <c r="D1773" s="171" t="s">
        <v>3103</v>
      </c>
      <c r="E1773" s="165" t="s">
        <v>58</v>
      </c>
      <c r="F1773" s="81" t="s">
        <v>105</v>
      </c>
      <c r="G1773" s="125" t="s">
        <v>2710</v>
      </c>
      <c r="H1773" s="81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2">
        <v>46143.0</v>
      </c>
      <c r="O1773" s="103" t="s">
        <v>67</v>
      </c>
      <c r="P1773" s="103" t="s">
        <v>68</v>
      </c>
      <c r="Q1773" s="150">
        <v>46161.0</v>
      </c>
      <c r="R1773" s="103" t="s">
        <v>597</v>
      </c>
      <c r="S1773" s="104">
        <v>46166.0</v>
      </c>
      <c r="T1773" s="103"/>
      <c r="U1773" s="90" t="s">
        <v>31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1">
        <v>1768.0</v>
      </c>
      <c r="B1774" s="141" t="s">
        <v>3106</v>
      </c>
      <c r="C1774" s="82" t="str">
        <f>VLOOKUP($B$7:$B$5000,SUM!$L$6:$L$500,1,FALSE)</f>
        <v>#N/A</v>
      </c>
      <c r="D1774" s="171" t="s">
        <v>3103</v>
      </c>
      <c r="E1774" s="165" t="s">
        <v>58</v>
      </c>
      <c r="F1774" s="81" t="s">
        <v>105</v>
      </c>
      <c r="G1774" s="125" t="s">
        <v>2710</v>
      </c>
      <c r="H1774" s="81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77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1">
        <v>1769.0</v>
      </c>
      <c r="B1775" s="141" t="s">
        <v>3108</v>
      </c>
      <c r="C1775" s="82" t="str">
        <f>VLOOKUP($B$7:$B$5000,SUM!$L$6:$L$500,1,FALSE)</f>
        <v>#N/A</v>
      </c>
      <c r="D1775" s="171" t="s">
        <v>3103</v>
      </c>
      <c r="E1775" s="165" t="s">
        <v>58</v>
      </c>
      <c r="F1775" s="81" t="s">
        <v>105</v>
      </c>
      <c r="G1775" s="125" t="s">
        <v>2710</v>
      </c>
      <c r="H1775" s="81" t="s">
        <v>3104</v>
      </c>
      <c r="I1775" s="149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77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1">
        <v>1770.0</v>
      </c>
      <c r="B1776" s="141" t="s">
        <v>3110</v>
      </c>
      <c r="C1776" s="82" t="str">
        <f>VLOOKUP($B$7:$B$5000,SUM!$L$6:$L$500,1,FALSE)</f>
        <v>#N/A</v>
      </c>
      <c r="D1776" s="171" t="s">
        <v>3103</v>
      </c>
      <c r="E1776" s="165" t="s">
        <v>58</v>
      </c>
      <c r="F1776" s="81" t="s">
        <v>105</v>
      </c>
      <c r="G1776" s="125" t="s">
        <v>3111</v>
      </c>
      <c r="H1776" s="81" t="s">
        <v>3112</v>
      </c>
      <c r="I1776" s="149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77">
        <v>46143.0</v>
      </c>
      <c r="O1776" s="103" t="s">
        <v>67</v>
      </c>
      <c r="P1776" s="103" t="s">
        <v>68</v>
      </c>
      <c r="Q1776" s="150">
        <v>46161.0</v>
      </c>
      <c r="R1776" s="103" t="s">
        <v>597</v>
      </c>
      <c r="S1776" s="104">
        <v>46166.0</v>
      </c>
      <c r="T1776" s="103"/>
      <c r="U1776" s="90" t="s">
        <v>31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1">
        <v>1771.0</v>
      </c>
      <c r="B1777" s="141" t="s">
        <v>3114</v>
      </c>
      <c r="C1777" s="82" t="str">
        <f>VLOOKUP($B$7:$B$5000,SUM!$L$6:$L$500,1,FALSE)</f>
        <v>#N/A</v>
      </c>
      <c r="D1777" s="171" t="s">
        <v>3103</v>
      </c>
      <c r="E1777" s="165" t="s">
        <v>58</v>
      </c>
      <c r="F1777" s="81" t="s">
        <v>105</v>
      </c>
      <c r="G1777" s="125" t="s">
        <v>3111</v>
      </c>
      <c r="H1777" s="81" t="s">
        <v>3112</v>
      </c>
      <c r="I1777" s="149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77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1">
        <v>1772.0</v>
      </c>
      <c r="B1778" s="141" t="s">
        <v>3116</v>
      </c>
      <c r="C1778" s="82" t="str">
        <f>VLOOKUP($B$7:$B$5000,SUM!$L$6:$L$500,1,FALSE)</f>
        <v>#N/A</v>
      </c>
      <c r="D1778" s="171" t="s">
        <v>3103</v>
      </c>
      <c r="E1778" s="165" t="s">
        <v>58</v>
      </c>
      <c r="F1778" s="81" t="s">
        <v>105</v>
      </c>
      <c r="G1778" s="125" t="s">
        <v>3111</v>
      </c>
      <c r="H1778" s="81" t="s">
        <v>3112</v>
      </c>
      <c r="I1778" s="149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77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1">
        <v>1773.0</v>
      </c>
      <c r="B1779" s="141" t="s">
        <v>3118</v>
      </c>
      <c r="C1779" s="82" t="str">
        <f>VLOOKUP($B$7:$B$5000,SUM!$L$6:$L$500,1,FALSE)</f>
        <v>#N/A</v>
      </c>
      <c r="D1779" s="171" t="s">
        <v>3103</v>
      </c>
      <c r="E1779" s="165" t="s">
        <v>58</v>
      </c>
      <c r="F1779" s="81" t="s">
        <v>105</v>
      </c>
      <c r="G1779" s="125" t="s">
        <v>2719</v>
      </c>
      <c r="H1779" s="81" t="s">
        <v>3119</v>
      </c>
      <c r="I1779" s="149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77">
        <v>46143.0</v>
      </c>
      <c r="O1779" s="103" t="s">
        <v>67</v>
      </c>
      <c r="P1779" s="103" t="s">
        <v>68</v>
      </c>
      <c r="Q1779" s="150">
        <v>46161.0</v>
      </c>
      <c r="R1779" s="103" t="s">
        <v>597</v>
      </c>
      <c r="S1779" s="104">
        <v>46166.0</v>
      </c>
      <c r="T1779" s="103"/>
      <c r="U1779" s="90" t="s">
        <v>31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1">
        <v>1774.0</v>
      </c>
      <c r="B1780" s="141" t="s">
        <v>3120</v>
      </c>
      <c r="C1780" s="82" t="str">
        <f>VLOOKUP($B$7:$B$5000,SUM!$L$6:$L$500,1,FALSE)</f>
        <v>#N/A</v>
      </c>
      <c r="D1780" s="171" t="s">
        <v>3103</v>
      </c>
      <c r="E1780" s="165" t="s">
        <v>58</v>
      </c>
      <c r="F1780" s="81" t="s">
        <v>105</v>
      </c>
      <c r="G1780" s="125" t="s">
        <v>2719</v>
      </c>
      <c r="H1780" s="81" t="s">
        <v>3119</v>
      </c>
      <c r="I1780" s="149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77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1">
        <v>1775.0</v>
      </c>
      <c r="B1781" s="141" t="s">
        <v>3121</v>
      </c>
      <c r="C1781" s="82" t="str">
        <f>VLOOKUP($B$7:$B$5000,SUM!$L$6:$L$500,1,FALSE)</f>
        <v>#N/A</v>
      </c>
      <c r="D1781" s="171" t="s">
        <v>3103</v>
      </c>
      <c r="E1781" s="165" t="s">
        <v>58</v>
      </c>
      <c r="F1781" s="81" t="s">
        <v>105</v>
      </c>
      <c r="G1781" s="125" t="s">
        <v>2719</v>
      </c>
      <c r="H1781" s="81" t="s">
        <v>3119</v>
      </c>
      <c r="I1781" s="149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77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1">
        <v>1776.0</v>
      </c>
      <c r="B1782" s="141" t="s">
        <v>3123</v>
      </c>
      <c r="C1782" s="82" t="str">
        <f>VLOOKUP($B$7:$B$5000,SUM!$L$6:$L$500,1,FALSE)</f>
        <v>#N/A</v>
      </c>
      <c r="D1782" s="171" t="s">
        <v>3103</v>
      </c>
      <c r="E1782" s="165" t="s">
        <v>58</v>
      </c>
      <c r="F1782" s="81" t="s">
        <v>105</v>
      </c>
      <c r="G1782" s="125" t="s">
        <v>1415</v>
      </c>
      <c r="H1782" s="81" t="s">
        <v>3124</v>
      </c>
      <c r="I1782" s="149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77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31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1">
        <v>1777.0</v>
      </c>
      <c r="B1783" s="141" t="s">
        <v>3127</v>
      </c>
      <c r="C1783" s="82" t="str">
        <f>VLOOKUP($B$7:$B$5000,SUM!$L$6:$L$500,1,FALSE)</f>
        <v>#N/A</v>
      </c>
      <c r="D1783" s="171" t="s">
        <v>3103</v>
      </c>
      <c r="E1783" s="165" t="s">
        <v>58</v>
      </c>
      <c r="F1783" s="81" t="s">
        <v>105</v>
      </c>
      <c r="G1783" s="125" t="s">
        <v>1415</v>
      </c>
      <c r="H1783" s="81" t="s">
        <v>3124</v>
      </c>
      <c r="I1783" s="149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77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1">
        <v>1778.0</v>
      </c>
      <c r="B1784" s="141" t="s">
        <v>3129</v>
      </c>
      <c r="C1784" s="82" t="str">
        <f>VLOOKUP($B$7:$B$5000,SUM!$L$6:$L$500,1,FALSE)</f>
        <v>#N/A</v>
      </c>
      <c r="D1784" s="171" t="s">
        <v>3103</v>
      </c>
      <c r="E1784" s="165" t="s">
        <v>58</v>
      </c>
      <c r="F1784" s="81" t="s">
        <v>105</v>
      </c>
      <c r="G1784" s="125" t="s">
        <v>1319</v>
      </c>
      <c r="H1784" s="81" t="s">
        <v>3130</v>
      </c>
      <c r="I1784" s="149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77">
        <v>46143.0</v>
      </c>
      <c r="O1784" s="103" t="s">
        <v>67</v>
      </c>
      <c r="P1784" s="103" t="s">
        <v>68</v>
      </c>
      <c r="Q1784" s="150">
        <v>46165.0</v>
      </c>
      <c r="R1784" s="103" t="s">
        <v>597</v>
      </c>
      <c r="S1784" s="150">
        <v>46166.0</v>
      </c>
      <c r="T1784" s="103"/>
      <c r="U1784" s="90" t="s">
        <v>31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1">
        <v>1779.0</v>
      </c>
      <c r="B1785" s="141" t="s">
        <v>3132</v>
      </c>
      <c r="C1785" s="82" t="str">
        <f>VLOOKUP($B$7:$B$5000,SUM!$L$6:$L$500,1,FALSE)</f>
        <v>#N/A</v>
      </c>
      <c r="D1785" s="171" t="s">
        <v>3103</v>
      </c>
      <c r="E1785" s="165" t="s">
        <v>58</v>
      </c>
      <c r="F1785" s="81" t="s">
        <v>105</v>
      </c>
      <c r="G1785" s="125" t="s">
        <v>1319</v>
      </c>
      <c r="H1785" s="81" t="s">
        <v>3130</v>
      </c>
      <c r="I1785" s="149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77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1">
        <v>1780.0</v>
      </c>
      <c r="B1786" s="141" t="s">
        <v>3134</v>
      </c>
      <c r="C1786" s="82" t="str">
        <f>VLOOKUP($B$7:$B$5000,SUM!$L$6:$L$500,1,FALSE)</f>
        <v>#N/A</v>
      </c>
      <c r="D1786" s="171" t="s">
        <v>3103</v>
      </c>
      <c r="E1786" s="165" t="s">
        <v>58</v>
      </c>
      <c r="F1786" s="81" t="s">
        <v>105</v>
      </c>
      <c r="G1786" s="125" t="s">
        <v>1319</v>
      </c>
      <c r="H1786" s="81" t="s">
        <v>3130</v>
      </c>
      <c r="I1786" s="149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77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1">
        <v>1781.0</v>
      </c>
      <c r="B1787" s="141" t="s">
        <v>3136</v>
      </c>
      <c r="C1787" s="82" t="str">
        <f>VLOOKUP($B$7:$B$5000,SUM!$L$6:$L$500,1,FALSE)</f>
        <v>#N/A</v>
      </c>
      <c r="D1787" s="171" t="s">
        <v>3103</v>
      </c>
      <c r="E1787" s="165" t="s">
        <v>58</v>
      </c>
      <c r="F1787" s="81" t="s">
        <v>105</v>
      </c>
      <c r="G1787" s="125" t="s">
        <v>3137</v>
      </c>
      <c r="H1787" s="81" t="s">
        <v>3138</v>
      </c>
      <c r="I1787" s="149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77">
        <v>46143.0</v>
      </c>
      <c r="O1787" s="103" t="s">
        <v>67</v>
      </c>
      <c r="P1787" s="103" t="s">
        <v>68</v>
      </c>
      <c r="Q1787" s="150">
        <v>46164.0</v>
      </c>
      <c r="R1787" s="103" t="s">
        <v>597</v>
      </c>
      <c r="S1787" s="150">
        <v>46166.0</v>
      </c>
      <c r="T1787" s="103"/>
      <c r="U1787" s="90" t="s">
        <v>31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1">
        <v>1782.0</v>
      </c>
      <c r="B1788" s="141" t="s">
        <v>3140</v>
      </c>
      <c r="C1788" s="82" t="str">
        <f>VLOOKUP($B$7:$B$5000,SUM!$L$6:$L$500,1,FALSE)</f>
        <v>#N/A</v>
      </c>
      <c r="D1788" s="171" t="s">
        <v>3103</v>
      </c>
      <c r="E1788" s="165" t="s">
        <v>58</v>
      </c>
      <c r="F1788" s="81" t="s">
        <v>105</v>
      </c>
      <c r="G1788" s="125" t="s">
        <v>3137</v>
      </c>
      <c r="H1788" s="81" t="s">
        <v>3138</v>
      </c>
      <c r="I1788" s="149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77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1">
        <v>1783.0</v>
      </c>
      <c r="B1789" s="141" t="s">
        <v>3142</v>
      </c>
      <c r="C1789" s="82" t="str">
        <f>VLOOKUP($B$7:$B$5000,SUM!$L$6:$L$500,1,FALSE)</f>
        <v>#N/A</v>
      </c>
      <c r="D1789" s="171" t="s">
        <v>3103</v>
      </c>
      <c r="E1789" s="165" t="s">
        <v>58</v>
      </c>
      <c r="F1789" s="81" t="s">
        <v>105</v>
      </c>
      <c r="G1789" s="125" t="s">
        <v>3137</v>
      </c>
      <c r="H1789" s="81" t="s">
        <v>3138</v>
      </c>
      <c r="I1789" s="149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77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1">
        <v>1784.0</v>
      </c>
      <c r="B1790" s="141" t="s">
        <v>3144</v>
      </c>
      <c r="C1790" s="82" t="str">
        <f>VLOOKUP($B$7:$B$5000,SUM!$L$6:$L$500,1,FALSE)</f>
        <v>#N/A</v>
      </c>
      <c r="D1790" s="171" t="s">
        <v>3103</v>
      </c>
      <c r="E1790" s="165" t="s">
        <v>58</v>
      </c>
      <c r="F1790" s="81" t="s">
        <v>105</v>
      </c>
      <c r="G1790" s="125" t="s">
        <v>3137</v>
      </c>
      <c r="H1790" s="81" t="s">
        <v>3138</v>
      </c>
      <c r="I1790" s="149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77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1">
        <v>1785.0</v>
      </c>
      <c r="B1791" s="141" t="s">
        <v>3146</v>
      </c>
      <c r="C1791" s="82" t="str">
        <f>VLOOKUP($B$7:$B$5000,SUM!$L$6:$L$500,1,FALSE)</f>
        <v>#N/A</v>
      </c>
      <c r="D1791" s="171" t="s">
        <v>3103</v>
      </c>
      <c r="E1791" s="165" t="s">
        <v>58</v>
      </c>
      <c r="F1791" s="81" t="s">
        <v>105</v>
      </c>
      <c r="G1791" s="125" t="s">
        <v>3137</v>
      </c>
      <c r="H1791" s="81" t="s">
        <v>3147</v>
      </c>
      <c r="I1791" s="149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77">
        <v>46143.0</v>
      </c>
      <c r="O1791" s="103" t="s">
        <v>67</v>
      </c>
      <c r="P1791" s="103" t="s">
        <v>68</v>
      </c>
      <c r="Q1791" s="150">
        <v>46164.0</v>
      </c>
      <c r="R1791" s="103" t="s">
        <v>597</v>
      </c>
      <c r="S1791" s="150">
        <v>46166.0</v>
      </c>
      <c r="T1791" s="103"/>
      <c r="U1791" s="90" t="s">
        <v>31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1">
        <v>1786.0</v>
      </c>
      <c r="B1792" s="141" t="s">
        <v>3148</v>
      </c>
      <c r="C1792" s="82" t="str">
        <f>VLOOKUP($B$7:$B$5000,SUM!$L$6:$L$500,1,FALSE)</f>
        <v>#N/A</v>
      </c>
      <c r="D1792" s="171" t="s">
        <v>3103</v>
      </c>
      <c r="E1792" s="165" t="s">
        <v>58</v>
      </c>
      <c r="F1792" s="81" t="s">
        <v>105</v>
      </c>
      <c r="G1792" s="125" t="s">
        <v>3137</v>
      </c>
      <c r="H1792" s="81" t="s">
        <v>3147</v>
      </c>
      <c r="I1792" s="149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77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1">
        <v>1787.0</v>
      </c>
      <c r="B1793" s="141" t="s">
        <v>3149</v>
      </c>
      <c r="C1793" s="82" t="str">
        <f>VLOOKUP($B$7:$B$5000,SUM!$L$6:$L$500,1,FALSE)</f>
        <v>#N/A</v>
      </c>
      <c r="D1793" s="171" t="s">
        <v>3103</v>
      </c>
      <c r="E1793" s="165" t="s">
        <v>58</v>
      </c>
      <c r="F1793" s="81" t="s">
        <v>105</v>
      </c>
      <c r="G1793" s="125" t="s">
        <v>3137</v>
      </c>
      <c r="H1793" s="81" t="s">
        <v>3147</v>
      </c>
      <c r="I1793" s="149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77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1">
        <v>1788.0</v>
      </c>
      <c r="B1794" s="141" t="s">
        <v>3151</v>
      </c>
      <c r="C1794" s="82" t="str">
        <f>VLOOKUP($B$7:$B$5000,SUM!$L$6:$L$500,1,FALSE)</f>
        <v>#N/A</v>
      </c>
      <c r="D1794" s="171" t="s">
        <v>3103</v>
      </c>
      <c r="E1794" s="165" t="s">
        <v>58</v>
      </c>
      <c r="F1794" s="81" t="s">
        <v>105</v>
      </c>
      <c r="G1794" s="125" t="s">
        <v>3137</v>
      </c>
      <c r="H1794" s="81" t="s">
        <v>3147</v>
      </c>
      <c r="I1794" s="149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77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1">
        <v>1789.0</v>
      </c>
      <c r="B1795" s="141" t="s">
        <v>3152</v>
      </c>
      <c r="C1795" s="82" t="str">
        <f>VLOOKUP($B$7:$B$5000,SUM!$L$6:$L$500,1,FALSE)</f>
        <v>#N/A</v>
      </c>
      <c r="D1795" s="171" t="s">
        <v>3103</v>
      </c>
      <c r="E1795" s="165" t="s">
        <v>58</v>
      </c>
      <c r="F1795" s="81" t="s">
        <v>105</v>
      </c>
      <c r="G1795" s="125" t="s">
        <v>3137</v>
      </c>
      <c r="H1795" s="81" t="s">
        <v>3153</v>
      </c>
      <c r="I1795" s="149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77">
        <v>46143.0</v>
      </c>
      <c r="O1795" s="103" t="s">
        <v>67</v>
      </c>
      <c r="P1795" s="103" t="s">
        <v>68</v>
      </c>
      <c r="Q1795" s="150">
        <v>46162.0</v>
      </c>
      <c r="R1795" s="103" t="s">
        <v>597</v>
      </c>
      <c r="S1795" s="150">
        <v>46166.0</v>
      </c>
      <c r="T1795" s="103"/>
      <c r="U1795" s="90" t="s">
        <v>31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1">
        <v>1790.0</v>
      </c>
      <c r="B1796" s="141" t="s">
        <v>3154</v>
      </c>
      <c r="C1796" s="82" t="str">
        <f>VLOOKUP($B$7:$B$5000,SUM!$L$6:$L$500,1,FALSE)</f>
        <v>#N/A</v>
      </c>
      <c r="D1796" s="171" t="s">
        <v>3103</v>
      </c>
      <c r="E1796" s="165" t="s">
        <v>58</v>
      </c>
      <c r="F1796" s="81" t="s">
        <v>105</v>
      </c>
      <c r="G1796" s="125" t="s">
        <v>3137</v>
      </c>
      <c r="H1796" s="81" t="s">
        <v>3153</v>
      </c>
      <c r="I1796" s="149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77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1">
        <v>1791.0</v>
      </c>
      <c r="B1797" s="141" t="s">
        <v>3155</v>
      </c>
      <c r="C1797" s="82" t="str">
        <f>VLOOKUP($B$7:$B$5000,SUM!$L$6:$L$500,1,FALSE)</f>
        <v>#N/A</v>
      </c>
      <c r="D1797" s="171" t="s">
        <v>3103</v>
      </c>
      <c r="E1797" s="165" t="s">
        <v>58</v>
      </c>
      <c r="F1797" s="81" t="s">
        <v>105</v>
      </c>
      <c r="G1797" s="125" t="s">
        <v>3137</v>
      </c>
      <c r="H1797" s="81" t="s">
        <v>3153</v>
      </c>
      <c r="I1797" s="149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77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1">
        <v>1792.0</v>
      </c>
      <c r="B1798" s="141" t="s">
        <v>3157</v>
      </c>
      <c r="C1798" s="82" t="str">
        <f>VLOOKUP($B$7:$B$5000,SUM!$L$6:$L$500,1,FALSE)</f>
        <v>#N/A</v>
      </c>
      <c r="D1798" s="171" t="s">
        <v>3103</v>
      </c>
      <c r="E1798" s="165" t="s">
        <v>58</v>
      </c>
      <c r="F1798" s="81" t="s">
        <v>105</v>
      </c>
      <c r="G1798" s="125" t="s">
        <v>3137</v>
      </c>
      <c r="H1798" s="81" t="s">
        <v>3153</v>
      </c>
      <c r="I1798" s="149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77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1">
        <v>1793.0</v>
      </c>
      <c r="B1799" s="141" t="s">
        <v>3158</v>
      </c>
      <c r="C1799" s="82" t="str">
        <f>VLOOKUP($B$7:$B$5000,SUM!$L$6:$L$500,1,FALSE)</f>
        <v>#N/A</v>
      </c>
      <c r="D1799" s="171" t="s">
        <v>3103</v>
      </c>
      <c r="E1799" s="165" t="s">
        <v>58</v>
      </c>
      <c r="F1799" s="81" t="s">
        <v>105</v>
      </c>
      <c r="G1799" s="125" t="s">
        <v>3137</v>
      </c>
      <c r="H1799" s="81" t="s">
        <v>3159</v>
      </c>
      <c r="I1799" s="149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77">
        <v>46143.0</v>
      </c>
      <c r="O1799" s="103" t="s">
        <v>67</v>
      </c>
      <c r="P1799" s="103" t="s">
        <v>68</v>
      </c>
      <c r="Q1799" s="150">
        <v>46161.0</v>
      </c>
      <c r="R1799" s="103" t="s">
        <v>597</v>
      </c>
      <c r="S1799" s="104">
        <v>46166.0</v>
      </c>
      <c r="T1799" s="103"/>
      <c r="U1799" s="90" t="s">
        <v>31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1">
        <v>1794.0</v>
      </c>
      <c r="B1800" s="141" t="s">
        <v>3160</v>
      </c>
      <c r="C1800" s="82" t="str">
        <f>VLOOKUP($B$7:$B$5000,SUM!$L$6:$L$500,1,FALSE)</f>
        <v>#N/A</v>
      </c>
      <c r="D1800" s="171" t="s">
        <v>3103</v>
      </c>
      <c r="E1800" s="165" t="s">
        <v>58</v>
      </c>
      <c r="F1800" s="81" t="s">
        <v>105</v>
      </c>
      <c r="G1800" s="125" t="s">
        <v>3137</v>
      </c>
      <c r="H1800" s="81" t="s">
        <v>3159</v>
      </c>
      <c r="I1800" s="149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77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1">
        <v>1795.0</v>
      </c>
      <c r="B1801" s="141" t="s">
        <v>3161</v>
      </c>
      <c r="C1801" s="82" t="str">
        <f>VLOOKUP($B$7:$B$5000,SUM!$L$6:$L$500,1,FALSE)</f>
        <v>#N/A</v>
      </c>
      <c r="D1801" s="171" t="s">
        <v>3103</v>
      </c>
      <c r="E1801" s="165" t="s">
        <v>58</v>
      </c>
      <c r="F1801" s="81" t="s">
        <v>105</v>
      </c>
      <c r="G1801" s="125" t="s">
        <v>3137</v>
      </c>
      <c r="H1801" s="81" t="s">
        <v>3159</v>
      </c>
      <c r="I1801" s="149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77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1">
        <v>1796.0</v>
      </c>
      <c r="B1802" s="141" t="s">
        <v>3163</v>
      </c>
      <c r="C1802" s="82" t="str">
        <f>VLOOKUP($B$7:$B$5000,SUM!$L$6:$L$500,1,FALSE)</f>
        <v>#N/A</v>
      </c>
      <c r="D1802" s="171" t="s">
        <v>3103</v>
      </c>
      <c r="E1802" s="165" t="s">
        <v>58</v>
      </c>
      <c r="F1802" s="81" t="s">
        <v>105</v>
      </c>
      <c r="G1802" s="125" t="s">
        <v>3137</v>
      </c>
      <c r="H1802" s="81" t="s">
        <v>3159</v>
      </c>
      <c r="I1802" s="149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77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1">
        <v>1797.0</v>
      </c>
      <c r="B1803" s="141" t="s">
        <v>3164</v>
      </c>
      <c r="C1803" s="82" t="str">
        <f>VLOOKUP($B$7:$B$5000,SUM!$L$6:$L$500,1,FALSE)</f>
        <v>#N/A</v>
      </c>
      <c r="D1803" s="171" t="s">
        <v>3103</v>
      </c>
      <c r="E1803" s="165" t="s">
        <v>58</v>
      </c>
      <c r="F1803" s="81" t="s">
        <v>105</v>
      </c>
      <c r="G1803" s="125" t="s">
        <v>3137</v>
      </c>
      <c r="H1803" s="81" t="s">
        <v>3165</v>
      </c>
      <c r="I1803" s="149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77">
        <v>46143.0</v>
      </c>
      <c r="O1803" s="103" t="s">
        <v>67</v>
      </c>
      <c r="P1803" s="103" t="s">
        <v>68</v>
      </c>
      <c r="Q1803" s="150">
        <v>46162.0</v>
      </c>
      <c r="R1803" s="103" t="s">
        <v>597</v>
      </c>
      <c r="S1803" s="150">
        <v>46166.0</v>
      </c>
      <c r="T1803" s="103"/>
      <c r="U1803" s="90" t="s">
        <v>31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1">
        <v>1798.0</v>
      </c>
      <c r="B1804" s="141" t="s">
        <v>3166</v>
      </c>
      <c r="C1804" s="82" t="str">
        <f>VLOOKUP($B$7:$B$5000,SUM!$L$6:$L$500,1,FALSE)</f>
        <v>#N/A</v>
      </c>
      <c r="D1804" s="171" t="s">
        <v>3103</v>
      </c>
      <c r="E1804" s="165" t="s">
        <v>58</v>
      </c>
      <c r="F1804" s="81" t="s">
        <v>105</v>
      </c>
      <c r="G1804" s="125" t="s">
        <v>3137</v>
      </c>
      <c r="H1804" s="81" t="s">
        <v>3165</v>
      </c>
      <c r="I1804" s="149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77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1">
        <v>1799.0</v>
      </c>
      <c r="B1805" s="141" t="s">
        <v>3167</v>
      </c>
      <c r="C1805" s="82" t="str">
        <f>VLOOKUP($B$7:$B$5000,SUM!$L$6:$L$500,1,FALSE)</f>
        <v>#N/A</v>
      </c>
      <c r="D1805" s="171" t="s">
        <v>3103</v>
      </c>
      <c r="E1805" s="165" t="s">
        <v>58</v>
      </c>
      <c r="F1805" s="81" t="s">
        <v>105</v>
      </c>
      <c r="G1805" s="125" t="s">
        <v>3137</v>
      </c>
      <c r="H1805" s="81" t="s">
        <v>3165</v>
      </c>
      <c r="I1805" s="149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77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1">
        <v>1800.0</v>
      </c>
      <c r="B1806" s="141" t="s">
        <v>3168</v>
      </c>
      <c r="C1806" s="82" t="str">
        <f>VLOOKUP($B$7:$B$5000,SUM!$L$6:$L$500,1,FALSE)</f>
        <v>#N/A</v>
      </c>
      <c r="D1806" s="171" t="s">
        <v>3103</v>
      </c>
      <c r="E1806" s="165" t="s">
        <v>58</v>
      </c>
      <c r="F1806" s="81" t="s">
        <v>105</v>
      </c>
      <c r="G1806" s="125" t="s">
        <v>3137</v>
      </c>
      <c r="H1806" s="81" t="s">
        <v>3165</v>
      </c>
      <c r="I1806" s="149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77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1">
        <v>1801.0</v>
      </c>
      <c r="B1807" s="141" t="s">
        <v>3169</v>
      </c>
      <c r="C1807" s="82" t="str">
        <f>VLOOKUP($B$7:$B$5000,SUM!$L$6:$L$500,1,FALSE)</f>
        <v>#N/A</v>
      </c>
      <c r="D1807" s="171" t="s">
        <v>3103</v>
      </c>
      <c r="E1807" s="165" t="s">
        <v>58</v>
      </c>
      <c r="F1807" s="81" t="s">
        <v>105</v>
      </c>
      <c r="G1807" s="125" t="s">
        <v>1996</v>
      </c>
      <c r="H1807" s="81" t="s">
        <v>3170</v>
      </c>
      <c r="I1807" s="149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77">
        <v>46143.0</v>
      </c>
      <c r="O1807" s="103" t="s">
        <v>67</v>
      </c>
      <c r="P1807" s="103" t="s">
        <v>68</v>
      </c>
      <c r="Q1807" s="150">
        <v>46164.0</v>
      </c>
      <c r="R1807" s="103" t="s">
        <v>597</v>
      </c>
      <c r="S1807" s="150">
        <v>46166.0</v>
      </c>
      <c r="T1807" s="103"/>
      <c r="U1807" s="90" t="s">
        <v>31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1">
        <v>1802.0</v>
      </c>
      <c r="B1808" s="141" t="s">
        <v>3172</v>
      </c>
      <c r="C1808" s="82" t="str">
        <f>VLOOKUP($B$7:$B$5000,SUM!$L$6:$L$500,1,FALSE)</f>
        <v>#N/A</v>
      </c>
      <c r="D1808" s="171" t="s">
        <v>3103</v>
      </c>
      <c r="E1808" s="165" t="s">
        <v>58</v>
      </c>
      <c r="F1808" s="81" t="s">
        <v>105</v>
      </c>
      <c r="G1808" s="125" t="s">
        <v>1996</v>
      </c>
      <c r="H1808" s="81" t="s">
        <v>3170</v>
      </c>
      <c r="I1808" s="149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77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1">
        <v>1803.0</v>
      </c>
      <c r="B1809" s="141" t="s">
        <v>3174</v>
      </c>
      <c r="C1809" s="82" t="str">
        <f>VLOOKUP($B$7:$B$5000,SUM!$L$6:$L$500,1,FALSE)</f>
        <v>#N/A</v>
      </c>
      <c r="D1809" s="171" t="s">
        <v>3103</v>
      </c>
      <c r="E1809" s="165" t="s">
        <v>58</v>
      </c>
      <c r="F1809" s="81" t="s">
        <v>105</v>
      </c>
      <c r="G1809" s="125" t="s">
        <v>1996</v>
      </c>
      <c r="H1809" s="81" t="s">
        <v>3170</v>
      </c>
      <c r="I1809" s="149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77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1">
        <v>1804.0</v>
      </c>
      <c r="B1810" s="141" t="s">
        <v>3176</v>
      </c>
      <c r="C1810" s="82" t="str">
        <f>VLOOKUP($B$7:$B$5000,SUM!$L$6:$L$500,1,FALSE)</f>
        <v>#N/A</v>
      </c>
      <c r="D1810" s="171" t="s">
        <v>2999</v>
      </c>
      <c r="E1810" s="165" t="s">
        <v>58</v>
      </c>
      <c r="F1810" s="81" t="s">
        <v>2777</v>
      </c>
      <c r="G1810" s="125" t="s">
        <v>3177</v>
      </c>
      <c r="H1810" s="81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2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1">
        <v>1805.0</v>
      </c>
      <c r="B1811" s="141" t="s">
        <v>3179</v>
      </c>
      <c r="C1811" s="82" t="str">
        <f>VLOOKUP($B$7:$B$5000,SUM!$L$6:$L$500,1,FALSE)</f>
        <v>#N/A</v>
      </c>
      <c r="D1811" s="171" t="s">
        <v>2999</v>
      </c>
      <c r="E1811" s="165" t="s">
        <v>58</v>
      </c>
      <c r="F1811" s="81" t="s">
        <v>2777</v>
      </c>
      <c r="G1811" s="125" t="s">
        <v>3177</v>
      </c>
      <c r="H1811" s="81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2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1">
        <v>1806.0</v>
      </c>
      <c r="B1812" s="141" t="s">
        <v>3181</v>
      </c>
      <c r="C1812" s="82" t="str">
        <f>VLOOKUP($B$7:$B$5000,SUM!$L$6:$L$500,1,FALSE)</f>
        <v>#N/A</v>
      </c>
      <c r="D1812" s="171" t="s">
        <v>2999</v>
      </c>
      <c r="E1812" s="165" t="s">
        <v>58</v>
      </c>
      <c r="F1812" s="81" t="s">
        <v>2777</v>
      </c>
      <c r="G1812" s="125" t="s">
        <v>3177</v>
      </c>
      <c r="H1812" s="81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2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1">
        <v>1807.0</v>
      </c>
      <c r="B1813" s="141" t="s">
        <v>3183</v>
      </c>
      <c r="C1813" s="82" t="str">
        <f>VLOOKUP($B$7:$B$5000,SUM!$L$6:$L$500,1,FALSE)</f>
        <v>#N/A</v>
      </c>
      <c r="D1813" s="171" t="s">
        <v>2999</v>
      </c>
      <c r="E1813" s="165" t="s">
        <v>58</v>
      </c>
      <c r="F1813" s="81" t="s">
        <v>2777</v>
      </c>
      <c r="G1813" s="125" t="s">
        <v>3177</v>
      </c>
      <c r="H1813" s="81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2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1">
        <v>1808.0</v>
      </c>
      <c r="B1814" s="141" t="s">
        <v>3185</v>
      </c>
      <c r="C1814" s="82" t="str">
        <f>VLOOKUP($B$7:$B$5000,SUM!$L$6:$L$500,1,FALSE)</f>
        <v>#N/A</v>
      </c>
      <c r="D1814" s="171" t="s">
        <v>2999</v>
      </c>
      <c r="E1814" s="165" t="s">
        <v>58</v>
      </c>
      <c r="F1814" s="81" t="s">
        <v>2777</v>
      </c>
      <c r="G1814" s="125" t="s">
        <v>3186</v>
      </c>
      <c r="H1814" s="81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2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1">
        <v>1809.0</v>
      </c>
      <c r="B1815" s="141" t="s">
        <v>3188</v>
      </c>
      <c r="C1815" s="82" t="str">
        <f>VLOOKUP($B$7:$B$5000,SUM!$L$6:$L$500,1,FALSE)</f>
        <v>#N/A</v>
      </c>
      <c r="D1815" s="171" t="s">
        <v>2999</v>
      </c>
      <c r="E1815" s="165" t="s">
        <v>58</v>
      </c>
      <c r="F1815" s="81" t="s">
        <v>2777</v>
      </c>
      <c r="G1815" s="125" t="s">
        <v>3186</v>
      </c>
      <c r="H1815" s="81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2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1">
        <v>1810.0</v>
      </c>
      <c r="B1816" s="141" t="s">
        <v>3190</v>
      </c>
      <c r="C1816" s="82" t="str">
        <f>VLOOKUP($B$7:$B$5000,SUM!$L$6:$L$500,1,FALSE)</f>
        <v>#N/A</v>
      </c>
      <c r="D1816" s="171" t="s">
        <v>2999</v>
      </c>
      <c r="E1816" s="165" t="s">
        <v>58</v>
      </c>
      <c r="F1816" s="81" t="s">
        <v>2777</v>
      </c>
      <c r="G1816" s="125" t="s">
        <v>3186</v>
      </c>
      <c r="H1816" s="81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2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1">
        <v>1811.0</v>
      </c>
      <c r="B1817" s="141" t="s">
        <v>3192</v>
      </c>
      <c r="C1817" s="82" t="str">
        <f>VLOOKUP($B$7:$B$5000,SUM!$L$6:$L$500,1,FALSE)</f>
        <v>#N/A</v>
      </c>
      <c r="D1817" s="171" t="s">
        <v>2999</v>
      </c>
      <c r="E1817" s="165" t="s">
        <v>58</v>
      </c>
      <c r="F1817" s="81" t="s">
        <v>2777</v>
      </c>
      <c r="G1817" s="125" t="s">
        <v>3006</v>
      </c>
      <c r="H1817" s="81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2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1">
        <v>1812.0</v>
      </c>
      <c r="B1818" s="141" t="s">
        <v>3194</v>
      </c>
      <c r="C1818" s="82" t="str">
        <f>VLOOKUP($B$7:$B$5000,SUM!$L$6:$L$500,1,FALSE)</f>
        <v>#N/A</v>
      </c>
      <c r="D1818" s="171" t="s">
        <v>3195</v>
      </c>
      <c r="E1818" s="165" t="s">
        <v>58</v>
      </c>
      <c r="F1818" s="81" t="s">
        <v>105</v>
      </c>
      <c r="G1818" s="125" t="s">
        <v>3111</v>
      </c>
      <c r="H1818" s="81" t="s">
        <v>3196</v>
      </c>
      <c r="I1818" s="149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77">
        <v>46144.0</v>
      </c>
      <c r="O1818" s="103" t="s">
        <v>67</v>
      </c>
      <c r="P1818" s="103" t="s">
        <v>68</v>
      </c>
      <c r="Q1818" s="150">
        <v>46165.0</v>
      </c>
      <c r="R1818" s="103" t="s">
        <v>597</v>
      </c>
      <c r="S1818" s="150">
        <v>46166.0</v>
      </c>
      <c r="T1818" s="103"/>
      <c r="U1818" s="90" t="s">
        <v>31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1">
        <v>1813.0</v>
      </c>
      <c r="B1819" s="141" t="s">
        <v>3197</v>
      </c>
      <c r="C1819" s="82" t="str">
        <f>VLOOKUP($B$7:$B$5000,SUM!$L$6:$L$500,1,FALSE)</f>
        <v>#N/A</v>
      </c>
      <c r="D1819" s="171" t="s">
        <v>3195</v>
      </c>
      <c r="E1819" s="165" t="s">
        <v>58</v>
      </c>
      <c r="F1819" s="81" t="s">
        <v>105</v>
      </c>
      <c r="G1819" s="125" t="s">
        <v>3111</v>
      </c>
      <c r="H1819" s="81" t="s">
        <v>3196</v>
      </c>
      <c r="I1819" s="149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77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1">
        <v>1814.0</v>
      </c>
      <c r="B1820" s="141" t="s">
        <v>3198</v>
      </c>
      <c r="C1820" s="82" t="str">
        <f>VLOOKUP($B$7:$B$5000,SUM!$L$6:$L$500,1,FALSE)</f>
        <v>#N/A</v>
      </c>
      <c r="D1820" s="171" t="s">
        <v>3195</v>
      </c>
      <c r="E1820" s="165" t="s">
        <v>58</v>
      </c>
      <c r="F1820" s="81" t="s">
        <v>105</v>
      </c>
      <c r="G1820" s="125" t="s">
        <v>3111</v>
      </c>
      <c r="H1820" s="81" t="s">
        <v>3196</v>
      </c>
      <c r="I1820" s="149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77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1">
        <v>1815.0</v>
      </c>
      <c r="B1821" s="141" t="s">
        <v>3200</v>
      </c>
      <c r="C1821" s="82" t="str">
        <f>VLOOKUP($B$7:$B$5000,SUM!$L$6:$L$500,1,FALSE)</f>
        <v>#N/A</v>
      </c>
      <c r="D1821" s="171" t="s">
        <v>3195</v>
      </c>
      <c r="E1821" s="165" t="s">
        <v>58</v>
      </c>
      <c r="F1821" s="81" t="s">
        <v>105</v>
      </c>
      <c r="G1821" s="125" t="s">
        <v>3201</v>
      </c>
      <c r="H1821" s="81" t="s">
        <v>3202</v>
      </c>
      <c r="I1821" s="149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77">
        <v>46144.0</v>
      </c>
      <c r="O1821" s="103" t="s">
        <v>67</v>
      </c>
      <c r="P1821" s="103" t="s">
        <v>68</v>
      </c>
      <c r="Q1821" s="150">
        <v>46164.0</v>
      </c>
      <c r="R1821" s="103" t="s">
        <v>597</v>
      </c>
      <c r="S1821" s="150">
        <v>46166.0</v>
      </c>
      <c r="T1821" s="103"/>
      <c r="U1821" s="90" t="s">
        <v>31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1">
        <v>1816.0</v>
      </c>
      <c r="B1822" s="141" t="s">
        <v>3203</v>
      </c>
      <c r="C1822" s="82" t="str">
        <f>VLOOKUP($B$7:$B$5000,SUM!$L$6:$L$500,1,FALSE)</f>
        <v>#N/A</v>
      </c>
      <c r="D1822" s="171" t="s">
        <v>3195</v>
      </c>
      <c r="E1822" s="165" t="s">
        <v>58</v>
      </c>
      <c r="F1822" s="81" t="s">
        <v>105</v>
      </c>
      <c r="G1822" s="125" t="s">
        <v>3201</v>
      </c>
      <c r="H1822" s="81" t="s">
        <v>3202</v>
      </c>
      <c r="I1822" s="149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77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1">
        <v>1817.0</v>
      </c>
      <c r="B1823" s="141" t="s">
        <v>3204</v>
      </c>
      <c r="C1823" s="82" t="str">
        <f>VLOOKUP($B$7:$B$5000,SUM!$L$6:$L$500,1,FALSE)</f>
        <v>#N/A</v>
      </c>
      <c r="D1823" s="171" t="s">
        <v>3195</v>
      </c>
      <c r="E1823" s="165" t="s">
        <v>58</v>
      </c>
      <c r="F1823" s="81" t="s">
        <v>105</v>
      </c>
      <c r="G1823" s="125" t="s">
        <v>3201</v>
      </c>
      <c r="H1823" s="81" t="s">
        <v>3202</v>
      </c>
      <c r="I1823" s="149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77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1">
        <v>1818.0</v>
      </c>
      <c r="B1824" s="141" t="s">
        <v>3206</v>
      </c>
      <c r="C1824" s="82" t="str">
        <f>VLOOKUP($B$7:$B$5000,SUM!$L$6:$L$500,1,FALSE)</f>
        <v>#N/A</v>
      </c>
      <c r="D1824" s="171" t="s">
        <v>3195</v>
      </c>
      <c r="E1824" s="165" t="s">
        <v>58</v>
      </c>
      <c r="F1824" s="81" t="s">
        <v>105</v>
      </c>
      <c r="G1824" s="125" t="s">
        <v>3201</v>
      </c>
      <c r="H1824" s="81" t="s">
        <v>3202</v>
      </c>
      <c r="I1824" s="149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77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1">
        <v>1819.0</v>
      </c>
      <c r="B1825" s="141" t="s">
        <v>3208</v>
      </c>
      <c r="C1825" s="82" t="str">
        <f>VLOOKUP($B$7:$B$5000,SUM!$L$6:$L$500,1,FALSE)</f>
        <v>#N/A</v>
      </c>
      <c r="D1825" s="171" t="s">
        <v>3195</v>
      </c>
      <c r="E1825" s="165" t="s">
        <v>58</v>
      </c>
      <c r="F1825" s="81" t="s">
        <v>105</v>
      </c>
      <c r="G1825" s="125" t="s">
        <v>3201</v>
      </c>
      <c r="H1825" s="81" t="s">
        <v>3209</v>
      </c>
      <c r="I1825" s="149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77">
        <v>46144.0</v>
      </c>
      <c r="O1825" s="103" t="s">
        <v>67</v>
      </c>
      <c r="P1825" s="103" t="s">
        <v>68</v>
      </c>
      <c r="Q1825" s="150">
        <v>46164.0</v>
      </c>
      <c r="R1825" s="103" t="s">
        <v>597</v>
      </c>
      <c r="S1825" s="150">
        <v>46166.0</v>
      </c>
      <c r="T1825" s="103"/>
      <c r="U1825" s="90" t="s">
        <v>31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1">
        <v>1820.0</v>
      </c>
      <c r="B1826" s="141" t="s">
        <v>3210</v>
      </c>
      <c r="C1826" s="82" t="str">
        <f>VLOOKUP($B$7:$B$5000,SUM!$L$6:$L$500,1,FALSE)</f>
        <v>#N/A</v>
      </c>
      <c r="D1826" s="171" t="s">
        <v>3195</v>
      </c>
      <c r="E1826" s="165" t="s">
        <v>58</v>
      </c>
      <c r="F1826" s="81" t="s">
        <v>105</v>
      </c>
      <c r="G1826" s="125" t="s">
        <v>3201</v>
      </c>
      <c r="H1826" s="81" t="s">
        <v>3209</v>
      </c>
      <c r="I1826" s="149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77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1">
        <v>1821.0</v>
      </c>
      <c r="B1827" s="141" t="s">
        <v>3211</v>
      </c>
      <c r="C1827" s="82" t="str">
        <f>VLOOKUP($B$7:$B$5000,SUM!$L$6:$L$500,1,FALSE)</f>
        <v>#N/A</v>
      </c>
      <c r="D1827" s="171" t="s">
        <v>3195</v>
      </c>
      <c r="E1827" s="165" t="s">
        <v>58</v>
      </c>
      <c r="F1827" s="81" t="s">
        <v>105</v>
      </c>
      <c r="G1827" s="125" t="s">
        <v>3201</v>
      </c>
      <c r="H1827" s="81" t="s">
        <v>3209</v>
      </c>
      <c r="I1827" s="149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77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1">
        <v>1822.0</v>
      </c>
      <c r="B1828" s="141" t="s">
        <v>3212</v>
      </c>
      <c r="C1828" s="82" t="str">
        <f>VLOOKUP($B$7:$B$5000,SUM!$L$6:$L$500,1,FALSE)</f>
        <v>#N/A</v>
      </c>
      <c r="D1828" s="171" t="s">
        <v>3195</v>
      </c>
      <c r="E1828" s="165" t="s">
        <v>58</v>
      </c>
      <c r="F1828" s="81" t="s">
        <v>105</v>
      </c>
      <c r="G1828" s="125" t="s">
        <v>3201</v>
      </c>
      <c r="H1828" s="81" t="s">
        <v>3209</v>
      </c>
      <c r="I1828" s="149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77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1">
        <v>1823.0</v>
      </c>
      <c r="B1829" s="141" t="s">
        <v>3213</v>
      </c>
      <c r="C1829" s="82" t="str">
        <f>VLOOKUP($B$7:$B$5000,SUM!$L$6:$L$500,1,FALSE)</f>
        <v>#N/A</v>
      </c>
      <c r="D1829" s="171" t="s">
        <v>3195</v>
      </c>
      <c r="E1829" s="165" t="s">
        <v>58</v>
      </c>
      <c r="F1829" s="81" t="s">
        <v>105</v>
      </c>
      <c r="G1829" s="125" t="s">
        <v>3214</v>
      </c>
      <c r="H1829" s="81" t="s">
        <v>3215</v>
      </c>
      <c r="I1829" s="149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77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1">
        <v>1824.0</v>
      </c>
      <c r="B1830" s="141" t="s">
        <v>3216</v>
      </c>
      <c r="C1830" s="82" t="str">
        <f>VLOOKUP($B$7:$B$5000,SUM!$L$6:$L$500,1,FALSE)</f>
        <v>#N/A</v>
      </c>
      <c r="D1830" s="171" t="s">
        <v>3195</v>
      </c>
      <c r="E1830" s="165" t="s">
        <v>58</v>
      </c>
      <c r="F1830" s="81" t="s">
        <v>105</v>
      </c>
      <c r="G1830" s="125" t="s">
        <v>3214</v>
      </c>
      <c r="H1830" s="81" t="s">
        <v>3215</v>
      </c>
      <c r="I1830" s="149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77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1">
        <v>1825.0</v>
      </c>
      <c r="B1831" s="141" t="s">
        <v>3218</v>
      </c>
      <c r="C1831" s="82" t="str">
        <f>VLOOKUP($B$7:$B$5000,SUM!$L$6:$L$500,1,FALSE)</f>
        <v>#N/A</v>
      </c>
      <c r="D1831" s="171" t="s">
        <v>3195</v>
      </c>
      <c r="E1831" s="165" t="s">
        <v>58</v>
      </c>
      <c r="F1831" s="81" t="s">
        <v>105</v>
      </c>
      <c r="G1831" s="125" t="s">
        <v>3214</v>
      </c>
      <c r="H1831" s="81" t="s">
        <v>3215</v>
      </c>
      <c r="I1831" s="149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77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1">
        <v>1826.0</v>
      </c>
      <c r="B1832" s="141" t="s">
        <v>3219</v>
      </c>
      <c r="C1832" s="82" t="str">
        <f>VLOOKUP($B$7:$B$5000,SUM!$L$6:$L$500,1,FALSE)</f>
        <v>#N/A</v>
      </c>
      <c r="D1832" s="171" t="s">
        <v>3195</v>
      </c>
      <c r="E1832" s="165" t="s">
        <v>58</v>
      </c>
      <c r="F1832" s="81" t="s">
        <v>105</v>
      </c>
      <c r="G1832" s="125" t="s">
        <v>3214</v>
      </c>
      <c r="H1832" s="81" t="s">
        <v>3215</v>
      </c>
      <c r="I1832" s="149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77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1">
        <v>1827.0</v>
      </c>
      <c r="B1833" s="141" t="s">
        <v>3221</v>
      </c>
      <c r="C1833" s="82" t="str">
        <f>VLOOKUP($B$7:$B$5000,SUM!$L$6:$L$500,1,FALSE)</f>
        <v>#N/A</v>
      </c>
      <c r="D1833" s="171" t="s">
        <v>3195</v>
      </c>
      <c r="E1833" s="165" t="s">
        <v>58</v>
      </c>
      <c r="F1833" s="81" t="s">
        <v>105</v>
      </c>
      <c r="G1833" s="125" t="s">
        <v>3214</v>
      </c>
      <c r="H1833" s="81" t="s">
        <v>3222</v>
      </c>
      <c r="I1833" s="149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77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1">
        <v>1828.0</v>
      </c>
      <c r="B1834" s="141" t="s">
        <v>3223</v>
      </c>
      <c r="C1834" s="82" t="str">
        <f>VLOOKUP($B$7:$B$5000,SUM!$L$6:$L$500,1,FALSE)</f>
        <v>#N/A</v>
      </c>
      <c r="D1834" s="171" t="s">
        <v>3195</v>
      </c>
      <c r="E1834" s="165" t="s">
        <v>58</v>
      </c>
      <c r="F1834" s="81" t="s">
        <v>105</v>
      </c>
      <c r="G1834" s="125" t="s">
        <v>3214</v>
      </c>
      <c r="H1834" s="81" t="s">
        <v>3222</v>
      </c>
      <c r="I1834" s="149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77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1">
        <v>1829.0</v>
      </c>
      <c r="B1835" s="141" t="s">
        <v>3224</v>
      </c>
      <c r="C1835" s="82" t="str">
        <f>VLOOKUP($B$7:$B$5000,SUM!$L$6:$L$500,1,FALSE)</f>
        <v>#N/A</v>
      </c>
      <c r="D1835" s="171" t="s">
        <v>3195</v>
      </c>
      <c r="E1835" s="165" t="s">
        <v>58</v>
      </c>
      <c r="F1835" s="81" t="s">
        <v>105</v>
      </c>
      <c r="G1835" s="125" t="s">
        <v>3214</v>
      </c>
      <c r="H1835" s="81" t="s">
        <v>3222</v>
      </c>
      <c r="I1835" s="149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77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1">
        <v>1830.0</v>
      </c>
      <c r="B1836" s="141" t="s">
        <v>3225</v>
      </c>
      <c r="C1836" s="82" t="str">
        <f>VLOOKUP($B$7:$B$5000,SUM!$L$6:$L$500,1,FALSE)</f>
        <v>#N/A</v>
      </c>
      <c r="D1836" s="171" t="s">
        <v>3195</v>
      </c>
      <c r="E1836" s="165" t="s">
        <v>58</v>
      </c>
      <c r="F1836" s="81" t="s">
        <v>105</v>
      </c>
      <c r="G1836" s="125" t="s">
        <v>3214</v>
      </c>
      <c r="H1836" s="81" t="s">
        <v>3222</v>
      </c>
      <c r="I1836" s="149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77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1">
        <v>1831.0</v>
      </c>
      <c r="B1837" s="141" t="s">
        <v>3226</v>
      </c>
      <c r="C1837" s="82" t="str">
        <f>VLOOKUP($B$7:$B$5000,SUM!$L$6:$L$500,1,FALSE)</f>
        <v>#N/A</v>
      </c>
      <c r="D1837" s="171" t="s">
        <v>3195</v>
      </c>
      <c r="E1837" s="165" t="s">
        <v>58</v>
      </c>
      <c r="F1837" s="81" t="s">
        <v>105</v>
      </c>
      <c r="G1837" s="125" t="s">
        <v>3214</v>
      </c>
      <c r="H1837" s="81" t="s">
        <v>3227</v>
      </c>
      <c r="I1837" s="149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77">
        <v>46144.0</v>
      </c>
      <c r="O1837" s="103" t="s">
        <v>67</v>
      </c>
      <c r="P1837" s="103" t="s">
        <v>68</v>
      </c>
      <c r="Q1837" s="150">
        <v>46161.0</v>
      </c>
      <c r="R1837" s="103" t="s">
        <v>597</v>
      </c>
      <c r="S1837" s="104">
        <v>46166.0</v>
      </c>
      <c r="T1837" s="103"/>
      <c r="U1837" s="90" t="s">
        <v>31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1">
        <v>1832.0</v>
      </c>
      <c r="B1838" s="141" t="s">
        <v>3228</v>
      </c>
      <c r="C1838" s="82" t="str">
        <f>VLOOKUP($B$7:$B$5000,SUM!$L$6:$L$500,1,FALSE)</f>
        <v>#N/A</v>
      </c>
      <c r="D1838" s="171" t="s">
        <v>3195</v>
      </c>
      <c r="E1838" s="165" t="s">
        <v>58</v>
      </c>
      <c r="F1838" s="81" t="s">
        <v>105</v>
      </c>
      <c r="G1838" s="125" t="s">
        <v>3214</v>
      </c>
      <c r="H1838" s="81" t="s">
        <v>3227</v>
      </c>
      <c r="I1838" s="149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77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1">
        <v>1833.0</v>
      </c>
      <c r="B1839" s="141" t="s">
        <v>3229</v>
      </c>
      <c r="C1839" s="82" t="str">
        <f>VLOOKUP($B$7:$B$5000,SUM!$L$6:$L$500,1,FALSE)</f>
        <v>#N/A</v>
      </c>
      <c r="D1839" s="171" t="s">
        <v>3195</v>
      </c>
      <c r="E1839" s="165" t="s">
        <v>58</v>
      </c>
      <c r="F1839" s="81" t="s">
        <v>105</v>
      </c>
      <c r="G1839" s="125" t="s">
        <v>3214</v>
      </c>
      <c r="H1839" s="81" t="s">
        <v>3227</v>
      </c>
      <c r="I1839" s="149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77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1">
        <v>1834.0</v>
      </c>
      <c r="B1840" s="141" t="s">
        <v>3230</v>
      </c>
      <c r="C1840" s="82" t="str">
        <f>VLOOKUP($B$7:$B$5000,SUM!$L$6:$L$500,1,FALSE)</f>
        <v>#N/A</v>
      </c>
      <c r="D1840" s="171" t="s">
        <v>3195</v>
      </c>
      <c r="E1840" s="165" t="s">
        <v>58</v>
      </c>
      <c r="F1840" s="81" t="s">
        <v>105</v>
      </c>
      <c r="G1840" s="125" t="s">
        <v>3214</v>
      </c>
      <c r="H1840" s="81" t="s">
        <v>3227</v>
      </c>
      <c r="I1840" s="149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77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1">
        <v>1835.0</v>
      </c>
      <c r="B1841" s="141" t="s">
        <v>3231</v>
      </c>
      <c r="C1841" s="82" t="str">
        <f>VLOOKUP($B$7:$B$5000,SUM!$L$6:$L$500,1,FALSE)</f>
        <v>#N/A</v>
      </c>
      <c r="D1841" s="171" t="s">
        <v>3195</v>
      </c>
      <c r="E1841" s="165" t="s">
        <v>58</v>
      </c>
      <c r="F1841" s="81" t="s">
        <v>105</v>
      </c>
      <c r="G1841" s="125" t="s">
        <v>3214</v>
      </c>
      <c r="H1841" s="81" t="s">
        <v>3232</v>
      </c>
      <c r="I1841" s="149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77">
        <v>46144.0</v>
      </c>
      <c r="O1841" s="103" t="s">
        <v>67</v>
      </c>
      <c r="P1841" s="103" t="s">
        <v>68</v>
      </c>
      <c r="Q1841" s="150">
        <v>46164.0</v>
      </c>
      <c r="R1841" s="103" t="s">
        <v>597</v>
      </c>
      <c r="S1841" s="150">
        <v>46166.0</v>
      </c>
      <c r="T1841" s="103"/>
      <c r="U1841" s="90" t="s">
        <v>31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1">
        <v>1836.0</v>
      </c>
      <c r="B1842" s="141" t="s">
        <v>3233</v>
      </c>
      <c r="C1842" s="82" t="str">
        <f>VLOOKUP($B$7:$B$5000,SUM!$L$6:$L$500,1,FALSE)</f>
        <v>#N/A</v>
      </c>
      <c r="D1842" s="171" t="s">
        <v>3195</v>
      </c>
      <c r="E1842" s="165" t="s">
        <v>58</v>
      </c>
      <c r="F1842" s="81" t="s">
        <v>105</v>
      </c>
      <c r="G1842" s="125" t="s">
        <v>3214</v>
      </c>
      <c r="H1842" s="81" t="s">
        <v>3232</v>
      </c>
      <c r="I1842" s="149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77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1">
        <v>1837.0</v>
      </c>
      <c r="B1843" s="141" t="s">
        <v>3234</v>
      </c>
      <c r="C1843" s="82" t="str">
        <f>VLOOKUP($B$7:$B$5000,SUM!$L$6:$L$500,1,FALSE)</f>
        <v>#N/A</v>
      </c>
      <c r="D1843" s="171" t="s">
        <v>3195</v>
      </c>
      <c r="E1843" s="165" t="s">
        <v>58</v>
      </c>
      <c r="F1843" s="81" t="s">
        <v>105</v>
      </c>
      <c r="G1843" s="125" t="s">
        <v>3214</v>
      </c>
      <c r="H1843" s="81" t="s">
        <v>3232</v>
      </c>
      <c r="I1843" s="149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77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1">
        <v>1838.0</v>
      </c>
      <c r="B1844" s="141" t="s">
        <v>3235</v>
      </c>
      <c r="C1844" s="82" t="str">
        <f>VLOOKUP($B$7:$B$5000,SUM!$L$6:$L$500,1,FALSE)</f>
        <v>#N/A</v>
      </c>
      <c r="D1844" s="171" t="s">
        <v>3195</v>
      </c>
      <c r="E1844" s="165" t="s">
        <v>58</v>
      </c>
      <c r="F1844" s="81" t="s">
        <v>105</v>
      </c>
      <c r="G1844" s="125" t="s">
        <v>3214</v>
      </c>
      <c r="H1844" s="81" t="s">
        <v>3232</v>
      </c>
      <c r="I1844" s="149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77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1">
        <v>1839.0</v>
      </c>
      <c r="B1845" s="141" t="s">
        <v>3236</v>
      </c>
      <c r="C1845" s="82" t="str">
        <f>VLOOKUP($B$7:$B$5000,SUM!$L$6:$L$500,1,FALSE)</f>
        <v>#N/A</v>
      </c>
      <c r="D1845" s="171" t="s">
        <v>3195</v>
      </c>
      <c r="E1845" s="165" t="s">
        <v>58</v>
      </c>
      <c r="F1845" s="81" t="s">
        <v>105</v>
      </c>
      <c r="G1845" s="125" t="s">
        <v>3214</v>
      </c>
      <c r="H1845" s="81" t="s">
        <v>3237</v>
      </c>
      <c r="I1845" s="149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77">
        <v>46144.0</v>
      </c>
      <c r="O1845" s="103" t="s">
        <v>67</v>
      </c>
      <c r="P1845" s="103" t="s">
        <v>68</v>
      </c>
      <c r="Q1845" s="150">
        <v>46164.0</v>
      </c>
      <c r="R1845" s="103" t="s">
        <v>597</v>
      </c>
      <c r="S1845" s="150">
        <v>46166.0</v>
      </c>
      <c r="T1845" s="103"/>
      <c r="U1845" s="90" t="s">
        <v>31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1">
        <v>1840.0</v>
      </c>
      <c r="B1846" s="141" t="s">
        <v>3238</v>
      </c>
      <c r="C1846" s="82" t="str">
        <f>VLOOKUP($B$7:$B$5000,SUM!$L$6:$L$500,1,FALSE)</f>
        <v>#N/A</v>
      </c>
      <c r="D1846" s="171" t="s">
        <v>3195</v>
      </c>
      <c r="E1846" s="165" t="s">
        <v>58</v>
      </c>
      <c r="F1846" s="81" t="s">
        <v>105</v>
      </c>
      <c r="G1846" s="125" t="s">
        <v>3214</v>
      </c>
      <c r="H1846" s="81" t="s">
        <v>3237</v>
      </c>
      <c r="I1846" s="149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77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1">
        <v>1841.0</v>
      </c>
      <c r="B1847" s="141" t="s">
        <v>3239</v>
      </c>
      <c r="C1847" s="82" t="str">
        <f>VLOOKUP($B$7:$B$5000,SUM!$L$6:$L$500,1,FALSE)</f>
        <v>#N/A</v>
      </c>
      <c r="D1847" s="171" t="s">
        <v>3195</v>
      </c>
      <c r="E1847" s="165" t="s">
        <v>58</v>
      </c>
      <c r="F1847" s="81" t="s">
        <v>105</v>
      </c>
      <c r="G1847" s="125" t="s">
        <v>3214</v>
      </c>
      <c r="H1847" s="81" t="s">
        <v>3237</v>
      </c>
      <c r="I1847" s="149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77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1">
        <v>1842.0</v>
      </c>
      <c r="B1848" s="141" t="s">
        <v>3240</v>
      </c>
      <c r="C1848" s="82" t="str">
        <f>VLOOKUP($B$7:$B$5000,SUM!$L$6:$L$500,1,FALSE)</f>
        <v>#N/A</v>
      </c>
      <c r="D1848" s="171" t="s">
        <v>3195</v>
      </c>
      <c r="E1848" s="165" t="s">
        <v>58</v>
      </c>
      <c r="F1848" s="81" t="s">
        <v>105</v>
      </c>
      <c r="G1848" s="125" t="s">
        <v>3214</v>
      </c>
      <c r="H1848" s="81" t="s">
        <v>3237</v>
      </c>
      <c r="I1848" s="149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77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1">
        <v>1843.0</v>
      </c>
      <c r="B1849" s="141" t="s">
        <v>3241</v>
      </c>
      <c r="C1849" s="82" t="str">
        <f>VLOOKUP($B$7:$B$5000,SUM!$L$6:$L$500,1,FALSE)</f>
        <v>#N/A</v>
      </c>
      <c r="D1849" s="171" t="s">
        <v>3195</v>
      </c>
      <c r="E1849" s="165" t="s">
        <v>58</v>
      </c>
      <c r="F1849" s="81" t="s">
        <v>105</v>
      </c>
      <c r="G1849" s="125" t="s">
        <v>3214</v>
      </c>
      <c r="H1849" s="81" t="s">
        <v>3242</v>
      </c>
      <c r="I1849" s="149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77">
        <v>46144.0</v>
      </c>
      <c r="O1849" s="103" t="s">
        <v>67</v>
      </c>
      <c r="P1849" s="103" t="s">
        <v>68</v>
      </c>
      <c r="Q1849" s="150">
        <v>46161.0</v>
      </c>
      <c r="R1849" s="103" t="s">
        <v>597</v>
      </c>
      <c r="S1849" s="104">
        <v>46166.0</v>
      </c>
      <c r="T1849" s="103"/>
      <c r="U1849" s="90" t="s">
        <v>31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1">
        <v>1844.0</v>
      </c>
      <c r="B1850" s="141" t="s">
        <v>3243</v>
      </c>
      <c r="C1850" s="82" t="str">
        <f>VLOOKUP($B$7:$B$5000,SUM!$L$6:$L$500,1,FALSE)</f>
        <v>#N/A</v>
      </c>
      <c r="D1850" s="171" t="s">
        <v>3195</v>
      </c>
      <c r="E1850" s="165" t="s">
        <v>58</v>
      </c>
      <c r="F1850" s="81" t="s">
        <v>105</v>
      </c>
      <c r="G1850" s="125" t="s">
        <v>3214</v>
      </c>
      <c r="H1850" s="81" t="s">
        <v>3242</v>
      </c>
      <c r="I1850" s="149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77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1">
        <v>1845.0</v>
      </c>
      <c r="B1851" s="141" t="s">
        <v>3244</v>
      </c>
      <c r="C1851" s="82" t="str">
        <f>VLOOKUP($B$7:$B$5000,SUM!$L$6:$L$500,1,FALSE)</f>
        <v>#N/A</v>
      </c>
      <c r="D1851" s="171" t="s">
        <v>3195</v>
      </c>
      <c r="E1851" s="165" t="s">
        <v>58</v>
      </c>
      <c r="F1851" s="81" t="s">
        <v>105</v>
      </c>
      <c r="G1851" s="125" t="s">
        <v>3214</v>
      </c>
      <c r="H1851" s="81" t="s">
        <v>3242</v>
      </c>
      <c r="I1851" s="149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77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1">
        <v>1846.0</v>
      </c>
      <c r="B1852" s="141" t="s">
        <v>3245</v>
      </c>
      <c r="C1852" s="82" t="str">
        <f>VLOOKUP($B$7:$B$5000,SUM!$L$6:$L$500,1,FALSE)</f>
        <v>#N/A</v>
      </c>
      <c r="D1852" s="171" t="s">
        <v>3195</v>
      </c>
      <c r="E1852" s="165" t="s">
        <v>58</v>
      </c>
      <c r="F1852" s="81" t="s">
        <v>105</v>
      </c>
      <c r="G1852" s="125" t="s">
        <v>3214</v>
      </c>
      <c r="H1852" s="81" t="s">
        <v>3242</v>
      </c>
      <c r="I1852" s="149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77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1">
        <v>1847.0</v>
      </c>
      <c r="B1853" s="141" t="s">
        <v>3246</v>
      </c>
      <c r="C1853" s="82" t="str">
        <f>VLOOKUP($B$7:$B$5000,SUM!$L$6:$L$500,1,FALSE)</f>
        <v>#N/A</v>
      </c>
      <c r="D1853" s="171" t="s">
        <v>3195</v>
      </c>
      <c r="E1853" s="165" t="s">
        <v>58</v>
      </c>
      <c r="F1853" s="81" t="s">
        <v>105</v>
      </c>
      <c r="G1853" s="125" t="s">
        <v>3214</v>
      </c>
      <c r="H1853" s="81" t="s">
        <v>3247</v>
      </c>
      <c r="I1853" s="149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77">
        <v>46144.0</v>
      </c>
      <c r="O1853" s="103" t="s">
        <v>67</v>
      </c>
      <c r="P1853" s="103" t="s">
        <v>68</v>
      </c>
      <c r="Q1853" s="150">
        <v>46164.0</v>
      </c>
      <c r="R1853" s="103" t="s">
        <v>597</v>
      </c>
      <c r="S1853" s="150">
        <v>46166.0</v>
      </c>
      <c r="T1853" s="103"/>
      <c r="U1853" s="90" t="s">
        <v>31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1">
        <v>1848.0</v>
      </c>
      <c r="B1854" s="141" t="s">
        <v>3248</v>
      </c>
      <c r="C1854" s="82" t="str">
        <f>VLOOKUP($B$7:$B$5000,SUM!$L$6:$L$500,1,FALSE)</f>
        <v>#N/A</v>
      </c>
      <c r="D1854" s="171" t="s">
        <v>3195</v>
      </c>
      <c r="E1854" s="165" t="s">
        <v>58</v>
      </c>
      <c r="F1854" s="81" t="s">
        <v>105</v>
      </c>
      <c r="G1854" s="125" t="s">
        <v>3214</v>
      </c>
      <c r="H1854" s="81" t="s">
        <v>3247</v>
      </c>
      <c r="I1854" s="149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77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1">
        <v>1849.0</v>
      </c>
      <c r="B1855" s="141" t="s">
        <v>3249</v>
      </c>
      <c r="C1855" s="82" t="str">
        <f>VLOOKUP($B$7:$B$5000,SUM!$L$6:$L$500,1,FALSE)</f>
        <v>#N/A</v>
      </c>
      <c r="D1855" s="171" t="s">
        <v>3195</v>
      </c>
      <c r="E1855" s="165" t="s">
        <v>58</v>
      </c>
      <c r="F1855" s="81" t="s">
        <v>105</v>
      </c>
      <c r="G1855" s="125" t="s">
        <v>3214</v>
      </c>
      <c r="H1855" s="81" t="s">
        <v>3247</v>
      </c>
      <c r="I1855" s="149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77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1">
        <v>1850.0</v>
      </c>
      <c r="B1856" s="141" t="s">
        <v>3250</v>
      </c>
      <c r="C1856" s="82" t="str">
        <f>VLOOKUP($B$7:$B$5000,SUM!$L$6:$L$500,1,FALSE)</f>
        <v>#N/A</v>
      </c>
      <c r="D1856" s="171" t="s">
        <v>3195</v>
      </c>
      <c r="E1856" s="165" t="s">
        <v>58</v>
      </c>
      <c r="F1856" s="81" t="s">
        <v>105</v>
      </c>
      <c r="G1856" s="125" t="s">
        <v>3214</v>
      </c>
      <c r="H1856" s="81" t="s">
        <v>3247</v>
      </c>
      <c r="I1856" s="149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77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1">
        <v>1851.0</v>
      </c>
      <c r="B1857" s="141" t="s">
        <v>3251</v>
      </c>
      <c r="C1857" s="82" t="str">
        <f>VLOOKUP($B$7:$B$5000,SUM!$L$6:$L$500,1,FALSE)</f>
        <v>#N/A</v>
      </c>
      <c r="D1857" s="171" t="s">
        <v>3195</v>
      </c>
      <c r="E1857" s="165" t="s">
        <v>58</v>
      </c>
      <c r="F1857" s="81" t="s">
        <v>105</v>
      </c>
      <c r="G1857" s="125" t="s">
        <v>3214</v>
      </c>
      <c r="H1857" s="81" t="s">
        <v>3252</v>
      </c>
      <c r="I1857" s="149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77">
        <v>46144.0</v>
      </c>
      <c r="O1857" s="103" t="s">
        <v>67</v>
      </c>
      <c r="P1857" s="103" t="s">
        <v>68</v>
      </c>
      <c r="Q1857" s="150">
        <v>46162.0</v>
      </c>
      <c r="R1857" s="103" t="s">
        <v>597</v>
      </c>
      <c r="S1857" s="150">
        <v>46166.0</v>
      </c>
      <c r="T1857" s="103"/>
      <c r="U1857" s="90" t="s">
        <v>31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1">
        <v>1852.0</v>
      </c>
      <c r="B1858" s="141" t="s">
        <v>3253</v>
      </c>
      <c r="C1858" s="82" t="str">
        <f>VLOOKUP($B$7:$B$5000,SUM!$L$6:$L$500,1,FALSE)</f>
        <v>#N/A</v>
      </c>
      <c r="D1858" s="171" t="s">
        <v>3195</v>
      </c>
      <c r="E1858" s="165" t="s">
        <v>58</v>
      </c>
      <c r="F1858" s="81" t="s">
        <v>105</v>
      </c>
      <c r="G1858" s="125" t="s">
        <v>3214</v>
      </c>
      <c r="H1858" s="81" t="s">
        <v>3252</v>
      </c>
      <c r="I1858" s="149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77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1">
        <v>1853.0</v>
      </c>
      <c r="B1859" s="141" t="s">
        <v>3254</v>
      </c>
      <c r="C1859" s="82" t="str">
        <f>VLOOKUP($B$7:$B$5000,SUM!$L$6:$L$500,1,FALSE)</f>
        <v>#N/A</v>
      </c>
      <c r="D1859" s="171" t="s">
        <v>3195</v>
      </c>
      <c r="E1859" s="165" t="s">
        <v>58</v>
      </c>
      <c r="F1859" s="81" t="s">
        <v>105</v>
      </c>
      <c r="G1859" s="125" t="s">
        <v>3214</v>
      </c>
      <c r="H1859" s="81" t="s">
        <v>3252</v>
      </c>
      <c r="I1859" s="149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77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1">
        <v>1854.0</v>
      </c>
      <c r="B1860" s="141" t="s">
        <v>3255</v>
      </c>
      <c r="C1860" s="82" t="str">
        <f>VLOOKUP($B$7:$B$5000,SUM!$L$6:$L$500,1,FALSE)</f>
        <v>#N/A</v>
      </c>
      <c r="D1860" s="171" t="s">
        <v>3195</v>
      </c>
      <c r="E1860" s="165" t="s">
        <v>58</v>
      </c>
      <c r="F1860" s="81" t="s">
        <v>105</v>
      </c>
      <c r="G1860" s="125" t="s">
        <v>3214</v>
      </c>
      <c r="H1860" s="81" t="s">
        <v>3252</v>
      </c>
      <c r="I1860" s="149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77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1">
        <v>1855.0</v>
      </c>
      <c r="B1861" s="141" t="s">
        <v>3256</v>
      </c>
      <c r="C1861" s="82" t="str">
        <f>VLOOKUP($B$7:$B$5000,SUM!$L$6:$L$500,1,FALSE)</f>
        <v>#N/A</v>
      </c>
      <c r="D1861" s="171" t="s">
        <v>3195</v>
      </c>
      <c r="E1861" s="165" t="s">
        <v>58</v>
      </c>
      <c r="F1861" s="81" t="s">
        <v>105</v>
      </c>
      <c r="G1861" s="125" t="s">
        <v>3214</v>
      </c>
      <c r="H1861" s="81" t="s">
        <v>3257</v>
      </c>
      <c r="I1861" s="149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77">
        <v>46144.0</v>
      </c>
      <c r="O1861" s="103" t="s">
        <v>67</v>
      </c>
      <c r="P1861" s="103" t="s">
        <v>68</v>
      </c>
      <c r="Q1861" s="150">
        <v>46165.0</v>
      </c>
      <c r="R1861" s="103" t="s">
        <v>597</v>
      </c>
      <c r="S1861" s="150">
        <v>46166.0</v>
      </c>
      <c r="T1861" s="103"/>
      <c r="U1861" s="90" t="s">
        <v>31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1">
        <v>1856.0</v>
      </c>
      <c r="B1862" s="141" t="s">
        <v>3258</v>
      </c>
      <c r="C1862" s="82" t="str">
        <f>VLOOKUP($B$7:$B$5000,SUM!$L$6:$L$500,1,FALSE)</f>
        <v>#N/A</v>
      </c>
      <c r="D1862" s="171" t="s">
        <v>3195</v>
      </c>
      <c r="E1862" s="165" t="s">
        <v>58</v>
      </c>
      <c r="F1862" s="81" t="s">
        <v>105</v>
      </c>
      <c r="G1862" s="125" t="s">
        <v>3214</v>
      </c>
      <c r="H1862" s="81" t="s">
        <v>3257</v>
      </c>
      <c r="I1862" s="149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77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1">
        <v>1857.0</v>
      </c>
      <c r="B1863" s="141" t="s">
        <v>3259</v>
      </c>
      <c r="C1863" s="82" t="str">
        <f>VLOOKUP($B$7:$B$5000,SUM!$L$6:$L$500,1,FALSE)</f>
        <v>#N/A</v>
      </c>
      <c r="D1863" s="171" t="s">
        <v>3195</v>
      </c>
      <c r="E1863" s="165" t="s">
        <v>58</v>
      </c>
      <c r="F1863" s="81" t="s">
        <v>105</v>
      </c>
      <c r="G1863" s="125" t="s">
        <v>3214</v>
      </c>
      <c r="H1863" s="81" t="s">
        <v>3257</v>
      </c>
      <c r="I1863" s="149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77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1">
        <v>1858.0</v>
      </c>
      <c r="B1864" s="141" t="s">
        <v>3260</v>
      </c>
      <c r="C1864" s="82" t="str">
        <f>VLOOKUP($B$7:$B$5000,SUM!$L$6:$L$500,1,FALSE)</f>
        <v>#N/A</v>
      </c>
      <c r="D1864" s="171" t="s">
        <v>3195</v>
      </c>
      <c r="E1864" s="165" t="s">
        <v>58</v>
      </c>
      <c r="F1864" s="81" t="s">
        <v>105</v>
      </c>
      <c r="G1864" s="125" t="s">
        <v>3214</v>
      </c>
      <c r="H1864" s="81" t="s">
        <v>3257</v>
      </c>
      <c r="I1864" s="149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77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1">
        <v>1859.0</v>
      </c>
      <c r="B1865" s="141" t="s">
        <v>3261</v>
      </c>
      <c r="C1865" s="82" t="str">
        <f>VLOOKUP($B$7:$B$5000,SUM!$L$6:$L$500,1,FALSE)</f>
        <v>#N/A</v>
      </c>
      <c r="D1865" s="171" t="s">
        <v>3195</v>
      </c>
      <c r="E1865" s="165" t="s">
        <v>58</v>
      </c>
      <c r="F1865" s="81" t="s">
        <v>105</v>
      </c>
      <c r="G1865" s="125" t="s">
        <v>3214</v>
      </c>
      <c r="H1865" s="81" t="s">
        <v>3262</v>
      </c>
      <c r="I1865" s="149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77">
        <v>46144.0</v>
      </c>
      <c r="O1865" s="103" t="s">
        <v>67</v>
      </c>
      <c r="P1865" s="103" t="s">
        <v>68</v>
      </c>
      <c r="Q1865" s="150">
        <v>46162.0</v>
      </c>
      <c r="R1865" s="103" t="s">
        <v>597</v>
      </c>
      <c r="S1865" s="150">
        <v>46166.0</v>
      </c>
      <c r="T1865" s="103"/>
      <c r="U1865" s="90" t="s">
        <v>31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1">
        <v>1860.0</v>
      </c>
      <c r="B1866" s="141" t="s">
        <v>3263</v>
      </c>
      <c r="C1866" s="82" t="str">
        <f>VLOOKUP($B$7:$B$5000,SUM!$L$6:$L$500,1,FALSE)</f>
        <v>#N/A</v>
      </c>
      <c r="D1866" s="171" t="s">
        <v>3195</v>
      </c>
      <c r="E1866" s="165" t="s">
        <v>58</v>
      </c>
      <c r="F1866" s="81" t="s">
        <v>105</v>
      </c>
      <c r="G1866" s="125" t="s">
        <v>3214</v>
      </c>
      <c r="H1866" s="81" t="s">
        <v>3262</v>
      </c>
      <c r="I1866" s="149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77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1">
        <v>1861.0</v>
      </c>
      <c r="B1867" s="141" t="s">
        <v>3264</v>
      </c>
      <c r="C1867" s="82" t="str">
        <f>VLOOKUP($B$7:$B$5000,SUM!$L$6:$L$500,1,FALSE)</f>
        <v>#N/A</v>
      </c>
      <c r="D1867" s="171" t="s">
        <v>3195</v>
      </c>
      <c r="E1867" s="165" t="s">
        <v>58</v>
      </c>
      <c r="F1867" s="81" t="s">
        <v>105</v>
      </c>
      <c r="G1867" s="125" t="s">
        <v>3214</v>
      </c>
      <c r="H1867" s="81" t="s">
        <v>3262</v>
      </c>
      <c r="I1867" s="149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77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1">
        <v>1862.0</v>
      </c>
      <c r="B1868" s="141" t="s">
        <v>3265</v>
      </c>
      <c r="C1868" s="82" t="str">
        <f>VLOOKUP($B$7:$B$5000,SUM!$L$6:$L$500,1,FALSE)</f>
        <v>#N/A</v>
      </c>
      <c r="D1868" s="171" t="s">
        <v>3195</v>
      </c>
      <c r="E1868" s="165" t="s">
        <v>58</v>
      </c>
      <c r="F1868" s="81" t="s">
        <v>105</v>
      </c>
      <c r="G1868" s="125" t="s">
        <v>3214</v>
      </c>
      <c r="H1868" s="81" t="s">
        <v>3262</v>
      </c>
      <c r="I1868" s="149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77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1">
        <v>1863.0</v>
      </c>
      <c r="B1869" s="141" t="s">
        <v>3266</v>
      </c>
      <c r="C1869" s="82" t="str">
        <f>VLOOKUP($B$7:$B$5000,SUM!$L$6:$L$500,1,FALSE)</f>
        <v>#N/A</v>
      </c>
      <c r="D1869" s="171" t="s">
        <v>3195</v>
      </c>
      <c r="E1869" s="165" t="s">
        <v>58</v>
      </c>
      <c r="F1869" s="81" t="s">
        <v>105</v>
      </c>
      <c r="G1869" s="125" t="s">
        <v>3214</v>
      </c>
      <c r="H1869" s="81" t="s">
        <v>3267</v>
      </c>
      <c r="I1869" s="149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77">
        <v>46144.0</v>
      </c>
      <c r="O1869" s="103" t="s">
        <v>67</v>
      </c>
      <c r="P1869" s="103" t="s">
        <v>68</v>
      </c>
      <c r="Q1869" s="150">
        <v>46162.0</v>
      </c>
      <c r="R1869" s="103" t="s">
        <v>597</v>
      </c>
      <c r="S1869" s="150">
        <v>46166.0</v>
      </c>
      <c r="T1869" s="103"/>
      <c r="U1869" s="90" t="s">
        <v>31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1">
        <v>1864.0</v>
      </c>
      <c r="B1870" s="141" t="s">
        <v>3268</v>
      </c>
      <c r="C1870" s="82" t="str">
        <f>VLOOKUP($B$7:$B$5000,SUM!$L$6:$L$500,1,FALSE)</f>
        <v>#N/A</v>
      </c>
      <c r="D1870" s="171" t="s">
        <v>3195</v>
      </c>
      <c r="E1870" s="165" t="s">
        <v>58</v>
      </c>
      <c r="F1870" s="81" t="s">
        <v>105</v>
      </c>
      <c r="G1870" s="125" t="s">
        <v>3214</v>
      </c>
      <c r="H1870" s="81" t="s">
        <v>3267</v>
      </c>
      <c r="I1870" s="149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77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1">
        <v>1865.0</v>
      </c>
      <c r="B1871" s="141" t="s">
        <v>3269</v>
      </c>
      <c r="C1871" s="82" t="str">
        <f>VLOOKUP($B$7:$B$5000,SUM!$L$6:$L$500,1,FALSE)</f>
        <v>#N/A</v>
      </c>
      <c r="D1871" s="171" t="s">
        <v>3195</v>
      </c>
      <c r="E1871" s="165" t="s">
        <v>58</v>
      </c>
      <c r="F1871" s="81" t="s">
        <v>105</v>
      </c>
      <c r="G1871" s="125" t="s">
        <v>3214</v>
      </c>
      <c r="H1871" s="81" t="s">
        <v>3267</v>
      </c>
      <c r="I1871" s="149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77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1">
        <v>1866.0</v>
      </c>
      <c r="B1872" s="141" t="s">
        <v>3270</v>
      </c>
      <c r="C1872" s="82" t="str">
        <f>VLOOKUP($B$7:$B$5000,SUM!$L$6:$L$500,1,FALSE)</f>
        <v>#N/A</v>
      </c>
      <c r="D1872" s="171" t="s">
        <v>3195</v>
      </c>
      <c r="E1872" s="165" t="s">
        <v>58</v>
      </c>
      <c r="F1872" s="81" t="s">
        <v>105</v>
      </c>
      <c r="G1872" s="125" t="s">
        <v>3214</v>
      </c>
      <c r="H1872" s="81" t="s">
        <v>3267</v>
      </c>
      <c r="I1872" s="149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77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1">
        <v>1867.0</v>
      </c>
      <c r="B1873" s="141" t="s">
        <v>3271</v>
      </c>
      <c r="C1873" s="82" t="str">
        <f>VLOOKUP($B$7:$B$5000,SUM!$L$6:$L$500,1,FALSE)</f>
        <v>#N/A</v>
      </c>
      <c r="D1873" s="171" t="s">
        <v>3195</v>
      </c>
      <c r="E1873" s="165" t="s">
        <v>58</v>
      </c>
      <c r="F1873" s="81" t="s">
        <v>105</v>
      </c>
      <c r="G1873" s="125" t="s">
        <v>3272</v>
      </c>
      <c r="H1873" s="81" t="s">
        <v>3273</v>
      </c>
      <c r="I1873" s="149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77">
        <v>46144.0</v>
      </c>
      <c r="O1873" s="103" t="s">
        <v>67</v>
      </c>
      <c r="P1873" s="103" t="s">
        <v>68</v>
      </c>
      <c r="Q1873" s="150">
        <v>46164.0</v>
      </c>
      <c r="R1873" s="103" t="s">
        <v>597</v>
      </c>
      <c r="S1873" s="150">
        <v>46166.0</v>
      </c>
      <c r="T1873" s="103"/>
      <c r="U1873" s="90" t="s">
        <v>31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1">
        <v>1868.0</v>
      </c>
      <c r="B1874" s="141" t="s">
        <v>3274</v>
      </c>
      <c r="C1874" s="82" t="str">
        <f>VLOOKUP($B$7:$B$5000,SUM!$L$6:$L$500,1,FALSE)</f>
        <v>#N/A</v>
      </c>
      <c r="D1874" s="171" t="s">
        <v>3195</v>
      </c>
      <c r="E1874" s="165" t="s">
        <v>58</v>
      </c>
      <c r="F1874" s="81" t="s">
        <v>105</v>
      </c>
      <c r="G1874" s="125" t="s">
        <v>3272</v>
      </c>
      <c r="H1874" s="81" t="s">
        <v>3273</v>
      </c>
      <c r="I1874" s="149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77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1">
        <v>1869.0</v>
      </c>
      <c r="B1875" s="141" t="s">
        <v>3275</v>
      </c>
      <c r="C1875" s="82" t="str">
        <f>VLOOKUP($B$7:$B$5000,SUM!$L$6:$L$500,1,FALSE)</f>
        <v>#N/A</v>
      </c>
      <c r="D1875" s="171" t="s">
        <v>3195</v>
      </c>
      <c r="E1875" s="165" t="s">
        <v>58</v>
      </c>
      <c r="F1875" s="81" t="s">
        <v>105</v>
      </c>
      <c r="G1875" s="125" t="s">
        <v>3272</v>
      </c>
      <c r="H1875" s="81" t="s">
        <v>3273</v>
      </c>
      <c r="I1875" s="149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77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1">
        <v>1870.0</v>
      </c>
      <c r="B1876" s="141" t="s">
        <v>3277</v>
      </c>
      <c r="C1876" s="82" t="str">
        <f>VLOOKUP($B$7:$B$5000,SUM!$L$6:$L$500,1,FALSE)</f>
        <v>#N/A</v>
      </c>
      <c r="D1876" s="171" t="s">
        <v>3278</v>
      </c>
      <c r="E1876" s="165" t="s">
        <v>58</v>
      </c>
      <c r="F1876" s="81" t="s">
        <v>105</v>
      </c>
      <c r="G1876" s="125" t="s">
        <v>3279</v>
      </c>
      <c r="H1876" s="81" t="s">
        <v>3280</v>
      </c>
      <c r="I1876" s="149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77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31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1">
        <v>1871.0</v>
      </c>
      <c r="B1877" s="141" t="s">
        <v>3283</v>
      </c>
      <c r="C1877" s="82" t="str">
        <f>VLOOKUP($B$7:$B$5000,SUM!$L$6:$L$500,1,FALSE)</f>
        <v>#N/A</v>
      </c>
      <c r="D1877" s="171" t="s">
        <v>3278</v>
      </c>
      <c r="E1877" s="165" t="s">
        <v>58</v>
      </c>
      <c r="F1877" s="81" t="s">
        <v>105</v>
      </c>
      <c r="G1877" s="125" t="s">
        <v>3279</v>
      </c>
      <c r="H1877" s="81" t="s">
        <v>3280</v>
      </c>
      <c r="I1877" s="149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77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1">
        <v>1872.0</v>
      </c>
      <c r="B1878" s="141" t="s">
        <v>3284</v>
      </c>
      <c r="C1878" s="82" t="str">
        <f>VLOOKUP($B$7:$B$5000,SUM!$L$6:$L$500,1,FALSE)</f>
        <v>#N/A</v>
      </c>
      <c r="D1878" s="171" t="s">
        <v>3278</v>
      </c>
      <c r="E1878" s="165" t="s">
        <v>58</v>
      </c>
      <c r="F1878" s="81" t="s">
        <v>105</v>
      </c>
      <c r="G1878" s="125" t="s">
        <v>3279</v>
      </c>
      <c r="H1878" s="81" t="s">
        <v>3280</v>
      </c>
      <c r="I1878" s="149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77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1">
        <v>1873.0</v>
      </c>
      <c r="B1879" s="141" t="s">
        <v>3286</v>
      </c>
      <c r="C1879" s="82" t="str">
        <f>VLOOKUP($B$7:$B$5000,SUM!$L$6:$L$500,1,FALSE)</f>
        <v>#N/A</v>
      </c>
      <c r="D1879" s="171" t="s">
        <v>3278</v>
      </c>
      <c r="E1879" s="165" t="s">
        <v>58</v>
      </c>
      <c r="F1879" s="81" t="s">
        <v>105</v>
      </c>
      <c r="G1879" s="125" t="s">
        <v>3287</v>
      </c>
      <c r="H1879" s="81" t="s">
        <v>3288</v>
      </c>
      <c r="I1879" s="149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77">
        <v>46146.0</v>
      </c>
      <c r="O1879" s="103" t="s">
        <v>67</v>
      </c>
      <c r="P1879" s="103" t="s">
        <v>68</v>
      </c>
      <c r="Q1879" s="150">
        <v>46162.0</v>
      </c>
      <c r="R1879" s="103" t="s">
        <v>597</v>
      </c>
      <c r="S1879" s="150">
        <v>46166.0</v>
      </c>
      <c r="T1879" s="103"/>
      <c r="U1879" s="90" t="s">
        <v>31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1">
        <v>1874.0</v>
      </c>
      <c r="B1880" s="141" t="s">
        <v>3290</v>
      </c>
      <c r="C1880" s="82" t="str">
        <f>VLOOKUP($B$7:$B$5000,SUM!$L$6:$L$500,1,FALSE)</f>
        <v>#N/A</v>
      </c>
      <c r="D1880" s="171" t="s">
        <v>3278</v>
      </c>
      <c r="E1880" s="165" t="s">
        <v>58</v>
      </c>
      <c r="F1880" s="81" t="s">
        <v>105</v>
      </c>
      <c r="G1880" s="125" t="s">
        <v>3287</v>
      </c>
      <c r="H1880" s="81" t="s">
        <v>3288</v>
      </c>
      <c r="I1880" s="149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77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1">
        <v>1875.0</v>
      </c>
      <c r="B1881" s="141" t="s">
        <v>3292</v>
      </c>
      <c r="C1881" s="82" t="str">
        <f>VLOOKUP($B$7:$B$5000,SUM!$L$6:$L$500,1,FALSE)</f>
        <v>#N/A</v>
      </c>
      <c r="D1881" s="171" t="s">
        <v>3278</v>
      </c>
      <c r="E1881" s="165" t="s">
        <v>58</v>
      </c>
      <c r="F1881" s="81" t="s">
        <v>105</v>
      </c>
      <c r="G1881" s="125" t="s">
        <v>3287</v>
      </c>
      <c r="H1881" s="81" t="s">
        <v>3288</v>
      </c>
      <c r="I1881" s="149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77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1">
        <v>1876.0</v>
      </c>
      <c r="B1882" s="141" t="s">
        <v>3294</v>
      </c>
      <c r="C1882" s="82" t="str">
        <f>VLOOKUP($B$7:$B$5000,SUM!$L$6:$L$500,1,FALSE)</f>
        <v>#N/A</v>
      </c>
      <c r="D1882" s="171" t="s">
        <v>3278</v>
      </c>
      <c r="E1882" s="165" t="s">
        <v>58</v>
      </c>
      <c r="F1882" s="81" t="s">
        <v>105</v>
      </c>
      <c r="G1882" s="125" t="s">
        <v>3287</v>
      </c>
      <c r="H1882" s="81" t="s">
        <v>3288</v>
      </c>
      <c r="I1882" s="149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77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1">
        <v>1877.0</v>
      </c>
      <c r="B1883" s="141" t="s">
        <v>3296</v>
      </c>
      <c r="C1883" s="82" t="str">
        <f>VLOOKUP($B$7:$B$5000,SUM!$L$6:$L$500,1,FALSE)</f>
        <v>#N/A</v>
      </c>
      <c r="D1883" s="171" t="s">
        <v>3278</v>
      </c>
      <c r="E1883" s="165" t="s">
        <v>58</v>
      </c>
      <c r="F1883" s="81" t="s">
        <v>105</v>
      </c>
      <c r="G1883" s="125" t="s">
        <v>1362</v>
      </c>
      <c r="H1883" s="81" t="s">
        <v>3297</v>
      </c>
      <c r="I1883" s="149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77">
        <v>46146.0</v>
      </c>
      <c r="O1883" s="103" t="s">
        <v>67</v>
      </c>
      <c r="P1883" s="103" t="s">
        <v>68</v>
      </c>
      <c r="Q1883" s="150">
        <v>46165.0</v>
      </c>
      <c r="R1883" s="103" t="s">
        <v>597</v>
      </c>
      <c r="S1883" s="150">
        <v>46166.0</v>
      </c>
      <c r="T1883" s="103"/>
      <c r="U1883" s="90" t="s">
        <v>31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1">
        <v>1878.0</v>
      </c>
      <c r="B1884" s="141" t="s">
        <v>3299</v>
      </c>
      <c r="C1884" s="82" t="str">
        <f>VLOOKUP($B$7:$B$5000,SUM!$L$6:$L$500,1,FALSE)</f>
        <v>#N/A</v>
      </c>
      <c r="D1884" s="171" t="s">
        <v>3278</v>
      </c>
      <c r="E1884" s="165" t="s">
        <v>58</v>
      </c>
      <c r="F1884" s="81" t="s">
        <v>105</v>
      </c>
      <c r="G1884" s="125" t="s">
        <v>1362</v>
      </c>
      <c r="H1884" s="81" t="s">
        <v>3297</v>
      </c>
      <c r="I1884" s="149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77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1">
        <v>1879.0</v>
      </c>
      <c r="B1885" s="141" t="s">
        <v>3301</v>
      </c>
      <c r="C1885" s="82" t="str">
        <f>VLOOKUP($B$7:$B$5000,SUM!$L$6:$L$500,1,FALSE)</f>
        <v>#N/A</v>
      </c>
      <c r="D1885" s="171" t="s">
        <v>3278</v>
      </c>
      <c r="E1885" s="165" t="s">
        <v>58</v>
      </c>
      <c r="F1885" s="81" t="s">
        <v>105</v>
      </c>
      <c r="G1885" s="125" t="s">
        <v>1362</v>
      </c>
      <c r="H1885" s="81" t="s">
        <v>3297</v>
      </c>
      <c r="I1885" s="149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77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1">
        <v>1880.0</v>
      </c>
      <c r="B1886" s="141" t="s">
        <v>3303</v>
      </c>
      <c r="C1886" s="82" t="str">
        <f>VLOOKUP($B$7:$B$5000,SUM!$L$6:$L$500,1,FALSE)</f>
        <v>#N/A</v>
      </c>
      <c r="D1886" s="171" t="s">
        <v>3278</v>
      </c>
      <c r="E1886" s="165" t="s">
        <v>58</v>
      </c>
      <c r="F1886" s="81" t="s">
        <v>105</v>
      </c>
      <c r="G1886" s="125" t="s">
        <v>3287</v>
      </c>
      <c r="H1886" s="81" t="s">
        <v>3304</v>
      </c>
      <c r="I1886" s="149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77">
        <v>46146.0</v>
      </c>
      <c r="O1886" s="103" t="s">
        <v>67</v>
      </c>
      <c r="P1886" s="103" t="s">
        <v>68</v>
      </c>
      <c r="Q1886" s="150">
        <v>46162.0</v>
      </c>
      <c r="R1886" s="103" t="s">
        <v>597</v>
      </c>
      <c r="S1886" s="150">
        <v>46166.0</v>
      </c>
      <c r="T1886" s="103"/>
      <c r="U1886" s="90" t="s">
        <v>31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1">
        <v>1881.0</v>
      </c>
      <c r="B1887" s="141" t="s">
        <v>3305</v>
      </c>
      <c r="C1887" s="82" t="str">
        <f>VLOOKUP($B$7:$B$5000,SUM!$L$6:$L$500,1,FALSE)</f>
        <v>#N/A</v>
      </c>
      <c r="D1887" s="171" t="s">
        <v>3278</v>
      </c>
      <c r="E1887" s="165" t="s">
        <v>58</v>
      </c>
      <c r="F1887" s="81" t="s">
        <v>105</v>
      </c>
      <c r="G1887" s="125" t="s">
        <v>3287</v>
      </c>
      <c r="H1887" s="81" t="s">
        <v>3304</v>
      </c>
      <c r="I1887" s="149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77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1">
        <v>1882.0</v>
      </c>
      <c r="B1888" s="141" t="s">
        <v>3306</v>
      </c>
      <c r="C1888" s="82" t="str">
        <f>VLOOKUP($B$7:$B$5000,SUM!$L$6:$L$500,1,FALSE)</f>
        <v>#N/A</v>
      </c>
      <c r="D1888" s="171" t="s">
        <v>3278</v>
      </c>
      <c r="E1888" s="165" t="s">
        <v>58</v>
      </c>
      <c r="F1888" s="81" t="s">
        <v>105</v>
      </c>
      <c r="G1888" s="125" t="s">
        <v>3287</v>
      </c>
      <c r="H1888" s="81" t="s">
        <v>3304</v>
      </c>
      <c r="I1888" s="149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77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1">
        <v>1883.0</v>
      </c>
      <c r="B1889" s="141" t="s">
        <v>3307</v>
      </c>
      <c r="C1889" s="82" t="str">
        <f>VLOOKUP($B$7:$B$5000,SUM!$L$6:$L$500,1,FALSE)</f>
        <v>#N/A</v>
      </c>
      <c r="D1889" s="171" t="s">
        <v>3278</v>
      </c>
      <c r="E1889" s="165" t="s">
        <v>58</v>
      </c>
      <c r="F1889" s="81" t="s">
        <v>105</v>
      </c>
      <c r="G1889" s="125" t="s">
        <v>3287</v>
      </c>
      <c r="H1889" s="81" t="s">
        <v>3304</v>
      </c>
      <c r="I1889" s="149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77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1">
        <v>1884.0</v>
      </c>
      <c r="B1890" s="141" t="s">
        <v>3308</v>
      </c>
      <c r="C1890" s="82" t="str">
        <f>VLOOKUP($B$7:$B$5000,SUM!$L$6:$L$500,1,FALSE)</f>
        <v>#N/A</v>
      </c>
      <c r="D1890" s="171" t="s">
        <v>3278</v>
      </c>
      <c r="E1890" s="165" t="s">
        <v>58</v>
      </c>
      <c r="F1890" s="81" t="s">
        <v>105</v>
      </c>
      <c r="G1890" s="125" t="s">
        <v>3287</v>
      </c>
      <c r="H1890" s="81" t="s">
        <v>3309</v>
      </c>
      <c r="I1890" s="149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77">
        <v>46146.0</v>
      </c>
      <c r="O1890" s="103" t="s">
        <v>67</v>
      </c>
      <c r="P1890" s="103" t="s">
        <v>68</v>
      </c>
      <c r="Q1890" s="150">
        <v>46162.0</v>
      </c>
      <c r="R1890" s="103" t="s">
        <v>597</v>
      </c>
      <c r="S1890" s="150">
        <v>46166.0</v>
      </c>
      <c r="T1890" s="103"/>
      <c r="U1890" s="90" t="s">
        <v>31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1">
        <v>1885.0</v>
      </c>
      <c r="B1891" s="141" t="s">
        <v>3310</v>
      </c>
      <c r="C1891" s="82" t="str">
        <f>VLOOKUP($B$7:$B$5000,SUM!$L$6:$L$500,1,FALSE)</f>
        <v>#N/A</v>
      </c>
      <c r="D1891" s="171" t="s">
        <v>3278</v>
      </c>
      <c r="E1891" s="165" t="s">
        <v>58</v>
      </c>
      <c r="F1891" s="81" t="s">
        <v>105</v>
      </c>
      <c r="G1891" s="125" t="s">
        <v>3287</v>
      </c>
      <c r="H1891" s="81" t="s">
        <v>3309</v>
      </c>
      <c r="I1891" s="149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77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1">
        <v>1886.0</v>
      </c>
      <c r="B1892" s="141" t="s">
        <v>3311</v>
      </c>
      <c r="C1892" s="82" t="str">
        <f>VLOOKUP($B$7:$B$5000,SUM!$L$6:$L$500,1,FALSE)</f>
        <v>#N/A</v>
      </c>
      <c r="D1892" s="171" t="s">
        <v>3278</v>
      </c>
      <c r="E1892" s="165" t="s">
        <v>58</v>
      </c>
      <c r="F1892" s="81" t="s">
        <v>105</v>
      </c>
      <c r="G1892" s="125" t="s">
        <v>3287</v>
      </c>
      <c r="H1892" s="81" t="s">
        <v>3309</v>
      </c>
      <c r="I1892" s="149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77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1">
        <v>1887.0</v>
      </c>
      <c r="B1893" s="141" t="s">
        <v>3312</v>
      </c>
      <c r="C1893" s="82" t="str">
        <f>VLOOKUP($B$7:$B$5000,SUM!$L$6:$L$500,1,FALSE)</f>
        <v>#N/A</v>
      </c>
      <c r="D1893" s="171" t="s">
        <v>3278</v>
      </c>
      <c r="E1893" s="165" t="s">
        <v>58</v>
      </c>
      <c r="F1893" s="81" t="s">
        <v>105</v>
      </c>
      <c r="G1893" s="125" t="s">
        <v>3287</v>
      </c>
      <c r="H1893" s="81" t="s">
        <v>3309</v>
      </c>
      <c r="I1893" s="149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77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1">
        <v>1888.0</v>
      </c>
      <c r="B1894" s="141" t="s">
        <v>3313</v>
      </c>
      <c r="C1894" s="82" t="str">
        <f>VLOOKUP($B$7:$B$5000,SUM!$L$6:$L$500,1,FALSE)</f>
        <v>#N/A</v>
      </c>
      <c r="D1894" s="171" t="s">
        <v>3278</v>
      </c>
      <c r="E1894" s="165" t="s">
        <v>58</v>
      </c>
      <c r="F1894" s="81" t="s">
        <v>105</v>
      </c>
      <c r="G1894" s="125" t="s">
        <v>3287</v>
      </c>
      <c r="H1894" s="81" t="s">
        <v>3314</v>
      </c>
      <c r="I1894" s="149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77">
        <v>46146.0</v>
      </c>
      <c r="O1894" s="103" t="s">
        <v>67</v>
      </c>
      <c r="P1894" s="103" t="s">
        <v>68</v>
      </c>
      <c r="Q1894" s="150">
        <v>46162.0</v>
      </c>
      <c r="R1894" s="103" t="s">
        <v>597</v>
      </c>
      <c r="S1894" s="150">
        <v>46166.0</v>
      </c>
      <c r="T1894" s="103"/>
      <c r="U1894" s="90" t="s">
        <v>31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1">
        <v>1889.0</v>
      </c>
      <c r="B1895" s="141" t="s">
        <v>3315</v>
      </c>
      <c r="C1895" s="82" t="str">
        <f>VLOOKUP($B$7:$B$5000,SUM!$L$6:$L$500,1,FALSE)</f>
        <v>#N/A</v>
      </c>
      <c r="D1895" s="171" t="s">
        <v>3278</v>
      </c>
      <c r="E1895" s="165" t="s">
        <v>58</v>
      </c>
      <c r="F1895" s="81" t="s">
        <v>105</v>
      </c>
      <c r="G1895" s="125" t="s">
        <v>3287</v>
      </c>
      <c r="H1895" s="81" t="s">
        <v>3314</v>
      </c>
      <c r="I1895" s="149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77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1">
        <v>1890.0</v>
      </c>
      <c r="B1896" s="141" t="s">
        <v>3316</v>
      </c>
      <c r="C1896" s="82" t="str">
        <f>VLOOKUP($B$7:$B$5000,SUM!$L$6:$L$500,1,FALSE)</f>
        <v>#N/A</v>
      </c>
      <c r="D1896" s="171" t="s">
        <v>3278</v>
      </c>
      <c r="E1896" s="165" t="s">
        <v>58</v>
      </c>
      <c r="F1896" s="81" t="s">
        <v>105</v>
      </c>
      <c r="G1896" s="125" t="s">
        <v>3287</v>
      </c>
      <c r="H1896" s="81" t="s">
        <v>3314</v>
      </c>
      <c r="I1896" s="149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77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1">
        <v>1891.0</v>
      </c>
      <c r="B1897" s="141" t="s">
        <v>3317</v>
      </c>
      <c r="C1897" s="82" t="str">
        <f>VLOOKUP($B$7:$B$5000,SUM!$L$6:$L$500,1,FALSE)</f>
        <v>#N/A</v>
      </c>
      <c r="D1897" s="171" t="s">
        <v>3278</v>
      </c>
      <c r="E1897" s="165" t="s">
        <v>58</v>
      </c>
      <c r="F1897" s="81" t="s">
        <v>105</v>
      </c>
      <c r="G1897" s="125" t="s">
        <v>3287</v>
      </c>
      <c r="H1897" s="81" t="s">
        <v>3314</v>
      </c>
      <c r="I1897" s="149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77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1">
        <v>1892.0</v>
      </c>
      <c r="B1898" s="141" t="s">
        <v>3319</v>
      </c>
      <c r="C1898" s="82" t="str">
        <f>VLOOKUP($B$7:$B$5000,SUM!$L$6:$L$500,1,FALSE)</f>
        <v>#N/A</v>
      </c>
      <c r="D1898" s="171" t="s">
        <v>3278</v>
      </c>
      <c r="E1898" s="165" t="s">
        <v>58</v>
      </c>
      <c r="F1898" s="81" t="s">
        <v>105</v>
      </c>
      <c r="G1898" s="125" t="s">
        <v>3287</v>
      </c>
      <c r="H1898" s="81" t="s">
        <v>3320</v>
      </c>
      <c r="I1898" s="149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77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1">
        <v>1893.0</v>
      </c>
      <c r="B1899" s="141" t="s">
        <v>3321</v>
      </c>
      <c r="C1899" s="82" t="str">
        <f>VLOOKUP($B$7:$B$5000,SUM!$L$6:$L$500,1,FALSE)</f>
        <v>#N/A</v>
      </c>
      <c r="D1899" s="171" t="s">
        <v>3278</v>
      </c>
      <c r="E1899" s="165" t="s">
        <v>58</v>
      </c>
      <c r="F1899" s="81" t="s">
        <v>105</v>
      </c>
      <c r="G1899" s="125" t="s">
        <v>3287</v>
      </c>
      <c r="H1899" s="81" t="s">
        <v>3320</v>
      </c>
      <c r="I1899" s="149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77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1">
        <v>1894.0</v>
      </c>
      <c r="B1900" s="141" t="s">
        <v>3322</v>
      </c>
      <c r="C1900" s="82" t="str">
        <f>VLOOKUP($B$7:$B$5000,SUM!$L$6:$L$500,1,FALSE)</f>
        <v>#N/A</v>
      </c>
      <c r="D1900" s="171" t="s">
        <v>3278</v>
      </c>
      <c r="E1900" s="165" t="s">
        <v>58</v>
      </c>
      <c r="F1900" s="81" t="s">
        <v>105</v>
      </c>
      <c r="G1900" s="125" t="s">
        <v>3287</v>
      </c>
      <c r="H1900" s="81" t="s">
        <v>3320</v>
      </c>
      <c r="I1900" s="149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77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1">
        <v>1895.0</v>
      </c>
      <c r="B1901" s="141" t="s">
        <v>3323</v>
      </c>
      <c r="C1901" s="82" t="str">
        <f>VLOOKUP($B$7:$B$5000,SUM!$L$6:$L$500,1,FALSE)</f>
        <v>#N/A</v>
      </c>
      <c r="D1901" s="171" t="s">
        <v>3278</v>
      </c>
      <c r="E1901" s="165" t="s">
        <v>58</v>
      </c>
      <c r="F1901" s="81" t="s">
        <v>105</v>
      </c>
      <c r="G1901" s="125" t="s">
        <v>3287</v>
      </c>
      <c r="H1901" s="81" t="s">
        <v>3320</v>
      </c>
      <c r="I1901" s="149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77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1">
        <v>1896.0</v>
      </c>
      <c r="B1902" s="141" t="s">
        <v>3324</v>
      </c>
      <c r="C1902" s="82" t="str">
        <f>VLOOKUP($B$7:$B$5000,SUM!$L$6:$L$500,1,FALSE)</f>
        <v>#N/A</v>
      </c>
      <c r="D1902" s="171" t="s">
        <v>3278</v>
      </c>
      <c r="E1902" s="165" t="s">
        <v>58</v>
      </c>
      <c r="F1902" s="81" t="s">
        <v>105</v>
      </c>
      <c r="G1902" s="125" t="s">
        <v>3287</v>
      </c>
      <c r="H1902" s="81" t="s">
        <v>3325</v>
      </c>
      <c r="I1902" s="149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77">
        <v>46146.0</v>
      </c>
      <c r="O1902" s="103" t="s">
        <v>67</v>
      </c>
      <c r="P1902" s="103" t="s">
        <v>68</v>
      </c>
      <c r="Q1902" s="150">
        <v>46165.0</v>
      </c>
      <c r="R1902" s="103" t="s">
        <v>597</v>
      </c>
      <c r="S1902" s="150">
        <v>46166.0</v>
      </c>
      <c r="T1902" s="103"/>
      <c r="U1902" s="90" t="s">
        <v>31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1">
        <v>1897.0</v>
      </c>
      <c r="B1903" s="141" t="s">
        <v>3326</v>
      </c>
      <c r="C1903" s="82" t="str">
        <f>VLOOKUP($B$7:$B$5000,SUM!$L$6:$L$500,1,FALSE)</f>
        <v>#N/A</v>
      </c>
      <c r="D1903" s="171" t="s">
        <v>3278</v>
      </c>
      <c r="E1903" s="165" t="s">
        <v>58</v>
      </c>
      <c r="F1903" s="81" t="s">
        <v>105</v>
      </c>
      <c r="G1903" s="125" t="s">
        <v>3287</v>
      </c>
      <c r="H1903" s="81" t="s">
        <v>3325</v>
      </c>
      <c r="I1903" s="149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77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1">
        <v>1898.0</v>
      </c>
      <c r="B1904" s="141" t="s">
        <v>3327</v>
      </c>
      <c r="C1904" s="82" t="str">
        <f>VLOOKUP($B$7:$B$5000,SUM!$L$6:$L$500,1,FALSE)</f>
        <v>#N/A</v>
      </c>
      <c r="D1904" s="171" t="s">
        <v>3278</v>
      </c>
      <c r="E1904" s="165" t="s">
        <v>58</v>
      </c>
      <c r="F1904" s="81" t="s">
        <v>105</v>
      </c>
      <c r="G1904" s="125" t="s">
        <v>3287</v>
      </c>
      <c r="H1904" s="81" t="s">
        <v>3325</v>
      </c>
      <c r="I1904" s="149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77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1">
        <v>1899.0</v>
      </c>
      <c r="B1905" s="141" t="s">
        <v>3328</v>
      </c>
      <c r="C1905" s="82" t="str">
        <f>VLOOKUP($B$7:$B$5000,SUM!$L$6:$L$500,1,FALSE)</f>
        <v>#N/A</v>
      </c>
      <c r="D1905" s="171" t="s">
        <v>3278</v>
      </c>
      <c r="E1905" s="165" t="s">
        <v>58</v>
      </c>
      <c r="F1905" s="81" t="s">
        <v>105</v>
      </c>
      <c r="G1905" s="125" t="s">
        <v>3287</v>
      </c>
      <c r="H1905" s="81" t="s">
        <v>3325</v>
      </c>
      <c r="I1905" s="149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77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1">
        <v>1900.0</v>
      </c>
      <c r="B1906" s="141" t="s">
        <v>3329</v>
      </c>
      <c r="C1906" s="82" t="str">
        <f>VLOOKUP($B$7:$B$5000,SUM!$L$6:$L$500,1,FALSE)</f>
        <v>#N/A</v>
      </c>
      <c r="D1906" s="171" t="s">
        <v>3278</v>
      </c>
      <c r="E1906" s="165" t="s">
        <v>58</v>
      </c>
      <c r="F1906" s="81" t="s">
        <v>105</v>
      </c>
      <c r="G1906" s="125" t="s">
        <v>3287</v>
      </c>
      <c r="H1906" s="81" t="s">
        <v>3330</v>
      </c>
      <c r="I1906" s="149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77">
        <v>46146.0</v>
      </c>
      <c r="O1906" s="103" t="s">
        <v>67</v>
      </c>
      <c r="P1906" s="103" t="s">
        <v>68</v>
      </c>
      <c r="Q1906" s="150">
        <v>46165.0</v>
      </c>
      <c r="R1906" s="103" t="s">
        <v>597</v>
      </c>
      <c r="S1906" s="150">
        <v>46166.0</v>
      </c>
      <c r="T1906" s="103"/>
      <c r="U1906" s="90" t="s">
        <v>31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1">
        <v>1901.0</v>
      </c>
      <c r="B1907" s="141" t="s">
        <v>3331</v>
      </c>
      <c r="C1907" s="82" t="str">
        <f>VLOOKUP($B$7:$B$5000,SUM!$L$6:$L$500,1,FALSE)</f>
        <v>#N/A</v>
      </c>
      <c r="D1907" s="171" t="s">
        <v>3278</v>
      </c>
      <c r="E1907" s="165" t="s">
        <v>58</v>
      </c>
      <c r="F1907" s="81" t="s">
        <v>105</v>
      </c>
      <c r="G1907" s="125" t="s">
        <v>3287</v>
      </c>
      <c r="H1907" s="81" t="s">
        <v>3330</v>
      </c>
      <c r="I1907" s="149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77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1">
        <v>1902.0</v>
      </c>
      <c r="B1908" s="141" t="s">
        <v>3332</v>
      </c>
      <c r="C1908" s="82" t="str">
        <f>VLOOKUP($B$7:$B$5000,SUM!$L$6:$L$500,1,FALSE)</f>
        <v>#N/A</v>
      </c>
      <c r="D1908" s="171" t="s">
        <v>3278</v>
      </c>
      <c r="E1908" s="165" t="s">
        <v>58</v>
      </c>
      <c r="F1908" s="81" t="s">
        <v>105</v>
      </c>
      <c r="G1908" s="125" t="s">
        <v>3287</v>
      </c>
      <c r="H1908" s="81" t="s">
        <v>3330</v>
      </c>
      <c r="I1908" s="149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77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1">
        <v>1903.0</v>
      </c>
      <c r="B1909" s="141" t="s">
        <v>3333</v>
      </c>
      <c r="C1909" s="82" t="str">
        <f>VLOOKUP($B$7:$B$5000,SUM!$L$6:$L$500,1,FALSE)</f>
        <v>#N/A</v>
      </c>
      <c r="D1909" s="171" t="s">
        <v>3278</v>
      </c>
      <c r="E1909" s="165" t="s">
        <v>58</v>
      </c>
      <c r="F1909" s="81" t="s">
        <v>105</v>
      </c>
      <c r="G1909" s="125" t="s">
        <v>3287</v>
      </c>
      <c r="H1909" s="81" t="s">
        <v>3330</v>
      </c>
      <c r="I1909" s="149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77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1">
        <v>1904.0</v>
      </c>
      <c r="B1910" s="141" t="s">
        <v>3334</v>
      </c>
      <c r="C1910" s="82" t="str">
        <f>VLOOKUP($B$7:$B$5000,SUM!$L$6:$L$500,1,FALSE)</f>
        <v>#N/A</v>
      </c>
      <c r="D1910" s="171" t="s">
        <v>3278</v>
      </c>
      <c r="E1910" s="165" t="s">
        <v>58</v>
      </c>
      <c r="F1910" s="81" t="s">
        <v>105</v>
      </c>
      <c r="G1910" s="125" t="s">
        <v>3287</v>
      </c>
      <c r="H1910" s="81" t="s">
        <v>3335</v>
      </c>
      <c r="I1910" s="149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77">
        <v>46146.0</v>
      </c>
      <c r="O1910" s="103" t="s">
        <v>67</v>
      </c>
      <c r="P1910" s="103" t="s">
        <v>68</v>
      </c>
      <c r="Q1910" s="150">
        <v>46162.0</v>
      </c>
      <c r="R1910" s="103" t="s">
        <v>597</v>
      </c>
      <c r="S1910" s="150">
        <v>46166.0</v>
      </c>
      <c r="T1910" s="103"/>
      <c r="U1910" s="90" t="s">
        <v>31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1">
        <v>1905.0</v>
      </c>
      <c r="B1911" s="141" t="s">
        <v>3336</v>
      </c>
      <c r="C1911" s="82" t="str">
        <f>VLOOKUP($B$7:$B$5000,SUM!$L$6:$L$500,1,FALSE)</f>
        <v>#N/A</v>
      </c>
      <c r="D1911" s="171" t="s">
        <v>3278</v>
      </c>
      <c r="E1911" s="165" t="s">
        <v>58</v>
      </c>
      <c r="F1911" s="81" t="s">
        <v>105</v>
      </c>
      <c r="G1911" s="125" t="s">
        <v>3287</v>
      </c>
      <c r="H1911" s="81" t="s">
        <v>3335</v>
      </c>
      <c r="I1911" s="149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77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1">
        <v>1906.0</v>
      </c>
      <c r="B1912" s="141" t="s">
        <v>3337</v>
      </c>
      <c r="C1912" s="82" t="str">
        <f>VLOOKUP($B$7:$B$5000,SUM!$L$6:$L$500,1,FALSE)</f>
        <v>#N/A</v>
      </c>
      <c r="D1912" s="171" t="s">
        <v>3278</v>
      </c>
      <c r="E1912" s="165" t="s">
        <v>58</v>
      </c>
      <c r="F1912" s="81" t="s">
        <v>105</v>
      </c>
      <c r="G1912" s="125" t="s">
        <v>3287</v>
      </c>
      <c r="H1912" s="81" t="s">
        <v>3335</v>
      </c>
      <c r="I1912" s="149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77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1">
        <v>1907.0</v>
      </c>
      <c r="B1913" s="141" t="s">
        <v>3338</v>
      </c>
      <c r="C1913" s="82" t="str">
        <f>VLOOKUP($B$7:$B$5000,SUM!$L$6:$L$500,1,FALSE)</f>
        <v>#N/A</v>
      </c>
      <c r="D1913" s="171" t="s">
        <v>3278</v>
      </c>
      <c r="E1913" s="165" t="s">
        <v>58</v>
      </c>
      <c r="F1913" s="81" t="s">
        <v>105</v>
      </c>
      <c r="G1913" s="125" t="s">
        <v>3287</v>
      </c>
      <c r="H1913" s="81" t="s">
        <v>3335</v>
      </c>
      <c r="I1913" s="149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77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1">
        <v>1908.0</v>
      </c>
      <c r="B1914" s="141" t="s">
        <v>3339</v>
      </c>
      <c r="C1914" s="82" t="str">
        <f>VLOOKUP($B$7:$B$5000,SUM!$L$6:$L$500,1,FALSE)</f>
        <v>#N/A</v>
      </c>
      <c r="D1914" s="171" t="s">
        <v>3278</v>
      </c>
      <c r="E1914" s="165" t="s">
        <v>58</v>
      </c>
      <c r="F1914" s="81" t="s">
        <v>105</v>
      </c>
      <c r="G1914" s="125" t="s">
        <v>3287</v>
      </c>
      <c r="H1914" s="81" t="s">
        <v>3340</v>
      </c>
      <c r="I1914" s="149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77">
        <v>46146.0</v>
      </c>
      <c r="O1914" s="103" t="s">
        <v>67</v>
      </c>
      <c r="P1914" s="103" t="s">
        <v>68</v>
      </c>
      <c r="Q1914" s="150">
        <v>46162.0</v>
      </c>
      <c r="R1914" s="103" t="s">
        <v>597</v>
      </c>
      <c r="S1914" s="150">
        <v>46166.0</v>
      </c>
      <c r="T1914" s="103"/>
      <c r="U1914" s="90" t="s">
        <v>31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1">
        <v>1909.0</v>
      </c>
      <c r="B1915" s="141" t="s">
        <v>3341</v>
      </c>
      <c r="C1915" s="82" t="str">
        <f>VLOOKUP($B$7:$B$5000,SUM!$L$6:$L$500,1,FALSE)</f>
        <v>#N/A</v>
      </c>
      <c r="D1915" s="171" t="s">
        <v>3278</v>
      </c>
      <c r="E1915" s="165" t="s">
        <v>58</v>
      </c>
      <c r="F1915" s="81" t="s">
        <v>105</v>
      </c>
      <c r="G1915" s="125" t="s">
        <v>3287</v>
      </c>
      <c r="H1915" s="81" t="s">
        <v>3340</v>
      </c>
      <c r="I1915" s="149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77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1">
        <v>1910.0</v>
      </c>
      <c r="B1916" s="141" t="s">
        <v>3342</v>
      </c>
      <c r="C1916" s="82" t="str">
        <f>VLOOKUP($B$7:$B$5000,SUM!$L$6:$L$500,1,FALSE)</f>
        <v>#N/A</v>
      </c>
      <c r="D1916" s="171" t="s">
        <v>3278</v>
      </c>
      <c r="E1916" s="165" t="s">
        <v>58</v>
      </c>
      <c r="F1916" s="81" t="s">
        <v>105</v>
      </c>
      <c r="G1916" s="125" t="s">
        <v>3287</v>
      </c>
      <c r="H1916" s="81" t="s">
        <v>3340</v>
      </c>
      <c r="I1916" s="149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77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1">
        <v>1911.0</v>
      </c>
      <c r="B1917" s="141" t="s">
        <v>3343</v>
      </c>
      <c r="C1917" s="82" t="str">
        <f>VLOOKUP($B$7:$B$5000,SUM!$L$6:$L$500,1,FALSE)</f>
        <v>#N/A</v>
      </c>
      <c r="D1917" s="171" t="s">
        <v>3278</v>
      </c>
      <c r="E1917" s="165" t="s">
        <v>58</v>
      </c>
      <c r="F1917" s="81" t="s">
        <v>105</v>
      </c>
      <c r="G1917" s="125" t="s">
        <v>3287</v>
      </c>
      <c r="H1917" s="81" t="s">
        <v>3340</v>
      </c>
      <c r="I1917" s="149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77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1">
        <v>1912.0</v>
      </c>
      <c r="B1918" s="141" t="s">
        <v>3344</v>
      </c>
      <c r="C1918" s="82" t="str">
        <f>VLOOKUP($B$7:$B$5000,SUM!$L$6:$L$500,1,FALSE)</f>
        <v>#N/A</v>
      </c>
      <c r="D1918" s="171" t="s">
        <v>3278</v>
      </c>
      <c r="E1918" s="165" t="s">
        <v>58</v>
      </c>
      <c r="F1918" s="81" t="s">
        <v>105</v>
      </c>
      <c r="G1918" s="125" t="s">
        <v>3287</v>
      </c>
      <c r="H1918" s="81" t="s">
        <v>3345</v>
      </c>
      <c r="I1918" s="149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77">
        <v>46146.0</v>
      </c>
      <c r="O1918" s="103" t="s">
        <v>67</v>
      </c>
      <c r="P1918" s="103" t="s">
        <v>68</v>
      </c>
      <c r="Q1918" s="150">
        <v>46164.0</v>
      </c>
      <c r="R1918" s="103" t="s">
        <v>597</v>
      </c>
      <c r="S1918" s="150">
        <v>46166.0</v>
      </c>
      <c r="T1918" s="103"/>
      <c r="U1918" s="90" t="s">
        <v>31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1">
        <v>1913.0</v>
      </c>
      <c r="B1919" s="141" t="s">
        <v>3346</v>
      </c>
      <c r="C1919" s="82" t="str">
        <f>VLOOKUP($B$7:$B$5000,SUM!$L$6:$L$500,1,FALSE)</f>
        <v>#N/A</v>
      </c>
      <c r="D1919" s="171" t="s">
        <v>3278</v>
      </c>
      <c r="E1919" s="165" t="s">
        <v>58</v>
      </c>
      <c r="F1919" s="81" t="s">
        <v>105</v>
      </c>
      <c r="G1919" s="125" t="s">
        <v>3287</v>
      </c>
      <c r="H1919" s="81" t="s">
        <v>3345</v>
      </c>
      <c r="I1919" s="149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77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1">
        <v>1914.0</v>
      </c>
      <c r="B1920" s="141" t="s">
        <v>3347</v>
      </c>
      <c r="C1920" s="82" t="str">
        <f>VLOOKUP($B$7:$B$5000,SUM!$L$6:$L$500,1,FALSE)</f>
        <v>#N/A</v>
      </c>
      <c r="D1920" s="171" t="s">
        <v>3278</v>
      </c>
      <c r="E1920" s="165" t="s">
        <v>58</v>
      </c>
      <c r="F1920" s="81" t="s">
        <v>105</v>
      </c>
      <c r="G1920" s="125" t="s">
        <v>3287</v>
      </c>
      <c r="H1920" s="81" t="s">
        <v>3345</v>
      </c>
      <c r="I1920" s="149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77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1">
        <v>1915.0</v>
      </c>
      <c r="B1921" s="141" t="s">
        <v>3348</v>
      </c>
      <c r="C1921" s="82" t="str">
        <f>VLOOKUP($B$7:$B$5000,SUM!$L$6:$L$500,1,FALSE)</f>
        <v>#N/A</v>
      </c>
      <c r="D1921" s="171" t="s">
        <v>3278</v>
      </c>
      <c r="E1921" s="165" t="s">
        <v>58</v>
      </c>
      <c r="F1921" s="81" t="s">
        <v>105</v>
      </c>
      <c r="G1921" s="125" t="s">
        <v>3287</v>
      </c>
      <c r="H1921" s="81" t="s">
        <v>3345</v>
      </c>
      <c r="I1921" s="149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77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1">
        <v>1916.0</v>
      </c>
      <c r="B1922" s="141" t="s">
        <v>3349</v>
      </c>
      <c r="C1922" s="82" t="str">
        <f>VLOOKUP($B$7:$B$5000,SUM!$L$6:$L$500,1,FALSE)</f>
        <v>#N/A</v>
      </c>
      <c r="D1922" s="171" t="s">
        <v>3278</v>
      </c>
      <c r="E1922" s="165" t="s">
        <v>58</v>
      </c>
      <c r="F1922" s="81" t="s">
        <v>105</v>
      </c>
      <c r="G1922" s="125" t="s">
        <v>3287</v>
      </c>
      <c r="H1922" s="81" t="s">
        <v>3350</v>
      </c>
      <c r="I1922" s="149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77">
        <v>46146.0</v>
      </c>
      <c r="O1922" s="103" t="s">
        <v>67</v>
      </c>
      <c r="P1922" s="103" t="s">
        <v>68</v>
      </c>
      <c r="Q1922" s="150">
        <v>46164.0</v>
      </c>
      <c r="R1922" s="103" t="s">
        <v>597</v>
      </c>
      <c r="S1922" s="150">
        <v>46166.0</v>
      </c>
      <c r="T1922" s="103"/>
      <c r="U1922" s="90" t="s">
        <v>31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1">
        <v>1917.0</v>
      </c>
      <c r="B1923" s="141" t="s">
        <v>3351</v>
      </c>
      <c r="C1923" s="82" t="str">
        <f>VLOOKUP($B$7:$B$5000,SUM!$L$6:$L$500,1,FALSE)</f>
        <v>#N/A</v>
      </c>
      <c r="D1923" s="171" t="s">
        <v>3278</v>
      </c>
      <c r="E1923" s="165" t="s">
        <v>58</v>
      </c>
      <c r="F1923" s="81" t="s">
        <v>105</v>
      </c>
      <c r="G1923" s="125" t="s">
        <v>3287</v>
      </c>
      <c r="H1923" s="81" t="s">
        <v>3350</v>
      </c>
      <c r="I1923" s="149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77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1">
        <v>1918.0</v>
      </c>
      <c r="B1924" s="141" t="s">
        <v>3352</v>
      </c>
      <c r="C1924" s="82" t="str">
        <f>VLOOKUP($B$7:$B$5000,SUM!$L$6:$L$500,1,FALSE)</f>
        <v>#N/A</v>
      </c>
      <c r="D1924" s="171" t="s">
        <v>3278</v>
      </c>
      <c r="E1924" s="165" t="s">
        <v>58</v>
      </c>
      <c r="F1924" s="81" t="s">
        <v>105</v>
      </c>
      <c r="G1924" s="125" t="s">
        <v>3287</v>
      </c>
      <c r="H1924" s="81" t="s">
        <v>3350</v>
      </c>
      <c r="I1924" s="149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77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1">
        <v>1919.0</v>
      </c>
      <c r="B1925" s="141" t="s">
        <v>3353</v>
      </c>
      <c r="C1925" s="82" t="str">
        <f>VLOOKUP($B$7:$B$5000,SUM!$L$6:$L$500,1,FALSE)</f>
        <v>#N/A</v>
      </c>
      <c r="D1925" s="171" t="s">
        <v>3278</v>
      </c>
      <c r="E1925" s="165" t="s">
        <v>58</v>
      </c>
      <c r="F1925" s="81" t="s">
        <v>105</v>
      </c>
      <c r="G1925" s="125" t="s">
        <v>3287</v>
      </c>
      <c r="H1925" s="81" t="s">
        <v>3350</v>
      </c>
      <c r="I1925" s="149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77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1">
        <v>1920.0</v>
      </c>
      <c r="B1926" s="141" t="s">
        <v>3355</v>
      </c>
      <c r="C1926" s="82" t="str">
        <f>VLOOKUP($B$7:$B$5000,SUM!$L$6:$L$500,1,FALSE)</f>
        <v>#N/A</v>
      </c>
      <c r="D1926" s="171" t="s">
        <v>3278</v>
      </c>
      <c r="E1926" s="165" t="s">
        <v>58</v>
      </c>
      <c r="F1926" s="81" t="s">
        <v>105</v>
      </c>
      <c r="G1926" s="125" t="s">
        <v>3287</v>
      </c>
      <c r="H1926" s="81" t="s">
        <v>3356</v>
      </c>
      <c r="I1926" s="149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77">
        <v>46146.0</v>
      </c>
      <c r="O1926" s="103" t="s">
        <v>67</v>
      </c>
      <c r="P1926" s="103" t="s">
        <v>68</v>
      </c>
      <c r="Q1926" s="150">
        <v>46164.0</v>
      </c>
      <c r="R1926" s="103" t="s">
        <v>597</v>
      </c>
      <c r="S1926" s="150">
        <v>46166.0</v>
      </c>
      <c r="T1926" s="103"/>
      <c r="U1926" s="90" t="s">
        <v>31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1">
        <v>1921.0</v>
      </c>
      <c r="B1927" s="141" t="s">
        <v>3357</v>
      </c>
      <c r="C1927" s="82" t="str">
        <f>VLOOKUP($B$7:$B$5000,SUM!$L$6:$L$500,1,FALSE)</f>
        <v>#N/A</v>
      </c>
      <c r="D1927" s="171" t="s">
        <v>3278</v>
      </c>
      <c r="E1927" s="165" t="s">
        <v>58</v>
      </c>
      <c r="F1927" s="81" t="s">
        <v>105</v>
      </c>
      <c r="G1927" s="125" t="s">
        <v>3287</v>
      </c>
      <c r="H1927" s="81" t="s">
        <v>3356</v>
      </c>
      <c r="I1927" s="149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77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1">
        <v>1922.0</v>
      </c>
      <c r="B1928" s="141" t="s">
        <v>3358</v>
      </c>
      <c r="C1928" s="82" t="str">
        <f>VLOOKUP($B$7:$B$5000,SUM!$L$6:$L$500,1,FALSE)</f>
        <v>#N/A</v>
      </c>
      <c r="D1928" s="171" t="s">
        <v>3278</v>
      </c>
      <c r="E1928" s="165" t="s">
        <v>58</v>
      </c>
      <c r="F1928" s="81" t="s">
        <v>105</v>
      </c>
      <c r="G1928" s="125" t="s">
        <v>3287</v>
      </c>
      <c r="H1928" s="81" t="s">
        <v>3356</v>
      </c>
      <c r="I1928" s="149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77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1">
        <v>1923.0</v>
      </c>
      <c r="B1929" s="141" t="s">
        <v>3359</v>
      </c>
      <c r="C1929" s="82" t="str">
        <f>VLOOKUP($B$7:$B$5000,SUM!$L$6:$L$500,1,FALSE)</f>
        <v>#N/A</v>
      </c>
      <c r="D1929" s="171" t="s">
        <v>3278</v>
      </c>
      <c r="E1929" s="165" t="s">
        <v>58</v>
      </c>
      <c r="F1929" s="81" t="s">
        <v>105</v>
      </c>
      <c r="G1929" s="125" t="s">
        <v>3287</v>
      </c>
      <c r="H1929" s="81" t="s">
        <v>3356</v>
      </c>
      <c r="I1929" s="149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77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1">
        <v>1924.0</v>
      </c>
      <c r="B1930" s="141" t="s">
        <v>3361</v>
      </c>
      <c r="C1930" s="82" t="str">
        <f>VLOOKUP($B$7:$B$5000,SUM!$L$6:$L$500,1,FALSE)</f>
        <v>#N/A</v>
      </c>
      <c r="D1930" s="171" t="s">
        <v>3278</v>
      </c>
      <c r="E1930" s="165" t="s">
        <v>58</v>
      </c>
      <c r="F1930" s="81" t="s">
        <v>105</v>
      </c>
      <c r="G1930" s="125" t="s">
        <v>3287</v>
      </c>
      <c r="H1930" s="81" t="s">
        <v>3362</v>
      </c>
      <c r="I1930" s="149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77">
        <v>46146.0</v>
      </c>
      <c r="O1930" s="103" t="s">
        <v>67</v>
      </c>
      <c r="P1930" s="103" t="s">
        <v>68</v>
      </c>
      <c r="Q1930" s="150">
        <v>46164.0</v>
      </c>
      <c r="R1930" s="103" t="s">
        <v>597</v>
      </c>
      <c r="S1930" s="150">
        <v>46166.0</v>
      </c>
      <c r="T1930" s="103"/>
      <c r="U1930" s="90" t="s">
        <v>31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1">
        <v>1925.0</v>
      </c>
      <c r="B1931" s="141" t="s">
        <v>3363</v>
      </c>
      <c r="C1931" s="82" t="str">
        <f>VLOOKUP($B$7:$B$5000,SUM!$L$6:$L$500,1,FALSE)</f>
        <v>#N/A</v>
      </c>
      <c r="D1931" s="171" t="s">
        <v>3278</v>
      </c>
      <c r="E1931" s="165" t="s">
        <v>58</v>
      </c>
      <c r="F1931" s="81" t="s">
        <v>105</v>
      </c>
      <c r="G1931" s="125" t="s">
        <v>3287</v>
      </c>
      <c r="H1931" s="81" t="s">
        <v>3362</v>
      </c>
      <c r="I1931" s="149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77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1">
        <v>1926.0</v>
      </c>
      <c r="B1932" s="141" t="s">
        <v>3364</v>
      </c>
      <c r="C1932" s="82" t="str">
        <f>VLOOKUP($B$7:$B$5000,SUM!$L$6:$L$500,1,FALSE)</f>
        <v>#N/A</v>
      </c>
      <c r="D1932" s="171" t="s">
        <v>3278</v>
      </c>
      <c r="E1932" s="165" t="s">
        <v>58</v>
      </c>
      <c r="F1932" s="81" t="s">
        <v>105</v>
      </c>
      <c r="G1932" s="125" t="s">
        <v>3287</v>
      </c>
      <c r="H1932" s="81" t="s">
        <v>3362</v>
      </c>
      <c r="I1932" s="149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77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1">
        <v>1927.0</v>
      </c>
      <c r="B1933" s="141" t="s">
        <v>3365</v>
      </c>
      <c r="C1933" s="82" t="str">
        <f>VLOOKUP($B$7:$B$5000,SUM!$L$6:$L$500,1,FALSE)</f>
        <v>#N/A</v>
      </c>
      <c r="D1933" s="171" t="s">
        <v>3278</v>
      </c>
      <c r="E1933" s="165" t="s">
        <v>58</v>
      </c>
      <c r="F1933" s="81" t="s">
        <v>105</v>
      </c>
      <c r="G1933" s="125" t="s">
        <v>3287</v>
      </c>
      <c r="H1933" s="81" t="s">
        <v>3362</v>
      </c>
      <c r="I1933" s="149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77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1">
        <v>1928.0</v>
      </c>
      <c r="B1934" s="141" t="s">
        <v>3367</v>
      </c>
      <c r="C1934" s="82" t="str">
        <f>VLOOKUP($B$7:$B$5000,SUM!$L$6:$L$500,1,FALSE)</f>
        <v>#N/A</v>
      </c>
      <c r="D1934" s="171" t="s">
        <v>3278</v>
      </c>
      <c r="E1934" s="165" t="s">
        <v>58</v>
      </c>
      <c r="F1934" s="81" t="s">
        <v>105</v>
      </c>
      <c r="G1934" s="125" t="s">
        <v>3287</v>
      </c>
      <c r="H1934" s="81" t="s">
        <v>3368</v>
      </c>
      <c r="I1934" s="149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77">
        <v>46146.0</v>
      </c>
      <c r="O1934" s="103" t="s">
        <v>67</v>
      </c>
      <c r="P1934" s="103" t="s">
        <v>68</v>
      </c>
      <c r="Q1934" s="150">
        <v>46164.0</v>
      </c>
      <c r="R1934" s="103" t="s">
        <v>597</v>
      </c>
      <c r="S1934" s="150">
        <v>46166.0</v>
      </c>
      <c r="T1934" s="103"/>
      <c r="U1934" s="90" t="s">
        <v>31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1">
        <v>1929.0</v>
      </c>
      <c r="B1935" s="141" t="s">
        <v>3369</v>
      </c>
      <c r="C1935" s="82" t="str">
        <f>VLOOKUP($B$7:$B$5000,SUM!$L$6:$L$500,1,FALSE)</f>
        <v>#N/A</v>
      </c>
      <c r="D1935" s="171" t="s">
        <v>3278</v>
      </c>
      <c r="E1935" s="165" t="s">
        <v>58</v>
      </c>
      <c r="F1935" s="81" t="s">
        <v>105</v>
      </c>
      <c r="G1935" s="125" t="s">
        <v>3287</v>
      </c>
      <c r="H1935" s="81" t="s">
        <v>3368</v>
      </c>
      <c r="I1935" s="149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77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1">
        <v>1930.0</v>
      </c>
      <c r="B1936" s="141" t="s">
        <v>3370</v>
      </c>
      <c r="C1936" s="82" t="str">
        <f>VLOOKUP($B$7:$B$5000,SUM!$L$6:$L$500,1,FALSE)</f>
        <v>#N/A</v>
      </c>
      <c r="D1936" s="171" t="s">
        <v>3278</v>
      </c>
      <c r="E1936" s="165" t="s">
        <v>58</v>
      </c>
      <c r="F1936" s="81" t="s">
        <v>105</v>
      </c>
      <c r="G1936" s="125" t="s">
        <v>3287</v>
      </c>
      <c r="H1936" s="81" t="s">
        <v>3368</v>
      </c>
      <c r="I1936" s="149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77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1">
        <v>1931.0</v>
      </c>
      <c r="B1937" s="141" t="s">
        <v>3371</v>
      </c>
      <c r="C1937" s="82" t="str">
        <f>VLOOKUP($B$7:$B$5000,SUM!$L$6:$L$500,1,FALSE)</f>
        <v>#N/A</v>
      </c>
      <c r="D1937" s="171" t="s">
        <v>3278</v>
      </c>
      <c r="E1937" s="165" t="s">
        <v>58</v>
      </c>
      <c r="F1937" s="81" t="s">
        <v>105</v>
      </c>
      <c r="G1937" s="125" t="s">
        <v>3287</v>
      </c>
      <c r="H1937" s="81" t="s">
        <v>3368</v>
      </c>
      <c r="I1937" s="149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77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1">
        <v>1932.0</v>
      </c>
      <c r="B1938" s="141" t="s">
        <v>3373</v>
      </c>
      <c r="C1938" s="82" t="str">
        <f>VLOOKUP($B$7:$B$5000,SUM!$L$6:$L$500,1,FALSE)</f>
        <v>#N/A</v>
      </c>
      <c r="D1938" s="171" t="s">
        <v>3278</v>
      </c>
      <c r="E1938" s="165" t="s">
        <v>58</v>
      </c>
      <c r="F1938" s="81" t="s">
        <v>105</v>
      </c>
      <c r="G1938" s="125" t="s">
        <v>3287</v>
      </c>
      <c r="H1938" s="81" t="s">
        <v>3374</v>
      </c>
      <c r="I1938" s="149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77">
        <v>46146.0</v>
      </c>
      <c r="O1938" s="103" t="s">
        <v>67</v>
      </c>
      <c r="P1938" s="103" t="s">
        <v>68</v>
      </c>
      <c r="Q1938" s="150">
        <v>46164.0</v>
      </c>
      <c r="R1938" s="103" t="s">
        <v>597</v>
      </c>
      <c r="S1938" s="150">
        <v>46166.0</v>
      </c>
      <c r="T1938" s="103"/>
      <c r="U1938" s="90" t="s">
        <v>31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1">
        <v>1933.0</v>
      </c>
      <c r="B1939" s="141" t="s">
        <v>3375</v>
      </c>
      <c r="C1939" s="82" t="str">
        <f>VLOOKUP($B$7:$B$5000,SUM!$L$6:$L$500,1,FALSE)</f>
        <v>#N/A</v>
      </c>
      <c r="D1939" s="171" t="s">
        <v>3278</v>
      </c>
      <c r="E1939" s="165" t="s">
        <v>58</v>
      </c>
      <c r="F1939" s="81" t="s">
        <v>105</v>
      </c>
      <c r="G1939" s="125" t="s">
        <v>3287</v>
      </c>
      <c r="H1939" s="81" t="s">
        <v>3374</v>
      </c>
      <c r="I1939" s="149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77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1">
        <v>1934.0</v>
      </c>
      <c r="B1940" s="141" t="s">
        <v>3376</v>
      </c>
      <c r="C1940" s="82" t="str">
        <f>VLOOKUP($B$7:$B$5000,SUM!$L$6:$L$500,1,FALSE)</f>
        <v>#N/A</v>
      </c>
      <c r="D1940" s="171" t="s">
        <v>3278</v>
      </c>
      <c r="E1940" s="165" t="s">
        <v>58</v>
      </c>
      <c r="F1940" s="81" t="s">
        <v>105</v>
      </c>
      <c r="G1940" s="125" t="s">
        <v>3287</v>
      </c>
      <c r="H1940" s="81" t="s">
        <v>3374</v>
      </c>
      <c r="I1940" s="149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77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1">
        <v>1935.0</v>
      </c>
      <c r="B1941" s="141" t="s">
        <v>3377</v>
      </c>
      <c r="C1941" s="82" t="str">
        <f>VLOOKUP($B$7:$B$5000,SUM!$L$6:$L$500,1,FALSE)</f>
        <v>#N/A</v>
      </c>
      <c r="D1941" s="171" t="s">
        <v>3278</v>
      </c>
      <c r="E1941" s="165" t="s">
        <v>58</v>
      </c>
      <c r="F1941" s="81" t="s">
        <v>105</v>
      </c>
      <c r="G1941" s="125" t="s">
        <v>3287</v>
      </c>
      <c r="H1941" s="81" t="s">
        <v>3374</v>
      </c>
      <c r="I1941" s="149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77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1">
        <v>1936.0</v>
      </c>
      <c r="B1942" s="141" t="s">
        <v>3378</v>
      </c>
      <c r="C1942" s="82" t="str">
        <f>VLOOKUP($B$7:$B$5000,SUM!$L$6:$L$500,1,FALSE)</f>
        <v>#N/A</v>
      </c>
      <c r="D1942" s="171" t="s">
        <v>3278</v>
      </c>
      <c r="E1942" s="165" t="s">
        <v>58</v>
      </c>
      <c r="F1942" s="81" t="s">
        <v>105</v>
      </c>
      <c r="G1942" s="125" t="s">
        <v>3287</v>
      </c>
      <c r="H1942" s="81" t="s">
        <v>3379</v>
      </c>
      <c r="I1942" s="149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77">
        <v>46146.0</v>
      </c>
      <c r="O1942" s="103" t="s">
        <v>67</v>
      </c>
      <c r="P1942" s="103" t="s">
        <v>68</v>
      </c>
      <c r="Q1942" s="150">
        <v>46164.0</v>
      </c>
      <c r="R1942" s="103" t="s">
        <v>597</v>
      </c>
      <c r="S1942" s="150">
        <v>46166.0</v>
      </c>
      <c r="T1942" s="103"/>
      <c r="U1942" s="90" t="s">
        <v>31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1">
        <v>1937.0</v>
      </c>
      <c r="B1943" s="141" t="s">
        <v>3380</v>
      </c>
      <c r="C1943" s="82" t="str">
        <f>VLOOKUP($B$7:$B$5000,SUM!$L$6:$L$500,1,FALSE)</f>
        <v>#N/A</v>
      </c>
      <c r="D1943" s="171" t="s">
        <v>3278</v>
      </c>
      <c r="E1943" s="165" t="s">
        <v>58</v>
      </c>
      <c r="F1943" s="81" t="s">
        <v>105</v>
      </c>
      <c r="G1943" s="125" t="s">
        <v>3287</v>
      </c>
      <c r="H1943" s="81" t="s">
        <v>3379</v>
      </c>
      <c r="I1943" s="149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77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1">
        <v>1938.0</v>
      </c>
      <c r="B1944" s="141" t="s">
        <v>3381</v>
      </c>
      <c r="C1944" s="82" t="str">
        <f>VLOOKUP($B$7:$B$5000,SUM!$L$6:$L$500,1,FALSE)</f>
        <v>#N/A</v>
      </c>
      <c r="D1944" s="171" t="s">
        <v>3278</v>
      </c>
      <c r="E1944" s="165" t="s">
        <v>58</v>
      </c>
      <c r="F1944" s="81" t="s">
        <v>105</v>
      </c>
      <c r="G1944" s="125" t="s">
        <v>3287</v>
      </c>
      <c r="H1944" s="81" t="s">
        <v>3379</v>
      </c>
      <c r="I1944" s="149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77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1">
        <v>1939.0</v>
      </c>
      <c r="B1945" s="141" t="s">
        <v>3382</v>
      </c>
      <c r="C1945" s="82" t="str">
        <f>VLOOKUP($B$7:$B$5000,SUM!$L$6:$L$500,1,FALSE)</f>
        <v>#N/A</v>
      </c>
      <c r="D1945" s="171" t="s">
        <v>3278</v>
      </c>
      <c r="E1945" s="165" t="s">
        <v>58</v>
      </c>
      <c r="F1945" s="81" t="s">
        <v>105</v>
      </c>
      <c r="G1945" s="125" t="s">
        <v>3287</v>
      </c>
      <c r="H1945" s="81" t="s">
        <v>3379</v>
      </c>
      <c r="I1945" s="149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77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1">
        <v>1940.0</v>
      </c>
      <c r="B1946" s="141" t="s">
        <v>3383</v>
      </c>
      <c r="C1946" s="82" t="str">
        <f>VLOOKUP($B$7:$B$5000,SUM!$L$6:$L$500,1,FALSE)</f>
        <v>#N/A</v>
      </c>
      <c r="D1946" s="171" t="s">
        <v>3278</v>
      </c>
      <c r="E1946" s="165" t="s">
        <v>58</v>
      </c>
      <c r="F1946" s="81" t="s">
        <v>105</v>
      </c>
      <c r="G1946" s="125" t="s">
        <v>3287</v>
      </c>
      <c r="H1946" s="81" t="s">
        <v>3384</v>
      </c>
      <c r="I1946" s="149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77">
        <v>46146.0</v>
      </c>
      <c r="O1946" s="103" t="s">
        <v>67</v>
      </c>
      <c r="P1946" s="103" t="s">
        <v>68</v>
      </c>
      <c r="Q1946" s="150">
        <v>46164.0</v>
      </c>
      <c r="R1946" s="103" t="s">
        <v>597</v>
      </c>
      <c r="S1946" s="150">
        <v>46166.0</v>
      </c>
      <c r="T1946" s="103"/>
      <c r="U1946" s="90" t="s">
        <v>31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1">
        <v>1941.0</v>
      </c>
      <c r="B1947" s="141" t="s">
        <v>3385</v>
      </c>
      <c r="C1947" s="82" t="str">
        <f>VLOOKUP($B$7:$B$5000,SUM!$L$6:$L$500,1,FALSE)</f>
        <v>#N/A</v>
      </c>
      <c r="D1947" s="171" t="s">
        <v>3278</v>
      </c>
      <c r="E1947" s="165" t="s">
        <v>58</v>
      </c>
      <c r="F1947" s="81" t="s">
        <v>105</v>
      </c>
      <c r="G1947" s="125" t="s">
        <v>3287</v>
      </c>
      <c r="H1947" s="81" t="s">
        <v>3384</v>
      </c>
      <c r="I1947" s="149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77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1">
        <v>1942.0</v>
      </c>
      <c r="B1948" s="141" t="s">
        <v>3386</v>
      </c>
      <c r="C1948" s="82" t="str">
        <f>VLOOKUP($B$7:$B$5000,SUM!$L$6:$L$500,1,FALSE)</f>
        <v>#N/A</v>
      </c>
      <c r="D1948" s="171" t="s">
        <v>3278</v>
      </c>
      <c r="E1948" s="165" t="s">
        <v>58</v>
      </c>
      <c r="F1948" s="81" t="s">
        <v>105</v>
      </c>
      <c r="G1948" s="125" t="s">
        <v>3287</v>
      </c>
      <c r="H1948" s="81" t="s">
        <v>3384</v>
      </c>
      <c r="I1948" s="149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77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1">
        <v>1943.0</v>
      </c>
      <c r="B1949" s="141" t="s">
        <v>3387</v>
      </c>
      <c r="C1949" s="82" t="str">
        <f>VLOOKUP($B$7:$B$5000,SUM!$L$6:$L$500,1,FALSE)</f>
        <v>#N/A</v>
      </c>
      <c r="D1949" s="171" t="s">
        <v>3278</v>
      </c>
      <c r="E1949" s="165" t="s">
        <v>58</v>
      </c>
      <c r="F1949" s="81" t="s">
        <v>105</v>
      </c>
      <c r="G1949" s="125" t="s">
        <v>3287</v>
      </c>
      <c r="H1949" s="81" t="s">
        <v>3384</v>
      </c>
      <c r="I1949" s="149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77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1">
        <v>1944.0</v>
      </c>
      <c r="B1950" s="141" t="s">
        <v>3388</v>
      </c>
      <c r="C1950" s="82" t="str">
        <f>VLOOKUP($B$7:$B$5000,SUM!$L$6:$L$500,1,FALSE)</f>
        <v>#N/A</v>
      </c>
      <c r="D1950" s="171" t="s">
        <v>3278</v>
      </c>
      <c r="E1950" s="165" t="s">
        <v>58</v>
      </c>
      <c r="F1950" s="81" t="s">
        <v>105</v>
      </c>
      <c r="G1950" s="125" t="s">
        <v>3287</v>
      </c>
      <c r="H1950" s="81" t="s">
        <v>3389</v>
      </c>
      <c r="I1950" s="149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77">
        <v>46146.0</v>
      </c>
      <c r="O1950" s="103" t="s">
        <v>67</v>
      </c>
      <c r="P1950" s="103" t="s">
        <v>68</v>
      </c>
      <c r="Q1950" s="150">
        <v>46164.0</v>
      </c>
      <c r="R1950" s="103" t="s">
        <v>597</v>
      </c>
      <c r="S1950" s="150">
        <v>46166.0</v>
      </c>
      <c r="T1950" s="103"/>
      <c r="U1950" s="90" t="s">
        <v>31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1">
        <v>1945.0</v>
      </c>
      <c r="B1951" s="141" t="s">
        <v>3390</v>
      </c>
      <c r="C1951" s="82" t="str">
        <f>VLOOKUP($B$7:$B$5000,SUM!$L$6:$L$500,1,FALSE)</f>
        <v>#N/A</v>
      </c>
      <c r="D1951" s="171" t="s">
        <v>3278</v>
      </c>
      <c r="E1951" s="165" t="s">
        <v>58</v>
      </c>
      <c r="F1951" s="81" t="s">
        <v>105</v>
      </c>
      <c r="G1951" s="125" t="s">
        <v>3287</v>
      </c>
      <c r="H1951" s="81" t="s">
        <v>3389</v>
      </c>
      <c r="I1951" s="149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77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1">
        <v>1946.0</v>
      </c>
      <c r="B1952" s="141" t="s">
        <v>3391</v>
      </c>
      <c r="C1952" s="82" t="str">
        <f>VLOOKUP($B$7:$B$5000,SUM!$L$6:$L$500,1,FALSE)</f>
        <v>#N/A</v>
      </c>
      <c r="D1952" s="171" t="s">
        <v>3278</v>
      </c>
      <c r="E1952" s="165" t="s">
        <v>58</v>
      </c>
      <c r="F1952" s="81" t="s">
        <v>105</v>
      </c>
      <c r="G1952" s="125" t="s">
        <v>3287</v>
      </c>
      <c r="H1952" s="81" t="s">
        <v>3389</v>
      </c>
      <c r="I1952" s="149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77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1">
        <v>1947.0</v>
      </c>
      <c r="B1953" s="141" t="s">
        <v>3392</v>
      </c>
      <c r="C1953" s="82" t="str">
        <f>VLOOKUP($B$7:$B$5000,SUM!$L$6:$L$500,1,FALSE)</f>
        <v>#N/A</v>
      </c>
      <c r="D1953" s="171" t="s">
        <v>3278</v>
      </c>
      <c r="E1953" s="165" t="s">
        <v>58</v>
      </c>
      <c r="F1953" s="81" t="s">
        <v>105</v>
      </c>
      <c r="G1953" s="125" t="s">
        <v>3287</v>
      </c>
      <c r="H1953" s="81" t="s">
        <v>3389</v>
      </c>
      <c r="I1953" s="149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77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1">
        <v>1948.0</v>
      </c>
      <c r="B1954" s="141" t="s">
        <v>3393</v>
      </c>
      <c r="C1954" s="82" t="str">
        <f>VLOOKUP($B$7:$B$5000,SUM!$L$6:$L$500,1,FALSE)</f>
        <v>#N/A</v>
      </c>
      <c r="D1954" s="171" t="s">
        <v>3394</v>
      </c>
      <c r="E1954" s="85" t="s">
        <v>58</v>
      </c>
      <c r="F1954" s="81" t="s">
        <v>3395</v>
      </c>
      <c r="G1954" s="86" t="s">
        <v>3396</v>
      </c>
      <c r="H1954" s="81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77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1">
        <v>1949.0</v>
      </c>
      <c r="B1955" s="141" t="s">
        <v>3397</v>
      </c>
      <c r="C1955" s="82" t="str">
        <f>VLOOKUP($B$7:$B$5000,SUM!$L$6:$L$500,1,FALSE)</f>
        <v>#N/A</v>
      </c>
      <c r="D1955" s="171" t="s">
        <v>3394</v>
      </c>
      <c r="E1955" s="165" t="s">
        <v>58</v>
      </c>
      <c r="F1955" s="81" t="s">
        <v>3395</v>
      </c>
      <c r="G1955" s="86" t="s">
        <v>3396</v>
      </c>
      <c r="H1955" s="81" t="s">
        <v>61</v>
      </c>
      <c r="I1955" s="87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77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1">
        <v>1950.0</v>
      </c>
      <c r="B1956" s="141" t="s">
        <v>3398</v>
      </c>
      <c r="C1956" s="82" t="str">
        <f>VLOOKUP($B$7:$B$5000,SUM!$L$6:$L$500,1,FALSE)</f>
        <v>#N/A</v>
      </c>
      <c r="D1956" s="171" t="s">
        <v>3394</v>
      </c>
      <c r="E1956" s="165" t="s">
        <v>58</v>
      </c>
      <c r="F1956" s="81" t="s">
        <v>3395</v>
      </c>
      <c r="G1956" s="86" t="s">
        <v>3396</v>
      </c>
      <c r="H1956" s="81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77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1">
        <v>1951.0</v>
      </c>
      <c r="B1957" s="141" t="s">
        <v>3399</v>
      </c>
      <c r="C1957" s="82" t="str">
        <f>VLOOKUP($B$7:$B$5000,SUM!$L$6:$L$500,1,FALSE)</f>
        <v>#N/A</v>
      </c>
      <c r="D1957" s="171" t="s">
        <v>3394</v>
      </c>
      <c r="E1957" s="165" t="s">
        <v>58</v>
      </c>
      <c r="F1957" s="81" t="s">
        <v>3395</v>
      </c>
      <c r="G1957" s="86" t="s">
        <v>3396</v>
      </c>
      <c r="H1957" s="81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77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1">
        <v>1952.0</v>
      </c>
      <c r="B1958" s="141" t="s">
        <v>3400</v>
      </c>
      <c r="C1958" s="82" t="str">
        <f>VLOOKUP($B$7:$B$5000,SUM!$L$6:$L$500,1,FALSE)</f>
        <v>#N/A</v>
      </c>
      <c r="D1958" s="171" t="s">
        <v>3394</v>
      </c>
      <c r="E1958" s="165" t="s">
        <v>58</v>
      </c>
      <c r="F1958" s="81" t="s">
        <v>3395</v>
      </c>
      <c r="G1958" s="86" t="s">
        <v>3396</v>
      </c>
      <c r="H1958" s="81" t="s">
        <v>61</v>
      </c>
      <c r="I1958" s="149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77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1">
        <v>1953.0</v>
      </c>
      <c r="B1959" s="141" t="s">
        <v>3401</v>
      </c>
      <c r="C1959" s="82" t="str">
        <f>VLOOKUP($B$7:$B$5000,SUM!$L$6:$L$500,1,FALSE)</f>
        <v>#N/A</v>
      </c>
      <c r="D1959" s="171" t="s">
        <v>3394</v>
      </c>
      <c r="E1959" s="85" t="s">
        <v>58</v>
      </c>
      <c r="F1959" s="81" t="s">
        <v>3395</v>
      </c>
      <c r="G1959" s="86" t="s">
        <v>3396</v>
      </c>
      <c r="H1959" s="81" t="s">
        <v>61</v>
      </c>
      <c r="I1959" s="87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77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1">
        <v>1954.0</v>
      </c>
      <c r="B1960" s="141" t="s">
        <v>3403</v>
      </c>
      <c r="C1960" s="82" t="str">
        <f>VLOOKUP($B$7:$B$5000,SUM!$L$6:$L$500,1,FALSE)</f>
        <v>#N/A</v>
      </c>
      <c r="D1960" s="171" t="s">
        <v>3404</v>
      </c>
      <c r="E1960" s="85" t="s">
        <v>58</v>
      </c>
      <c r="F1960" s="81" t="s">
        <v>3405</v>
      </c>
      <c r="G1960" s="86" t="s">
        <v>3406</v>
      </c>
      <c r="H1960" s="81" t="s">
        <v>61</v>
      </c>
      <c r="I1960" s="87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77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78"/>
      <c r="W1960" s="178"/>
      <c r="X1960" s="178"/>
      <c r="Y1960" s="178"/>
      <c r="Z1960" s="178"/>
      <c r="AA1960" s="178"/>
      <c r="AB1960" s="178"/>
    </row>
    <row r="1961" ht="18.0" customHeight="1">
      <c r="A1961" s="131">
        <v>1955.0</v>
      </c>
      <c r="B1961" s="141" t="s">
        <v>3408</v>
      </c>
      <c r="C1961" s="82" t="str">
        <f>VLOOKUP($B$7:$B$5000,SUM!$L$6:$L$500,1,FALSE)</f>
        <v>#N/A</v>
      </c>
      <c r="D1961" s="171" t="s">
        <v>3404</v>
      </c>
      <c r="E1961" s="165" t="s">
        <v>58</v>
      </c>
      <c r="F1961" s="81" t="s">
        <v>3405</v>
      </c>
      <c r="G1961" s="86" t="s">
        <v>3406</v>
      </c>
      <c r="H1961" s="81" t="s">
        <v>61</v>
      </c>
      <c r="I1961" s="149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77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1">
        <v>1956.0</v>
      </c>
      <c r="B1962" s="141" t="s">
        <v>3410</v>
      </c>
      <c r="C1962" s="82" t="str">
        <f>VLOOKUP($B$7:$B$5000,SUM!$L$6:$L$500,1,FALSE)</f>
        <v>#N/A</v>
      </c>
      <c r="D1962" s="171" t="s">
        <v>3404</v>
      </c>
      <c r="E1962" s="165" t="s">
        <v>58</v>
      </c>
      <c r="F1962" s="81" t="s">
        <v>3405</v>
      </c>
      <c r="G1962" s="86" t="s">
        <v>3406</v>
      </c>
      <c r="H1962" s="81" t="s">
        <v>61</v>
      </c>
      <c r="I1962" s="149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77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1">
        <v>1957.0</v>
      </c>
      <c r="B1963" s="141" t="s">
        <v>3412</v>
      </c>
      <c r="C1963" s="82" t="str">
        <f>VLOOKUP($B$7:$B$5000,SUM!$L$6:$L$500,1,FALSE)</f>
        <v>#N/A</v>
      </c>
      <c r="D1963" s="171" t="s">
        <v>3404</v>
      </c>
      <c r="E1963" s="165" t="s">
        <v>58</v>
      </c>
      <c r="F1963" s="81" t="s">
        <v>3405</v>
      </c>
      <c r="G1963" s="86" t="s">
        <v>3406</v>
      </c>
      <c r="H1963" s="81" t="s">
        <v>61</v>
      </c>
      <c r="I1963" s="149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77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1">
        <v>1958.0</v>
      </c>
      <c r="B1964" s="141" t="s">
        <v>3414</v>
      </c>
      <c r="C1964" s="82" t="str">
        <f>VLOOKUP($B$7:$B$5000,SUM!$L$6:$L$500,1,FALSE)</f>
        <v>#N/A</v>
      </c>
      <c r="D1964" s="171" t="s">
        <v>3404</v>
      </c>
      <c r="E1964" s="85" t="s">
        <v>58</v>
      </c>
      <c r="F1964" s="81" t="s">
        <v>3405</v>
      </c>
      <c r="G1964" s="86" t="s">
        <v>3406</v>
      </c>
      <c r="H1964" s="81" t="s">
        <v>61</v>
      </c>
      <c r="I1964" s="149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77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1">
        <v>1959.0</v>
      </c>
      <c r="B1965" s="141" t="s">
        <v>3416</v>
      </c>
      <c r="C1965" s="82" t="str">
        <f>VLOOKUP($B$7:$B$5000,SUM!$L$6:$L$500,1,FALSE)</f>
        <v>#N/A</v>
      </c>
      <c r="D1965" s="171" t="s">
        <v>3404</v>
      </c>
      <c r="E1965" s="165" t="s">
        <v>58</v>
      </c>
      <c r="F1965" s="81" t="s">
        <v>3405</v>
      </c>
      <c r="G1965" s="86" t="s">
        <v>3406</v>
      </c>
      <c r="H1965" s="81" t="s">
        <v>61</v>
      </c>
      <c r="I1965" s="149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77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1">
        <v>1960.0</v>
      </c>
      <c r="B1966" s="141" t="s">
        <v>3418</v>
      </c>
      <c r="C1966" s="82" t="str">
        <f>VLOOKUP($B$7:$B$5000,SUM!$L$6:$L$500,1,FALSE)</f>
        <v>#N/A</v>
      </c>
      <c r="D1966" s="171" t="s">
        <v>3404</v>
      </c>
      <c r="E1966" s="85" t="s">
        <v>58</v>
      </c>
      <c r="F1966" s="81" t="s">
        <v>3405</v>
      </c>
      <c r="G1966" s="86" t="s">
        <v>3406</v>
      </c>
      <c r="H1966" s="81" t="s">
        <v>61</v>
      </c>
      <c r="I1966" s="149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77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48" t="s">
        <v>28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1">
        <v>1961.0</v>
      </c>
      <c r="B1967" s="141" t="s">
        <v>3420</v>
      </c>
      <c r="C1967" s="82" t="str">
        <f>VLOOKUP($B$7:$B$5000,SUM!$L$6:$L$500,1,FALSE)</f>
        <v>#N/A</v>
      </c>
      <c r="D1967" s="171" t="s">
        <v>3421</v>
      </c>
      <c r="E1967" s="165" t="s">
        <v>58</v>
      </c>
      <c r="F1967" s="81" t="s">
        <v>3422</v>
      </c>
      <c r="G1967" s="125" t="s">
        <v>3423</v>
      </c>
      <c r="H1967" s="125" t="s">
        <v>3424</v>
      </c>
      <c r="I1967" s="149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77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1">
        <v>1962.0</v>
      </c>
      <c r="B1968" s="141" t="s">
        <v>3427</v>
      </c>
      <c r="C1968" s="82" t="str">
        <f>VLOOKUP($B$7:$B$5000,SUM!$L$6:$L$500,1,FALSE)</f>
        <v>#N/A</v>
      </c>
      <c r="D1968" s="171" t="s">
        <v>3421</v>
      </c>
      <c r="E1968" s="85" t="s">
        <v>58</v>
      </c>
      <c r="F1968" s="81" t="s">
        <v>3422</v>
      </c>
      <c r="G1968" s="125" t="s">
        <v>3428</v>
      </c>
      <c r="H1968" s="125" t="s">
        <v>3429</v>
      </c>
      <c r="I1968" s="149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77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48" t="s">
        <v>28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1">
        <v>1963.0</v>
      </c>
      <c r="B1969" s="141" t="s">
        <v>3431</v>
      </c>
      <c r="C1969" s="82" t="str">
        <f>VLOOKUP($B$7:$B$5000,SUM!$L$6:$L$500,1,FALSE)</f>
        <v>#N/A</v>
      </c>
      <c r="D1969" s="171" t="s">
        <v>3421</v>
      </c>
      <c r="E1969" s="85" t="s">
        <v>58</v>
      </c>
      <c r="F1969" s="81" t="s">
        <v>3422</v>
      </c>
      <c r="G1969" s="125" t="s">
        <v>3428</v>
      </c>
      <c r="H1969" s="81" t="s">
        <v>3432</v>
      </c>
      <c r="I1969" s="149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77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48" t="s">
        <v>28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1">
        <v>1964.0</v>
      </c>
      <c r="B1970" s="141" t="s">
        <v>3433</v>
      </c>
      <c r="C1970" s="82" t="str">
        <f>VLOOKUP($B$7:$B$5000,SUM!$L$6:$L$500,1,FALSE)</f>
        <v>#N/A</v>
      </c>
      <c r="D1970" s="171" t="s">
        <v>3421</v>
      </c>
      <c r="E1970" s="165" t="s">
        <v>58</v>
      </c>
      <c r="F1970" s="81" t="s">
        <v>3422</v>
      </c>
      <c r="G1970" s="125" t="s">
        <v>3434</v>
      </c>
      <c r="H1970" s="81" t="s">
        <v>3435</v>
      </c>
      <c r="I1970" s="149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77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48" t="s">
        <v>28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1">
        <v>1965.0</v>
      </c>
      <c r="B1971" s="141" t="s">
        <v>3437</v>
      </c>
      <c r="C1971" s="82" t="str">
        <f>VLOOKUP($B$7:$B$5000,SUM!$L$6:$L$500,1,FALSE)</f>
        <v>#N/A</v>
      </c>
      <c r="D1971" s="171" t="s">
        <v>3421</v>
      </c>
      <c r="E1971" s="165" t="s">
        <v>58</v>
      </c>
      <c r="F1971" s="81" t="s">
        <v>3422</v>
      </c>
      <c r="G1971" s="179" t="s">
        <v>3428</v>
      </c>
      <c r="H1971" s="81" t="s">
        <v>3438</v>
      </c>
      <c r="I1971" s="149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77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48" t="s">
        <v>28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1">
        <v>1966.0</v>
      </c>
      <c r="B1972" s="141" t="s">
        <v>3440</v>
      </c>
      <c r="C1972" s="82" t="str">
        <f>VLOOKUP($B$7:$B$5000,SUM!$L$6:$L$500,1,FALSE)</f>
        <v>#N/A</v>
      </c>
      <c r="D1972" s="171" t="s">
        <v>3421</v>
      </c>
      <c r="E1972" s="165" t="s">
        <v>58</v>
      </c>
      <c r="F1972" s="81" t="s">
        <v>3422</v>
      </c>
      <c r="G1972" s="125" t="s">
        <v>3434</v>
      </c>
      <c r="H1972" s="81" t="s">
        <v>3441</v>
      </c>
      <c r="I1972" s="149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77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48" t="s">
        <v>28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1">
        <v>1967.0</v>
      </c>
      <c r="B1973" s="141" t="s">
        <v>3443</v>
      </c>
      <c r="C1973" s="82" t="str">
        <f>VLOOKUP($B$7:$B$5000,SUM!$L$6:$L$500,1,FALSE)</f>
        <v>#N/A</v>
      </c>
      <c r="D1973" s="171" t="s">
        <v>3421</v>
      </c>
      <c r="E1973" s="85" t="s">
        <v>58</v>
      </c>
      <c r="F1973" s="81" t="s">
        <v>3422</v>
      </c>
      <c r="G1973" s="125" t="s">
        <v>3434</v>
      </c>
      <c r="H1973" s="81" t="s">
        <v>3444</v>
      </c>
      <c r="I1973" s="149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77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48" t="s">
        <v>28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1">
        <v>1968.0</v>
      </c>
      <c r="B1974" s="141" t="s">
        <v>3445</v>
      </c>
      <c r="C1974" s="82" t="str">
        <f>VLOOKUP($B$7:$B$5000,SUM!$L$6:$L$500,1,FALSE)</f>
        <v>#N/A</v>
      </c>
      <c r="D1974" s="171" t="s">
        <v>3421</v>
      </c>
      <c r="E1974" s="165" t="s">
        <v>58</v>
      </c>
      <c r="F1974" s="81" t="s">
        <v>3422</v>
      </c>
      <c r="G1974" s="125" t="s">
        <v>3446</v>
      </c>
      <c r="H1974" s="81" t="s">
        <v>3447</v>
      </c>
      <c r="I1974" s="149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77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48" t="s">
        <v>28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1">
        <v>1969.0</v>
      </c>
      <c r="B1975" s="141" t="s">
        <v>3449</v>
      </c>
      <c r="C1975" s="82" t="str">
        <f>VLOOKUP($B$7:$B$5000,SUM!$L$6:$L$500,1,FALSE)</f>
        <v>#N/A</v>
      </c>
      <c r="D1975" s="171" t="s">
        <v>3421</v>
      </c>
      <c r="E1975" s="85" t="s">
        <v>58</v>
      </c>
      <c r="F1975" s="81" t="s">
        <v>3422</v>
      </c>
      <c r="G1975" s="125" t="s">
        <v>3450</v>
      </c>
      <c r="H1975" s="81" t="s">
        <v>3451</v>
      </c>
      <c r="I1975" s="149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77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48" t="s">
        <v>28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1">
        <v>1970.0</v>
      </c>
      <c r="B1976" s="141" t="s">
        <v>3453</v>
      </c>
      <c r="C1976" s="82" t="str">
        <f>VLOOKUP($B$7:$B$5000,SUM!$L$6:$L$500,1,FALSE)</f>
        <v>#N/A</v>
      </c>
      <c r="D1976" s="171" t="s">
        <v>3421</v>
      </c>
      <c r="E1976" s="165" t="s">
        <v>58</v>
      </c>
      <c r="F1976" s="81" t="s">
        <v>3422</v>
      </c>
      <c r="G1976" s="125" t="s">
        <v>3454</v>
      </c>
      <c r="H1976" s="81" t="s">
        <v>3455</v>
      </c>
      <c r="I1976" s="149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77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48" t="s">
        <v>28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1">
        <v>1971.0</v>
      </c>
      <c r="B1977" s="141" t="s">
        <v>3457</v>
      </c>
      <c r="C1977" s="82" t="str">
        <f>VLOOKUP($B$7:$B$5000,SUM!$L$6:$L$500,1,FALSE)</f>
        <v>#N/A</v>
      </c>
      <c r="D1977" s="171" t="s">
        <v>3421</v>
      </c>
      <c r="E1977" s="85" t="s">
        <v>58</v>
      </c>
      <c r="F1977" s="81" t="s">
        <v>3422</v>
      </c>
      <c r="G1977" s="125" t="s">
        <v>3428</v>
      </c>
      <c r="H1977" s="81" t="s">
        <v>3458</v>
      </c>
      <c r="I1977" s="149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77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48" t="s">
        <v>28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1">
        <v>1972.0</v>
      </c>
      <c r="B1978" s="141" t="s">
        <v>3459</v>
      </c>
      <c r="C1978" s="82" t="str">
        <f>VLOOKUP($B$7:$B$5000,SUM!$L$6:$L$500,1,FALSE)</f>
        <v>#N/A</v>
      </c>
      <c r="D1978" s="171" t="s">
        <v>3421</v>
      </c>
      <c r="E1978" s="85" t="s">
        <v>58</v>
      </c>
      <c r="F1978" s="81" t="s">
        <v>3422</v>
      </c>
      <c r="G1978" s="125" t="s">
        <v>3460</v>
      </c>
      <c r="H1978" s="81" t="s">
        <v>3461</v>
      </c>
      <c r="I1978" s="149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77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48" t="s">
        <v>28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1">
        <v>1973.0</v>
      </c>
      <c r="B1979" s="141" t="s">
        <v>3463</v>
      </c>
      <c r="C1979" s="82" t="str">
        <f>VLOOKUP($B$7:$B$5000,SUM!$L$6:$L$500,1,FALSE)</f>
        <v>#N/A</v>
      </c>
      <c r="D1979" s="171" t="s">
        <v>3421</v>
      </c>
      <c r="E1979" s="165" t="s">
        <v>58</v>
      </c>
      <c r="F1979" s="81" t="s">
        <v>3422</v>
      </c>
      <c r="G1979" s="125" t="s">
        <v>3460</v>
      </c>
      <c r="H1979" s="81" t="s">
        <v>3464</v>
      </c>
      <c r="I1979" s="149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77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48" t="s">
        <v>28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1">
        <v>1974.0</v>
      </c>
      <c r="B1980" s="141" t="s">
        <v>3465</v>
      </c>
      <c r="C1980" s="82" t="str">
        <f>VLOOKUP($B$7:$B$5000,SUM!$L$6:$L$500,1,FALSE)</f>
        <v>#N/A</v>
      </c>
      <c r="D1980" s="171" t="s">
        <v>3421</v>
      </c>
      <c r="E1980" s="165" t="s">
        <v>58</v>
      </c>
      <c r="F1980" s="81" t="s">
        <v>3422</v>
      </c>
      <c r="G1980" s="125" t="s">
        <v>3434</v>
      </c>
      <c r="H1980" s="81" t="s">
        <v>3435</v>
      </c>
      <c r="I1980" s="149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77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48" t="s">
        <v>28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1">
        <v>1975.0</v>
      </c>
      <c r="B1981" s="141" t="s">
        <v>3468</v>
      </c>
      <c r="C1981" s="82" t="str">
        <f>VLOOKUP($B$7:$B$5000,SUM!$L$6:$L$500,1,FALSE)</f>
        <v>#N/A</v>
      </c>
      <c r="D1981" s="171" t="s">
        <v>3421</v>
      </c>
      <c r="E1981" s="165" t="s">
        <v>58</v>
      </c>
      <c r="F1981" s="81" t="s">
        <v>3422</v>
      </c>
      <c r="G1981" s="125" t="s">
        <v>3423</v>
      </c>
      <c r="H1981" s="125" t="s">
        <v>3424</v>
      </c>
      <c r="I1981" s="149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77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48" t="s">
        <v>28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1">
        <v>1976.0</v>
      </c>
      <c r="B1982" s="141" t="s">
        <v>3470</v>
      </c>
      <c r="C1982" s="82" t="str">
        <f>VLOOKUP($B$7:$B$5000,SUM!$L$6:$L$500,1,FALSE)</f>
        <v>#N/A</v>
      </c>
      <c r="D1982" s="171" t="s">
        <v>3421</v>
      </c>
      <c r="E1982" s="85" t="s">
        <v>58</v>
      </c>
      <c r="F1982" s="81" t="s">
        <v>3422</v>
      </c>
      <c r="G1982" s="125" t="s">
        <v>3428</v>
      </c>
      <c r="H1982" s="125" t="s">
        <v>3429</v>
      </c>
      <c r="I1982" s="149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77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48" t="s">
        <v>28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1">
        <v>1977.0</v>
      </c>
      <c r="B1983" s="141" t="s">
        <v>3472</v>
      </c>
      <c r="C1983" s="82" t="str">
        <f>VLOOKUP($B$7:$B$5000,SUM!$L$6:$L$500,1,FALSE)</f>
        <v>#N/A</v>
      </c>
      <c r="D1983" s="171" t="s">
        <v>3421</v>
      </c>
      <c r="E1983" s="85" t="s">
        <v>58</v>
      </c>
      <c r="F1983" s="81" t="s">
        <v>3422</v>
      </c>
      <c r="G1983" s="125" t="s">
        <v>3428</v>
      </c>
      <c r="H1983" s="81" t="s">
        <v>3432</v>
      </c>
      <c r="I1983" s="149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77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48" t="s">
        <v>28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1">
        <v>1978.0</v>
      </c>
      <c r="B1984" s="141" t="s">
        <v>3473</v>
      </c>
      <c r="C1984" s="82" t="str">
        <f>VLOOKUP($B$7:$B$5000,SUM!$L$6:$L$500,1,FALSE)</f>
        <v>#N/A</v>
      </c>
      <c r="D1984" s="171" t="s">
        <v>3421</v>
      </c>
      <c r="E1984" s="165" t="s">
        <v>58</v>
      </c>
      <c r="F1984" s="81" t="s">
        <v>3422</v>
      </c>
      <c r="G1984" s="125" t="s">
        <v>3434</v>
      </c>
      <c r="H1984" s="81" t="s">
        <v>3435</v>
      </c>
      <c r="I1984" s="149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77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48" t="s">
        <v>28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1">
        <v>1979.0</v>
      </c>
      <c r="B1985" s="141" t="s">
        <v>3475</v>
      </c>
      <c r="C1985" s="82" t="str">
        <f>VLOOKUP($B$7:$B$5000,SUM!$L$6:$L$500,1,FALSE)</f>
        <v>#N/A</v>
      </c>
      <c r="D1985" s="171" t="s">
        <v>3421</v>
      </c>
      <c r="E1985" s="165" t="s">
        <v>58</v>
      </c>
      <c r="F1985" s="81" t="s">
        <v>3422</v>
      </c>
      <c r="G1985" s="179" t="s">
        <v>3428</v>
      </c>
      <c r="H1985" s="81" t="s">
        <v>3438</v>
      </c>
      <c r="I1985" s="149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77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48" t="s">
        <v>28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1">
        <v>1980.0</v>
      </c>
      <c r="B1986" s="141" t="s">
        <v>3477</v>
      </c>
      <c r="C1986" s="82" t="str">
        <f>VLOOKUP($B$7:$B$5000,SUM!$L$6:$L$500,1,FALSE)</f>
        <v>#N/A</v>
      </c>
      <c r="D1986" s="171" t="s">
        <v>3421</v>
      </c>
      <c r="E1986" s="165" t="s">
        <v>58</v>
      </c>
      <c r="F1986" s="81" t="s">
        <v>3422</v>
      </c>
      <c r="G1986" s="125" t="s">
        <v>3434</v>
      </c>
      <c r="H1986" s="81" t="s">
        <v>3441</v>
      </c>
      <c r="I1986" s="149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77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48" t="s">
        <v>28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1">
        <v>1981.0</v>
      </c>
      <c r="B1987" s="141" t="s">
        <v>3479</v>
      </c>
      <c r="C1987" s="82" t="str">
        <f>VLOOKUP($B$7:$B$5000,SUM!$L$6:$L$500,1,FALSE)</f>
        <v>#N/A</v>
      </c>
      <c r="D1987" s="171" t="s">
        <v>3421</v>
      </c>
      <c r="E1987" s="85" t="s">
        <v>58</v>
      </c>
      <c r="F1987" s="81" t="s">
        <v>3422</v>
      </c>
      <c r="G1987" s="125" t="s">
        <v>3434</v>
      </c>
      <c r="H1987" s="81" t="s">
        <v>3444</v>
      </c>
      <c r="I1987" s="149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77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48" t="s">
        <v>28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1">
        <v>1982.0</v>
      </c>
      <c r="B1988" s="141" t="s">
        <v>3480</v>
      </c>
      <c r="C1988" s="82" t="str">
        <f>VLOOKUP($B$7:$B$5000,SUM!$L$6:$L$500,1,FALSE)</f>
        <v>#N/A</v>
      </c>
      <c r="D1988" s="171" t="s">
        <v>3421</v>
      </c>
      <c r="E1988" s="165" t="s">
        <v>58</v>
      </c>
      <c r="F1988" s="81" t="s">
        <v>3422</v>
      </c>
      <c r="G1988" s="125" t="s">
        <v>3446</v>
      </c>
      <c r="H1988" s="81" t="s">
        <v>3447</v>
      </c>
      <c r="I1988" s="149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77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48" t="s">
        <v>28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1">
        <v>1983.0</v>
      </c>
      <c r="B1989" s="141" t="s">
        <v>3482</v>
      </c>
      <c r="C1989" s="82" t="str">
        <f>VLOOKUP($B$7:$B$5000,SUM!$L$6:$L$500,1,FALSE)</f>
        <v>#N/A</v>
      </c>
      <c r="D1989" s="171" t="s">
        <v>3421</v>
      </c>
      <c r="E1989" s="85" t="s">
        <v>58</v>
      </c>
      <c r="F1989" s="81" t="s">
        <v>3422</v>
      </c>
      <c r="G1989" s="125" t="s">
        <v>3450</v>
      </c>
      <c r="H1989" s="81" t="s">
        <v>3451</v>
      </c>
      <c r="I1989" s="149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77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48" t="s">
        <v>28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1">
        <v>1984.0</v>
      </c>
      <c r="B1990" s="141" t="s">
        <v>3484</v>
      </c>
      <c r="C1990" s="82" t="str">
        <f>VLOOKUP($B$7:$B$5000,SUM!$L$6:$L$500,1,FALSE)</f>
        <v>#N/A</v>
      </c>
      <c r="D1990" s="171" t="s">
        <v>3421</v>
      </c>
      <c r="E1990" s="165" t="s">
        <v>58</v>
      </c>
      <c r="F1990" s="81" t="s">
        <v>3422</v>
      </c>
      <c r="G1990" s="125" t="s">
        <v>3454</v>
      </c>
      <c r="H1990" s="81" t="s">
        <v>3455</v>
      </c>
      <c r="I1990" s="149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77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48" t="s">
        <v>28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1">
        <v>1985.0</v>
      </c>
      <c r="B1991" s="141" t="s">
        <v>3486</v>
      </c>
      <c r="C1991" s="82" t="str">
        <f>VLOOKUP($B$7:$B$5000,SUM!$L$6:$L$500,1,FALSE)</f>
        <v>#N/A</v>
      </c>
      <c r="D1991" s="171" t="s">
        <v>3421</v>
      </c>
      <c r="E1991" s="85" t="s">
        <v>58</v>
      </c>
      <c r="F1991" s="81" t="s">
        <v>3422</v>
      </c>
      <c r="G1991" s="125" t="s">
        <v>3428</v>
      </c>
      <c r="H1991" s="81" t="s">
        <v>3458</v>
      </c>
      <c r="I1991" s="149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77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48" t="s">
        <v>28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1">
        <v>1986.0</v>
      </c>
      <c r="B1992" s="141" t="s">
        <v>3487</v>
      </c>
      <c r="C1992" s="82" t="str">
        <f>VLOOKUP($B$7:$B$5000,SUM!$L$6:$L$500,1,FALSE)</f>
        <v>#N/A</v>
      </c>
      <c r="D1992" s="171" t="s">
        <v>3421</v>
      </c>
      <c r="E1992" s="85" t="s">
        <v>58</v>
      </c>
      <c r="F1992" s="81" t="s">
        <v>3422</v>
      </c>
      <c r="G1992" s="125" t="s">
        <v>3460</v>
      </c>
      <c r="H1992" s="81" t="s">
        <v>3461</v>
      </c>
      <c r="I1992" s="149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77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48" t="s">
        <v>28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1">
        <v>1987.0</v>
      </c>
      <c r="B1993" s="141" t="s">
        <v>3489</v>
      </c>
      <c r="C1993" s="82" t="str">
        <f>VLOOKUP($B$7:$B$5000,SUM!$L$6:$L$500,1,FALSE)</f>
        <v>#N/A</v>
      </c>
      <c r="D1993" s="171" t="s">
        <v>3421</v>
      </c>
      <c r="E1993" s="165" t="s">
        <v>58</v>
      </c>
      <c r="F1993" s="81" t="s">
        <v>3422</v>
      </c>
      <c r="G1993" s="125" t="s">
        <v>3460</v>
      </c>
      <c r="H1993" s="81" t="s">
        <v>3464</v>
      </c>
      <c r="I1993" s="149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77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48" t="s">
        <v>28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1">
        <v>1988.0</v>
      </c>
      <c r="B1994" s="141" t="s">
        <v>3490</v>
      </c>
      <c r="C1994" s="82" t="str">
        <f>VLOOKUP($B$7:$B$5000,SUM!$L$6:$L$500,1,FALSE)</f>
        <v>#N/A</v>
      </c>
      <c r="D1994" s="171" t="s">
        <v>3491</v>
      </c>
      <c r="E1994" s="165" t="s">
        <v>58</v>
      </c>
      <c r="F1994" s="81" t="s">
        <v>105</v>
      </c>
      <c r="G1994" s="125" t="s">
        <v>2640</v>
      </c>
      <c r="H1994" s="81" t="s">
        <v>3492</v>
      </c>
      <c r="I1994" s="149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77">
        <v>46148.0</v>
      </c>
      <c r="O1994" s="103" t="s">
        <v>67</v>
      </c>
      <c r="P1994" s="103" t="s">
        <v>68</v>
      </c>
      <c r="Q1994" s="150">
        <v>46164.0</v>
      </c>
      <c r="R1994" s="103" t="s">
        <v>597</v>
      </c>
      <c r="S1994" s="150">
        <v>46166.0</v>
      </c>
      <c r="T1994" s="103"/>
      <c r="U1994" s="90" t="s">
        <v>31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1">
        <v>1989.0</v>
      </c>
      <c r="B1995" s="141" t="s">
        <v>3494</v>
      </c>
      <c r="C1995" s="82" t="str">
        <f>VLOOKUP($B$7:$B$5000,SUM!$L$6:$L$500,1,FALSE)</f>
        <v>#N/A</v>
      </c>
      <c r="D1995" s="171" t="s">
        <v>3491</v>
      </c>
      <c r="E1995" s="165" t="s">
        <v>58</v>
      </c>
      <c r="F1995" s="81" t="s">
        <v>105</v>
      </c>
      <c r="G1995" s="125" t="s">
        <v>2640</v>
      </c>
      <c r="H1995" s="81" t="s">
        <v>3492</v>
      </c>
      <c r="I1995" s="149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77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1">
        <v>1990.0</v>
      </c>
      <c r="B1996" s="141" t="s">
        <v>3496</v>
      </c>
      <c r="C1996" s="82" t="str">
        <f>VLOOKUP($B$7:$B$5000,SUM!$L$6:$L$500,1,FALSE)</f>
        <v>#N/A</v>
      </c>
      <c r="D1996" s="171" t="s">
        <v>3491</v>
      </c>
      <c r="E1996" s="165" t="s">
        <v>58</v>
      </c>
      <c r="F1996" s="81" t="s">
        <v>105</v>
      </c>
      <c r="G1996" s="125" t="s">
        <v>2640</v>
      </c>
      <c r="H1996" s="81" t="s">
        <v>3492</v>
      </c>
      <c r="I1996" s="149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77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1">
        <v>1991.0</v>
      </c>
      <c r="B1997" s="141" t="s">
        <v>3498</v>
      </c>
      <c r="C1997" s="82" t="str">
        <f>VLOOKUP($B$7:$B$5000,SUM!$L$6:$L$500,1,FALSE)</f>
        <v>#N/A</v>
      </c>
      <c r="D1997" s="171" t="s">
        <v>3491</v>
      </c>
      <c r="E1997" s="165" t="s">
        <v>58</v>
      </c>
      <c r="F1997" s="81" t="s">
        <v>105</v>
      </c>
      <c r="G1997" s="125" t="s">
        <v>2640</v>
      </c>
      <c r="H1997" s="81" t="s">
        <v>3499</v>
      </c>
      <c r="I1997" s="149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77">
        <v>46148.0</v>
      </c>
      <c r="O1997" s="103" t="s">
        <v>67</v>
      </c>
      <c r="P1997" s="103" t="s">
        <v>68</v>
      </c>
      <c r="Q1997" s="150">
        <v>46162.0</v>
      </c>
      <c r="R1997" s="103" t="s">
        <v>597</v>
      </c>
      <c r="S1997" s="150">
        <v>46166.0</v>
      </c>
      <c r="T1997" s="103"/>
      <c r="U1997" s="90" t="s">
        <v>31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1">
        <v>1992.0</v>
      </c>
      <c r="B1998" s="141" t="s">
        <v>3500</v>
      </c>
      <c r="C1998" s="82" t="str">
        <f>VLOOKUP($B$7:$B$5000,SUM!$L$6:$L$500,1,FALSE)</f>
        <v>#N/A</v>
      </c>
      <c r="D1998" s="171" t="s">
        <v>3491</v>
      </c>
      <c r="E1998" s="165" t="s">
        <v>58</v>
      </c>
      <c r="F1998" s="81" t="s">
        <v>105</v>
      </c>
      <c r="G1998" s="125" t="s">
        <v>2640</v>
      </c>
      <c r="H1998" s="81" t="s">
        <v>3499</v>
      </c>
      <c r="I1998" s="149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77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1">
        <v>1993.0</v>
      </c>
      <c r="B1999" s="141" t="s">
        <v>3501</v>
      </c>
      <c r="C1999" s="82" t="str">
        <f>VLOOKUP($B$7:$B$5000,SUM!$L$6:$L$500,1,FALSE)</f>
        <v>#N/A</v>
      </c>
      <c r="D1999" s="171" t="s">
        <v>3491</v>
      </c>
      <c r="E1999" s="165" t="s">
        <v>58</v>
      </c>
      <c r="F1999" s="81" t="s">
        <v>105</v>
      </c>
      <c r="G1999" s="125" t="s">
        <v>2640</v>
      </c>
      <c r="H1999" s="81" t="s">
        <v>3499</v>
      </c>
      <c r="I1999" s="149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77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1">
        <v>1994.0</v>
      </c>
      <c r="B2000" s="141" t="s">
        <v>3502</v>
      </c>
      <c r="C2000" s="82" t="str">
        <f>VLOOKUP($B$7:$B$5000,SUM!$L$6:$L$500,1,FALSE)</f>
        <v>#N/A</v>
      </c>
      <c r="D2000" s="171" t="s">
        <v>3491</v>
      </c>
      <c r="E2000" s="165" t="s">
        <v>58</v>
      </c>
      <c r="F2000" s="81" t="s">
        <v>105</v>
      </c>
      <c r="G2000" s="125" t="s">
        <v>2640</v>
      </c>
      <c r="H2000" s="81" t="s">
        <v>3503</v>
      </c>
      <c r="I2000" s="149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77">
        <v>46148.0</v>
      </c>
      <c r="O2000" s="103" t="s">
        <v>67</v>
      </c>
      <c r="P2000" s="103" t="s">
        <v>68</v>
      </c>
      <c r="Q2000" s="150">
        <v>46162.0</v>
      </c>
      <c r="R2000" s="103" t="s">
        <v>597</v>
      </c>
      <c r="S2000" s="150">
        <v>46166.0</v>
      </c>
      <c r="T2000" s="103"/>
      <c r="U2000" s="90" t="s">
        <v>31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1">
        <v>1995.0</v>
      </c>
      <c r="B2001" s="141" t="s">
        <v>3504</v>
      </c>
      <c r="C2001" s="82" t="str">
        <f>VLOOKUP($B$7:$B$5000,SUM!$L$6:$L$500,1,FALSE)</f>
        <v>#N/A</v>
      </c>
      <c r="D2001" s="171" t="s">
        <v>3491</v>
      </c>
      <c r="E2001" s="165" t="s">
        <v>58</v>
      </c>
      <c r="F2001" s="81" t="s">
        <v>105</v>
      </c>
      <c r="G2001" s="125" t="s">
        <v>2640</v>
      </c>
      <c r="H2001" s="81" t="s">
        <v>3503</v>
      </c>
      <c r="I2001" s="149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77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1">
        <v>1996.0</v>
      </c>
      <c r="B2002" s="141" t="s">
        <v>3505</v>
      </c>
      <c r="C2002" s="82" t="str">
        <f>VLOOKUP($B$7:$B$5000,SUM!$L$6:$L$500,1,FALSE)</f>
        <v>#N/A</v>
      </c>
      <c r="D2002" s="171" t="s">
        <v>3491</v>
      </c>
      <c r="E2002" s="165" t="s">
        <v>58</v>
      </c>
      <c r="F2002" s="81" t="s">
        <v>105</v>
      </c>
      <c r="G2002" s="125" t="s">
        <v>2640</v>
      </c>
      <c r="H2002" s="81" t="s">
        <v>3503</v>
      </c>
      <c r="I2002" s="149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77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1">
        <v>1997.0</v>
      </c>
      <c r="B2003" s="141" t="s">
        <v>3507</v>
      </c>
      <c r="C2003" s="82" t="str">
        <f>VLOOKUP($B$7:$B$5000,SUM!$L$6:$L$500,1,FALSE)</f>
        <v>#N/A</v>
      </c>
      <c r="D2003" s="171" t="s">
        <v>3491</v>
      </c>
      <c r="E2003" s="165" t="s">
        <v>58</v>
      </c>
      <c r="F2003" s="81" t="s">
        <v>105</v>
      </c>
      <c r="G2003" s="125" t="s">
        <v>2640</v>
      </c>
      <c r="H2003" s="81" t="s">
        <v>3508</v>
      </c>
      <c r="I2003" s="149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77">
        <v>46148.0</v>
      </c>
      <c r="O2003" s="103" t="s">
        <v>67</v>
      </c>
      <c r="P2003" s="103" t="s">
        <v>68</v>
      </c>
      <c r="Q2003" s="150">
        <v>46162.0</v>
      </c>
      <c r="R2003" s="103" t="s">
        <v>597</v>
      </c>
      <c r="S2003" s="150">
        <v>46166.0</v>
      </c>
      <c r="T2003" s="103"/>
      <c r="U2003" s="90" t="s">
        <v>31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1">
        <v>1998.0</v>
      </c>
      <c r="B2004" s="141" t="s">
        <v>3509</v>
      </c>
      <c r="C2004" s="82" t="str">
        <f>VLOOKUP($B$7:$B$5000,SUM!$L$6:$L$500,1,FALSE)</f>
        <v>#N/A</v>
      </c>
      <c r="D2004" s="171" t="s">
        <v>3491</v>
      </c>
      <c r="E2004" s="165" t="s">
        <v>58</v>
      </c>
      <c r="F2004" s="81" t="s">
        <v>105</v>
      </c>
      <c r="G2004" s="125" t="s">
        <v>2640</v>
      </c>
      <c r="H2004" s="81" t="s">
        <v>3508</v>
      </c>
      <c r="I2004" s="149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77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1">
        <v>1999.0</v>
      </c>
      <c r="B2005" s="141" t="s">
        <v>3510</v>
      </c>
      <c r="C2005" s="82" t="str">
        <f>VLOOKUP($B$7:$B$5000,SUM!$L$6:$L$500,1,FALSE)</f>
        <v>#N/A</v>
      </c>
      <c r="D2005" s="171" t="s">
        <v>3491</v>
      </c>
      <c r="E2005" s="165" t="s">
        <v>58</v>
      </c>
      <c r="F2005" s="81" t="s">
        <v>105</v>
      </c>
      <c r="G2005" s="125" t="s">
        <v>2640</v>
      </c>
      <c r="H2005" s="81" t="s">
        <v>3508</v>
      </c>
      <c r="I2005" s="149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77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1">
        <v>2000.0</v>
      </c>
      <c r="B2006" s="141" t="s">
        <v>3511</v>
      </c>
      <c r="C2006" s="82" t="str">
        <f>VLOOKUP($B$7:$B$5000,SUM!$L$6:$L$500,1,FALSE)</f>
        <v>#N/A</v>
      </c>
      <c r="D2006" s="171" t="s">
        <v>3491</v>
      </c>
      <c r="E2006" s="165" t="s">
        <v>58</v>
      </c>
      <c r="F2006" s="81" t="s">
        <v>105</v>
      </c>
      <c r="G2006" s="125" t="s">
        <v>3512</v>
      </c>
      <c r="H2006" s="81" t="s">
        <v>3513</v>
      </c>
      <c r="I2006" s="149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77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1">
        <v>2001.0</v>
      </c>
      <c r="B2007" s="141" t="s">
        <v>3515</v>
      </c>
      <c r="C2007" s="82" t="str">
        <f>VLOOKUP($B$7:$B$5000,SUM!$L$6:$L$500,1,FALSE)</f>
        <v>#N/A</v>
      </c>
      <c r="D2007" s="171" t="s">
        <v>3491</v>
      </c>
      <c r="E2007" s="165" t="s">
        <v>58</v>
      </c>
      <c r="F2007" s="81" t="s">
        <v>105</v>
      </c>
      <c r="G2007" s="125" t="s">
        <v>1761</v>
      </c>
      <c r="H2007" s="81" t="s">
        <v>3516</v>
      </c>
      <c r="I2007" s="149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77">
        <v>46148.0</v>
      </c>
      <c r="O2007" s="103" t="s">
        <v>67</v>
      </c>
      <c r="P2007" s="103" t="s">
        <v>68</v>
      </c>
      <c r="Q2007" s="150">
        <v>46162.0</v>
      </c>
      <c r="R2007" s="103" t="s">
        <v>597</v>
      </c>
      <c r="S2007" s="150">
        <v>46166.0</v>
      </c>
      <c r="T2007" s="103"/>
      <c r="U2007" s="90" t="s">
        <v>31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1">
        <v>2002.0</v>
      </c>
      <c r="B2008" s="141" t="s">
        <v>3518</v>
      </c>
      <c r="C2008" s="82" t="str">
        <f>VLOOKUP($B$7:$B$5000,SUM!$L$6:$L$500,1,FALSE)</f>
        <v>#N/A</v>
      </c>
      <c r="D2008" s="171" t="s">
        <v>3491</v>
      </c>
      <c r="E2008" s="165" t="s">
        <v>58</v>
      </c>
      <c r="F2008" s="81" t="s">
        <v>105</v>
      </c>
      <c r="G2008" s="125" t="s">
        <v>1761</v>
      </c>
      <c r="H2008" s="81" t="s">
        <v>3516</v>
      </c>
      <c r="I2008" s="149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77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1">
        <v>2003.0</v>
      </c>
      <c r="B2009" s="141" t="s">
        <v>3520</v>
      </c>
      <c r="C2009" s="82" t="str">
        <f>VLOOKUP($B$7:$B$5000,SUM!$L$6:$L$500,1,FALSE)</f>
        <v>#N/A</v>
      </c>
      <c r="D2009" s="171" t="s">
        <v>3491</v>
      </c>
      <c r="E2009" s="165" t="s">
        <v>58</v>
      </c>
      <c r="F2009" s="81" t="s">
        <v>105</v>
      </c>
      <c r="G2009" s="125" t="s">
        <v>1761</v>
      </c>
      <c r="H2009" s="81" t="s">
        <v>3516</v>
      </c>
      <c r="I2009" s="149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77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1">
        <v>2004.0</v>
      </c>
      <c r="B2010" s="141" t="s">
        <v>3522</v>
      </c>
      <c r="C2010" s="82" t="str">
        <f>VLOOKUP($B$7:$B$5000,SUM!$L$6:$L$500,1,FALSE)</f>
        <v>#N/A</v>
      </c>
      <c r="D2010" s="171" t="s">
        <v>3491</v>
      </c>
      <c r="E2010" s="165" t="s">
        <v>58</v>
      </c>
      <c r="F2010" s="81" t="s">
        <v>105</v>
      </c>
      <c r="G2010" s="125" t="s">
        <v>1415</v>
      </c>
      <c r="H2010" s="81" t="s">
        <v>558</v>
      </c>
      <c r="I2010" s="149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77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1">
        <v>2005.0</v>
      </c>
      <c r="B2011" s="141" t="s">
        <v>3524</v>
      </c>
      <c r="C2011" s="82" t="str">
        <f>VLOOKUP($B$7:$B$5000,SUM!$L$6:$L$500,1,FALSE)</f>
        <v>#N/A</v>
      </c>
      <c r="D2011" s="171" t="s">
        <v>3491</v>
      </c>
      <c r="E2011" s="165" t="s">
        <v>58</v>
      </c>
      <c r="F2011" s="81" t="s">
        <v>105</v>
      </c>
      <c r="G2011" s="125" t="s">
        <v>1415</v>
      </c>
      <c r="H2011" s="81" t="s">
        <v>562</v>
      </c>
      <c r="I2011" s="149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77">
        <v>46148.0</v>
      </c>
      <c r="O2011" s="103" t="s">
        <v>67</v>
      </c>
      <c r="P2011" s="103" t="s">
        <v>68</v>
      </c>
      <c r="Q2011" s="150">
        <v>46164.0</v>
      </c>
      <c r="R2011" s="103" t="s">
        <v>597</v>
      </c>
      <c r="S2011" s="150">
        <v>46166.0</v>
      </c>
      <c r="T2011" s="103"/>
      <c r="U2011" s="90" t="s">
        <v>31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1">
        <v>2006.0</v>
      </c>
      <c r="B2012" s="141" t="s">
        <v>3526</v>
      </c>
      <c r="C2012" s="82" t="str">
        <f>VLOOKUP($B$7:$B$5000,SUM!$L$6:$L$500,1,FALSE)</f>
        <v>#N/A</v>
      </c>
      <c r="D2012" s="171" t="s">
        <v>3491</v>
      </c>
      <c r="E2012" s="165" t="s">
        <v>58</v>
      </c>
      <c r="F2012" s="81" t="s">
        <v>105</v>
      </c>
      <c r="G2012" s="125" t="s">
        <v>1415</v>
      </c>
      <c r="H2012" s="81" t="s">
        <v>562</v>
      </c>
      <c r="I2012" s="149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77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1">
        <v>2007.0</v>
      </c>
      <c r="B2013" s="141" t="s">
        <v>3527</v>
      </c>
      <c r="C2013" s="82" t="str">
        <f>VLOOKUP($B$7:$B$5000,SUM!$L$6:$L$500,1,FALSE)</f>
        <v>#N/A</v>
      </c>
      <c r="D2013" s="171" t="s">
        <v>3491</v>
      </c>
      <c r="E2013" s="165" t="s">
        <v>58</v>
      </c>
      <c r="F2013" s="81" t="s">
        <v>105</v>
      </c>
      <c r="G2013" s="125" t="s">
        <v>1415</v>
      </c>
      <c r="H2013" s="81" t="s">
        <v>566</v>
      </c>
      <c r="I2013" s="149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77">
        <v>46148.0</v>
      </c>
      <c r="O2013" s="103" t="s">
        <v>67</v>
      </c>
      <c r="P2013" s="103" t="s">
        <v>68</v>
      </c>
      <c r="Q2013" s="150">
        <v>46164.0</v>
      </c>
      <c r="R2013" s="103" t="s">
        <v>597</v>
      </c>
      <c r="S2013" s="150">
        <v>46166.0</v>
      </c>
      <c r="T2013" s="103"/>
      <c r="U2013" s="90" t="s">
        <v>31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1">
        <v>2008.0</v>
      </c>
      <c r="B2014" s="141" t="s">
        <v>3528</v>
      </c>
      <c r="C2014" s="82" t="str">
        <f>VLOOKUP($B$7:$B$5000,SUM!$L$6:$L$500,1,FALSE)</f>
        <v>#N/A</v>
      </c>
      <c r="D2014" s="171" t="s">
        <v>3491</v>
      </c>
      <c r="E2014" s="165" t="s">
        <v>58</v>
      </c>
      <c r="F2014" s="81" t="s">
        <v>105</v>
      </c>
      <c r="G2014" s="125" t="s">
        <v>1415</v>
      </c>
      <c r="H2014" s="81" t="s">
        <v>566</v>
      </c>
      <c r="I2014" s="149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77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1">
        <v>2009.0</v>
      </c>
      <c r="B2015" s="141" t="s">
        <v>3529</v>
      </c>
      <c r="C2015" s="82" t="str">
        <f>VLOOKUP($B$7:$B$5000,SUM!$L$6:$L$500,1,FALSE)</f>
        <v>#N/A</v>
      </c>
      <c r="D2015" s="171" t="s">
        <v>3491</v>
      </c>
      <c r="E2015" s="165" t="s">
        <v>58</v>
      </c>
      <c r="F2015" s="81" t="s">
        <v>105</v>
      </c>
      <c r="G2015" s="125" t="s">
        <v>1955</v>
      </c>
      <c r="H2015" s="81" t="s">
        <v>3530</v>
      </c>
      <c r="I2015" s="149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77">
        <v>46148.0</v>
      </c>
      <c r="O2015" s="103" t="s">
        <v>67</v>
      </c>
      <c r="P2015" s="103" t="s">
        <v>68</v>
      </c>
      <c r="Q2015" s="150">
        <v>46161.0</v>
      </c>
      <c r="R2015" s="103" t="s">
        <v>597</v>
      </c>
      <c r="S2015" s="104">
        <v>46166.0</v>
      </c>
      <c r="T2015" s="103"/>
      <c r="U2015" s="90" t="s">
        <v>31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1">
        <v>2010.0</v>
      </c>
      <c r="B2016" s="141" t="s">
        <v>3532</v>
      </c>
      <c r="C2016" s="82" t="str">
        <f>VLOOKUP($B$7:$B$5000,SUM!$L$6:$L$500,1,FALSE)</f>
        <v>#N/A</v>
      </c>
      <c r="D2016" s="171" t="s">
        <v>3491</v>
      </c>
      <c r="E2016" s="165" t="s">
        <v>58</v>
      </c>
      <c r="F2016" s="81" t="s">
        <v>105</v>
      </c>
      <c r="G2016" s="125" t="s">
        <v>1955</v>
      </c>
      <c r="H2016" s="81" t="s">
        <v>3530</v>
      </c>
      <c r="I2016" s="149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77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1">
        <v>2011.0</v>
      </c>
      <c r="B2017" s="141" t="s">
        <v>3534</v>
      </c>
      <c r="C2017" s="82" t="str">
        <f>VLOOKUP($B$7:$B$5000,SUM!$L$6:$L$500,1,FALSE)</f>
        <v>#N/A</v>
      </c>
      <c r="D2017" s="171" t="s">
        <v>3491</v>
      </c>
      <c r="E2017" s="165" t="s">
        <v>58</v>
      </c>
      <c r="F2017" s="81" t="s">
        <v>105</v>
      </c>
      <c r="G2017" s="125" t="s">
        <v>1955</v>
      </c>
      <c r="H2017" s="81" t="s">
        <v>3530</v>
      </c>
      <c r="I2017" s="149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77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1">
        <v>2012.0</v>
      </c>
      <c r="B2018" s="141" t="s">
        <v>3536</v>
      </c>
      <c r="C2018" s="82" t="str">
        <f>VLOOKUP($B$7:$B$5000,SUM!$L$6:$L$500,1,FALSE)</f>
        <v>#N/A</v>
      </c>
      <c r="D2018" s="171" t="s">
        <v>3491</v>
      </c>
      <c r="E2018" s="165" t="s">
        <v>58</v>
      </c>
      <c r="F2018" s="81" t="s">
        <v>105</v>
      </c>
      <c r="G2018" s="125" t="s">
        <v>1955</v>
      </c>
      <c r="H2018" s="81" t="s">
        <v>3530</v>
      </c>
      <c r="I2018" s="149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77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1">
        <v>2013.0</v>
      </c>
      <c r="B2019" s="141" t="s">
        <v>3538</v>
      </c>
      <c r="C2019" s="82" t="str">
        <f>VLOOKUP($B$7:$B$5000,SUM!$L$6:$L$500,1,FALSE)</f>
        <v>#N/A</v>
      </c>
      <c r="D2019" s="171" t="s">
        <v>3491</v>
      </c>
      <c r="E2019" s="165" t="s">
        <v>58</v>
      </c>
      <c r="F2019" s="81" t="s">
        <v>105</v>
      </c>
      <c r="G2019" s="125" t="s">
        <v>1955</v>
      </c>
      <c r="H2019" s="81" t="s">
        <v>3539</v>
      </c>
      <c r="I2019" s="149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77">
        <v>46148.0</v>
      </c>
      <c r="O2019" s="103" t="s">
        <v>67</v>
      </c>
      <c r="P2019" s="103" t="s">
        <v>68</v>
      </c>
      <c r="Q2019" s="150">
        <v>46161.0</v>
      </c>
      <c r="R2019" s="103" t="s">
        <v>597</v>
      </c>
      <c r="S2019" s="104">
        <v>46166.0</v>
      </c>
      <c r="T2019" s="103"/>
      <c r="U2019" s="90" t="s">
        <v>31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1">
        <v>2014.0</v>
      </c>
      <c r="B2020" s="141" t="s">
        <v>3540</v>
      </c>
      <c r="C2020" s="82" t="str">
        <f>VLOOKUP($B$7:$B$5000,SUM!$L$6:$L$500,1,FALSE)</f>
        <v>#N/A</v>
      </c>
      <c r="D2020" s="171" t="s">
        <v>3491</v>
      </c>
      <c r="E2020" s="165" t="s">
        <v>58</v>
      </c>
      <c r="F2020" s="81" t="s">
        <v>105</v>
      </c>
      <c r="G2020" s="125" t="s">
        <v>1955</v>
      </c>
      <c r="H2020" s="81" t="s">
        <v>3539</v>
      </c>
      <c r="I2020" s="149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77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1">
        <v>2015.0</v>
      </c>
      <c r="B2021" s="141" t="s">
        <v>3541</v>
      </c>
      <c r="C2021" s="82" t="str">
        <f>VLOOKUP($B$7:$B$5000,SUM!$L$6:$L$500,1,FALSE)</f>
        <v>#N/A</v>
      </c>
      <c r="D2021" s="171" t="s">
        <v>3491</v>
      </c>
      <c r="E2021" s="165" t="s">
        <v>58</v>
      </c>
      <c r="F2021" s="81" t="s">
        <v>105</v>
      </c>
      <c r="G2021" s="125" t="s">
        <v>1955</v>
      </c>
      <c r="H2021" s="81" t="s">
        <v>3539</v>
      </c>
      <c r="I2021" s="149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77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1">
        <v>2016.0</v>
      </c>
      <c r="B2022" s="141" t="s">
        <v>3543</v>
      </c>
      <c r="C2022" s="82" t="str">
        <f>VLOOKUP($B$7:$B$5000,SUM!$L$6:$L$500,1,FALSE)</f>
        <v>#N/A</v>
      </c>
      <c r="D2022" s="171" t="s">
        <v>3491</v>
      </c>
      <c r="E2022" s="165" t="s">
        <v>58</v>
      </c>
      <c r="F2022" s="81" t="s">
        <v>105</v>
      </c>
      <c r="G2022" s="125" t="s">
        <v>1955</v>
      </c>
      <c r="H2022" s="81" t="s">
        <v>3539</v>
      </c>
      <c r="I2022" s="149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77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1">
        <v>2017.0</v>
      </c>
      <c r="B2023" s="141" t="s">
        <v>3544</v>
      </c>
      <c r="C2023" s="82" t="str">
        <f>VLOOKUP($B$7:$B$5000,SUM!$L$6:$L$500,1,FALSE)</f>
        <v>#N/A</v>
      </c>
      <c r="D2023" s="171" t="s">
        <v>3491</v>
      </c>
      <c r="E2023" s="165" t="s">
        <v>58</v>
      </c>
      <c r="F2023" s="81" t="s">
        <v>105</v>
      </c>
      <c r="G2023" s="125" t="s">
        <v>3545</v>
      </c>
      <c r="H2023" s="81" t="s">
        <v>3546</v>
      </c>
      <c r="I2023" s="149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77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1">
        <v>2018.0</v>
      </c>
      <c r="B2024" s="141" t="s">
        <v>3548</v>
      </c>
      <c r="C2024" s="82" t="str">
        <f>VLOOKUP($B$7:$B$5000,SUM!$L$6:$L$500,1,FALSE)</f>
        <v>#N/A</v>
      </c>
      <c r="D2024" s="171" t="s">
        <v>3491</v>
      </c>
      <c r="E2024" s="165" t="s">
        <v>58</v>
      </c>
      <c r="F2024" s="81" t="s">
        <v>105</v>
      </c>
      <c r="G2024" s="125" t="s">
        <v>3545</v>
      </c>
      <c r="H2024" s="81" t="s">
        <v>3546</v>
      </c>
      <c r="I2024" s="149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77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1">
        <v>2019.0</v>
      </c>
      <c r="B2025" s="141" t="s">
        <v>3550</v>
      </c>
      <c r="C2025" s="82" t="str">
        <f>VLOOKUP($B$7:$B$5000,SUM!$L$6:$L$500,1,FALSE)</f>
        <v>#N/A</v>
      </c>
      <c r="D2025" s="171" t="s">
        <v>3491</v>
      </c>
      <c r="E2025" s="165" t="s">
        <v>58</v>
      </c>
      <c r="F2025" s="81" t="s">
        <v>105</v>
      </c>
      <c r="G2025" s="125" t="s">
        <v>3545</v>
      </c>
      <c r="H2025" s="81" t="s">
        <v>3546</v>
      </c>
      <c r="I2025" s="149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77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1">
        <v>2020.0</v>
      </c>
      <c r="B2026" s="141" t="s">
        <v>3552</v>
      </c>
      <c r="C2026" s="82" t="str">
        <f>VLOOKUP($B$7:$B$5000,SUM!$L$6:$L$500,1,FALSE)</f>
        <v>#N/A</v>
      </c>
      <c r="D2026" s="171" t="s">
        <v>3491</v>
      </c>
      <c r="E2026" s="165" t="s">
        <v>58</v>
      </c>
      <c r="F2026" s="81" t="s">
        <v>105</v>
      </c>
      <c r="G2026" s="125" t="s">
        <v>3545</v>
      </c>
      <c r="H2026" s="81" t="s">
        <v>3553</v>
      </c>
      <c r="I2026" s="149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77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1">
        <v>2021.0</v>
      </c>
      <c r="B2027" s="141" t="s">
        <v>3554</v>
      </c>
      <c r="C2027" s="82" t="str">
        <f>VLOOKUP($B$7:$B$5000,SUM!$L$6:$L$500,1,FALSE)</f>
        <v>#N/A</v>
      </c>
      <c r="D2027" s="171" t="s">
        <v>3491</v>
      </c>
      <c r="E2027" s="165" t="s">
        <v>58</v>
      </c>
      <c r="F2027" s="81" t="s">
        <v>105</v>
      </c>
      <c r="G2027" s="125" t="s">
        <v>3545</v>
      </c>
      <c r="H2027" s="81" t="s">
        <v>3553</v>
      </c>
      <c r="I2027" s="149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77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1">
        <v>2022.0</v>
      </c>
      <c r="B2028" s="141" t="s">
        <v>3556</v>
      </c>
      <c r="C2028" s="82" t="str">
        <f>VLOOKUP($B$7:$B$5000,SUM!$L$6:$L$500,1,FALSE)</f>
        <v>#N/A</v>
      </c>
      <c r="D2028" s="171" t="s">
        <v>3491</v>
      </c>
      <c r="E2028" s="165" t="s">
        <v>58</v>
      </c>
      <c r="F2028" s="81" t="s">
        <v>105</v>
      </c>
      <c r="G2028" s="125" t="s">
        <v>3545</v>
      </c>
      <c r="H2028" s="81" t="s">
        <v>3553</v>
      </c>
      <c r="I2028" s="149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77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1">
        <v>2023.0</v>
      </c>
      <c r="B2029" s="141" t="s">
        <v>3557</v>
      </c>
      <c r="C2029" s="82" t="str">
        <f>VLOOKUP($B$7:$B$5000,SUM!$L$6:$L$500,1,FALSE)</f>
        <v>#N/A</v>
      </c>
      <c r="D2029" s="171" t="s">
        <v>3491</v>
      </c>
      <c r="E2029" s="165" t="s">
        <v>58</v>
      </c>
      <c r="F2029" s="81" t="s">
        <v>105</v>
      </c>
      <c r="G2029" s="125" t="s">
        <v>3558</v>
      </c>
      <c r="H2029" s="81" t="s">
        <v>3559</v>
      </c>
      <c r="I2029" s="149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77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1">
        <v>2024.0</v>
      </c>
      <c r="B2030" s="141" t="s">
        <v>3561</v>
      </c>
      <c r="C2030" s="82" t="str">
        <f>VLOOKUP($B$7:$B$5000,SUM!$L$6:$L$500,1,FALSE)</f>
        <v>#N/A</v>
      </c>
      <c r="D2030" s="171" t="s">
        <v>3491</v>
      </c>
      <c r="E2030" s="165" t="s">
        <v>58</v>
      </c>
      <c r="F2030" s="81" t="s">
        <v>105</v>
      </c>
      <c r="G2030" s="125" t="s">
        <v>3558</v>
      </c>
      <c r="H2030" s="81" t="s">
        <v>3559</v>
      </c>
      <c r="I2030" s="149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77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1">
        <v>2025.0</v>
      </c>
      <c r="B2031" s="141" t="s">
        <v>3563</v>
      </c>
      <c r="C2031" s="82" t="str">
        <f>VLOOKUP($B$7:$B$5000,SUM!$L$6:$L$500,1,FALSE)</f>
        <v>#N/A</v>
      </c>
      <c r="D2031" s="171" t="s">
        <v>3491</v>
      </c>
      <c r="E2031" s="165" t="s">
        <v>58</v>
      </c>
      <c r="F2031" s="81" t="s">
        <v>105</v>
      </c>
      <c r="G2031" s="125" t="s">
        <v>3558</v>
      </c>
      <c r="H2031" s="81" t="s">
        <v>3559</v>
      </c>
      <c r="I2031" s="149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77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1">
        <v>2026.0</v>
      </c>
      <c r="B2032" s="141" t="s">
        <v>3565</v>
      </c>
      <c r="C2032" s="82" t="str">
        <f>VLOOKUP($B$7:$B$5000,SUM!$L$6:$L$500,1,FALSE)</f>
        <v>#N/A</v>
      </c>
      <c r="D2032" s="171" t="s">
        <v>3491</v>
      </c>
      <c r="E2032" s="165" t="s">
        <v>58</v>
      </c>
      <c r="F2032" s="81" t="s">
        <v>105</v>
      </c>
      <c r="G2032" s="125" t="s">
        <v>3558</v>
      </c>
      <c r="H2032" s="81" t="s">
        <v>3566</v>
      </c>
      <c r="I2032" s="149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77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1">
        <v>2027.0</v>
      </c>
      <c r="B2033" s="141" t="s">
        <v>3567</v>
      </c>
      <c r="C2033" s="82" t="str">
        <f>VLOOKUP($B$7:$B$5000,SUM!$L$6:$L$500,1,FALSE)</f>
        <v>#N/A</v>
      </c>
      <c r="D2033" s="171" t="s">
        <v>3491</v>
      </c>
      <c r="E2033" s="165" t="s">
        <v>58</v>
      </c>
      <c r="F2033" s="81" t="s">
        <v>105</v>
      </c>
      <c r="G2033" s="125" t="s">
        <v>3558</v>
      </c>
      <c r="H2033" s="81" t="s">
        <v>3566</v>
      </c>
      <c r="I2033" s="149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77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1">
        <v>2028.0</v>
      </c>
      <c r="B2034" s="141" t="s">
        <v>3568</v>
      </c>
      <c r="C2034" s="82" t="str">
        <f>VLOOKUP($B$7:$B$5000,SUM!$L$6:$L$500,1,FALSE)</f>
        <v>#N/A</v>
      </c>
      <c r="D2034" s="171" t="s">
        <v>3491</v>
      </c>
      <c r="E2034" s="165" t="s">
        <v>58</v>
      </c>
      <c r="F2034" s="81" t="s">
        <v>105</v>
      </c>
      <c r="G2034" s="125" t="s">
        <v>3558</v>
      </c>
      <c r="H2034" s="81" t="s">
        <v>3566</v>
      </c>
      <c r="I2034" s="149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77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1">
        <v>2029.0</v>
      </c>
      <c r="B2035" s="141" t="s">
        <v>3569</v>
      </c>
      <c r="C2035" s="82" t="str">
        <f>VLOOKUP($B$7:$B$5000,SUM!$L$6:$L$500,1,FALSE)</f>
        <v>#N/A</v>
      </c>
      <c r="D2035" s="171" t="s">
        <v>3491</v>
      </c>
      <c r="E2035" s="165" t="s">
        <v>58</v>
      </c>
      <c r="F2035" s="81" t="s">
        <v>105</v>
      </c>
      <c r="G2035" s="125" t="s">
        <v>3558</v>
      </c>
      <c r="H2035" s="81" t="s">
        <v>3570</v>
      </c>
      <c r="I2035" s="149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77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1">
        <v>2030.0</v>
      </c>
      <c r="B2036" s="141" t="s">
        <v>3571</v>
      </c>
      <c r="C2036" s="82" t="str">
        <f>VLOOKUP($B$7:$B$5000,SUM!$L$6:$L$500,1,FALSE)</f>
        <v>#N/A</v>
      </c>
      <c r="D2036" s="171" t="s">
        <v>3491</v>
      </c>
      <c r="E2036" s="165" t="s">
        <v>58</v>
      </c>
      <c r="F2036" s="81" t="s">
        <v>105</v>
      </c>
      <c r="G2036" s="125" t="s">
        <v>3558</v>
      </c>
      <c r="H2036" s="81" t="s">
        <v>3570</v>
      </c>
      <c r="I2036" s="149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77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1">
        <v>2031.0</v>
      </c>
      <c r="B2037" s="141" t="s">
        <v>3572</v>
      </c>
      <c r="C2037" s="82" t="str">
        <f>VLOOKUP($B$7:$B$5000,SUM!$L$6:$L$500,1,FALSE)</f>
        <v>#N/A</v>
      </c>
      <c r="D2037" s="171" t="s">
        <v>3491</v>
      </c>
      <c r="E2037" s="165" t="s">
        <v>58</v>
      </c>
      <c r="F2037" s="81" t="s">
        <v>105</v>
      </c>
      <c r="G2037" s="125" t="s">
        <v>3558</v>
      </c>
      <c r="H2037" s="81" t="s">
        <v>3570</v>
      </c>
      <c r="I2037" s="149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77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1">
        <v>2032.0</v>
      </c>
      <c r="B2038" s="141" t="s">
        <v>3573</v>
      </c>
      <c r="C2038" s="82" t="str">
        <f>VLOOKUP($B$7:$B$5000,SUM!$L$6:$L$500,1,FALSE)</f>
        <v>#N/A</v>
      </c>
      <c r="D2038" s="171" t="s">
        <v>3491</v>
      </c>
      <c r="E2038" s="165" t="s">
        <v>58</v>
      </c>
      <c r="F2038" s="81" t="s">
        <v>105</v>
      </c>
      <c r="G2038" s="125" t="s">
        <v>3558</v>
      </c>
      <c r="H2038" s="81" t="s">
        <v>3574</v>
      </c>
      <c r="I2038" s="149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77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1">
        <v>2033.0</v>
      </c>
      <c r="B2039" s="141" t="s">
        <v>3575</v>
      </c>
      <c r="C2039" s="82" t="str">
        <f>VLOOKUP($B$7:$B$5000,SUM!$L$6:$L$500,1,FALSE)</f>
        <v>#N/A</v>
      </c>
      <c r="D2039" s="171" t="s">
        <v>3491</v>
      </c>
      <c r="E2039" s="165" t="s">
        <v>58</v>
      </c>
      <c r="F2039" s="81" t="s">
        <v>105</v>
      </c>
      <c r="G2039" s="125" t="s">
        <v>3558</v>
      </c>
      <c r="H2039" s="81" t="s">
        <v>3574</v>
      </c>
      <c r="I2039" s="149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77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1">
        <v>2034.0</v>
      </c>
      <c r="B2040" s="141" t="s">
        <v>3576</v>
      </c>
      <c r="C2040" s="82" t="str">
        <f>VLOOKUP($B$7:$B$5000,SUM!$L$6:$L$500,1,FALSE)</f>
        <v>#N/A</v>
      </c>
      <c r="D2040" s="171" t="s">
        <v>3491</v>
      </c>
      <c r="E2040" s="165" t="s">
        <v>58</v>
      </c>
      <c r="F2040" s="81" t="s">
        <v>105</v>
      </c>
      <c r="G2040" s="125" t="s">
        <v>3558</v>
      </c>
      <c r="H2040" s="81" t="s">
        <v>3574</v>
      </c>
      <c r="I2040" s="149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77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1">
        <v>2035.0</v>
      </c>
      <c r="B2041" s="141" t="s">
        <v>3577</v>
      </c>
      <c r="C2041" s="82" t="str">
        <f>VLOOKUP($B$7:$B$5000,SUM!$L$6:$L$500,1,FALSE)</f>
        <v>#N/A</v>
      </c>
      <c r="D2041" s="171" t="s">
        <v>3491</v>
      </c>
      <c r="E2041" s="165" t="s">
        <v>58</v>
      </c>
      <c r="F2041" s="81" t="s">
        <v>105</v>
      </c>
      <c r="G2041" s="125" t="s">
        <v>3558</v>
      </c>
      <c r="H2041" s="81" t="s">
        <v>3578</v>
      </c>
      <c r="I2041" s="149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77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1">
        <v>2036.0</v>
      </c>
      <c r="B2042" s="141" t="s">
        <v>3579</v>
      </c>
      <c r="C2042" s="82" t="str">
        <f>VLOOKUP($B$7:$B$5000,SUM!$L$6:$L$500,1,FALSE)</f>
        <v>#N/A</v>
      </c>
      <c r="D2042" s="171" t="s">
        <v>3491</v>
      </c>
      <c r="E2042" s="165" t="s">
        <v>58</v>
      </c>
      <c r="F2042" s="81" t="s">
        <v>105</v>
      </c>
      <c r="G2042" s="125" t="s">
        <v>3558</v>
      </c>
      <c r="H2042" s="81" t="s">
        <v>3578</v>
      </c>
      <c r="I2042" s="149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77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1">
        <v>2037.0</v>
      </c>
      <c r="B2043" s="141" t="s">
        <v>3580</v>
      </c>
      <c r="C2043" s="82" t="str">
        <f>VLOOKUP($B$7:$B$5000,SUM!$L$6:$L$500,1,FALSE)</f>
        <v>#N/A</v>
      </c>
      <c r="D2043" s="171" t="s">
        <v>3491</v>
      </c>
      <c r="E2043" s="165" t="s">
        <v>58</v>
      </c>
      <c r="F2043" s="81" t="s">
        <v>105</v>
      </c>
      <c r="G2043" s="125" t="s">
        <v>3558</v>
      </c>
      <c r="H2043" s="81" t="s">
        <v>3578</v>
      </c>
      <c r="I2043" s="149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77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1">
        <v>2038.0</v>
      </c>
      <c r="B2044" s="141" t="s">
        <v>3581</v>
      </c>
      <c r="C2044" s="82" t="str">
        <f>VLOOKUP($B$7:$B$5000,SUM!$L$6:$L$500,1,FALSE)</f>
        <v>#N/A</v>
      </c>
      <c r="D2044" s="171" t="s">
        <v>3491</v>
      </c>
      <c r="E2044" s="165" t="s">
        <v>58</v>
      </c>
      <c r="F2044" s="81" t="s">
        <v>105</v>
      </c>
      <c r="G2044" s="125" t="s">
        <v>3558</v>
      </c>
      <c r="H2044" s="81" t="s">
        <v>3582</v>
      </c>
      <c r="I2044" s="149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77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1">
        <v>2039.0</v>
      </c>
      <c r="B2045" s="141" t="s">
        <v>3583</v>
      </c>
      <c r="C2045" s="82" t="str">
        <f>VLOOKUP($B$7:$B$5000,SUM!$L$6:$L$500,1,FALSE)</f>
        <v>#N/A</v>
      </c>
      <c r="D2045" s="171" t="s">
        <v>3491</v>
      </c>
      <c r="E2045" s="165" t="s">
        <v>58</v>
      </c>
      <c r="F2045" s="81" t="s">
        <v>105</v>
      </c>
      <c r="G2045" s="125" t="s">
        <v>3558</v>
      </c>
      <c r="H2045" s="81" t="s">
        <v>3582</v>
      </c>
      <c r="I2045" s="149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77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1">
        <v>2040.0</v>
      </c>
      <c r="B2046" s="141" t="s">
        <v>3584</v>
      </c>
      <c r="C2046" s="82" t="str">
        <f>VLOOKUP($B$7:$B$5000,SUM!$L$6:$L$500,1,FALSE)</f>
        <v>#N/A</v>
      </c>
      <c r="D2046" s="171" t="s">
        <v>3491</v>
      </c>
      <c r="E2046" s="165" t="s">
        <v>58</v>
      </c>
      <c r="F2046" s="81" t="s">
        <v>105</v>
      </c>
      <c r="G2046" s="125" t="s">
        <v>3558</v>
      </c>
      <c r="H2046" s="81" t="s">
        <v>3582</v>
      </c>
      <c r="I2046" s="149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77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1">
        <v>2041.0</v>
      </c>
      <c r="B2047" s="141" t="s">
        <v>3585</v>
      </c>
      <c r="C2047" s="82" t="str">
        <f>VLOOKUP($B$7:$B$5000,SUM!$L$6:$L$500,1,FALSE)</f>
        <v>#N/A</v>
      </c>
      <c r="D2047" s="171" t="s">
        <v>3421</v>
      </c>
      <c r="E2047" s="165" t="s">
        <v>58</v>
      </c>
      <c r="F2047" s="81" t="s">
        <v>3422</v>
      </c>
      <c r="G2047" s="125" t="s">
        <v>3428</v>
      </c>
      <c r="H2047" s="125" t="s">
        <v>3429</v>
      </c>
      <c r="I2047" s="149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77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48" t="s">
        <v>28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1">
        <v>2042.0</v>
      </c>
      <c r="B2048" s="141" t="s">
        <v>3587</v>
      </c>
      <c r="C2048" s="82" t="str">
        <f>VLOOKUP($B$7:$B$5000,SUM!$L$6:$L$500,1,FALSE)</f>
        <v>#N/A</v>
      </c>
      <c r="D2048" s="171" t="s">
        <v>3421</v>
      </c>
      <c r="E2048" s="85" t="s">
        <v>58</v>
      </c>
      <c r="F2048" s="81" t="s">
        <v>3422</v>
      </c>
      <c r="G2048" s="125" t="s">
        <v>3428</v>
      </c>
      <c r="H2048" s="117" t="s">
        <v>3432</v>
      </c>
      <c r="I2048" s="149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77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48" t="s">
        <v>28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1">
        <v>2043.0</v>
      </c>
      <c r="B2049" s="180" t="s">
        <v>3588</v>
      </c>
      <c r="C2049" s="82" t="str">
        <f>VLOOKUP($B$7:$B$5000,SUM!$L$6:$L$500,1,FALSE)</f>
        <v>#N/A</v>
      </c>
      <c r="D2049" s="181" t="s">
        <v>3589</v>
      </c>
      <c r="E2049" s="182" t="s">
        <v>58</v>
      </c>
      <c r="F2049" s="124" t="s">
        <v>3405</v>
      </c>
      <c r="G2049" s="182" t="s">
        <v>1362</v>
      </c>
      <c r="H2049" s="180" t="s">
        <v>61</v>
      </c>
      <c r="I2049" s="183" t="s">
        <v>3590</v>
      </c>
      <c r="J2049" s="182" t="s">
        <v>63</v>
      </c>
      <c r="K2049" s="182" t="s">
        <v>64</v>
      </c>
      <c r="L2049" s="182" t="s">
        <v>65</v>
      </c>
      <c r="M2049" s="182" t="s">
        <v>66</v>
      </c>
      <c r="N2049" s="184">
        <v>46149.0</v>
      </c>
      <c r="O2049" s="182" t="s">
        <v>67</v>
      </c>
      <c r="P2049" s="103" t="s">
        <v>68</v>
      </c>
      <c r="Q2049" s="103"/>
      <c r="R2049" s="103"/>
      <c r="S2049" s="103"/>
      <c r="T2049" s="103"/>
      <c r="U2049" s="148" t="s">
        <v>28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1">
        <v>2044.0</v>
      </c>
      <c r="B2050" s="180" t="s">
        <v>3591</v>
      </c>
      <c r="C2050" s="82" t="str">
        <f>VLOOKUP($B$7:$B$5000,SUM!$L$6:$L$500,1,FALSE)</f>
        <v>#N/A</v>
      </c>
      <c r="D2050" s="181" t="s">
        <v>3589</v>
      </c>
      <c r="E2050" s="185" t="s">
        <v>58</v>
      </c>
      <c r="F2050" s="169" t="s">
        <v>3405</v>
      </c>
      <c r="G2050" s="182" t="s">
        <v>1362</v>
      </c>
      <c r="H2050" s="180" t="s">
        <v>61</v>
      </c>
      <c r="I2050" s="186" t="s">
        <v>3592</v>
      </c>
      <c r="J2050" s="185" t="s">
        <v>63</v>
      </c>
      <c r="K2050" s="185" t="s">
        <v>64</v>
      </c>
      <c r="L2050" s="185" t="s">
        <v>65</v>
      </c>
      <c r="M2050" s="185" t="s">
        <v>66</v>
      </c>
      <c r="N2050" s="184">
        <v>46149.0</v>
      </c>
      <c r="O2050" s="185" t="s">
        <v>67</v>
      </c>
      <c r="P2050" s="103" t="s">
        <v>68</v>
      </c>
      <c r="Q2050" s="103"/>
      <c r="R2050" s="103"/>
      <c r="S2050" s="103"/>
      <c r="T2050" s="103"/>
      <c r="U2050" s="148" t="s">
        <v>28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1">
        <v>2045.0</v>
      </c>
      <c r="B2051" s="180" t="s">
        <v>3593</v>
      </c>
      <c r="C2051" s="82" t="str">
        <f>VLOOKUP($B$7:$B$5000,SUM!$L$6:$L$500,1,FALSE)</f>
        <v>#N/A</v>
      </c>
      <c r="D2051" s="181" t="s">
        <v>3589</v>
      </c>
      <c r="E2051" s="185" t="s">
        <v>58</v>
      </c>
      <c r="F2051" s="169" t="s">
        <v>3405</v>
      </c>
      <c r="G2051" s="182" t="s">
        <v>1362</v>
      </c>
      <c r="H2051" s="180" t="s">
        <v>61</v>
      </c>
      <c r="I2051" s="186" t="s">
        <v>3594</v>
      </c>
      <c r="J2051" s="185" t="s">
        <v>108</v>
      </c>
      <c r="K2051" s="185" t="s">
        <v>64</v>
      </c>
      <c r="L2051" s="185" t="s">
        <v>65</v>
      </c>
      <c r="M2051" s="185" t="s">
        <v>66</v>
      </c>
      <c r="N2051" s="184">
        <v>46149.0</v>
      </c>
      <c r="O2051" s="185" t="s">
        <v>67</v>
      </c>
      <c r="P2051" s="103" t="s">
        <v>68</v>
      </c>
      <c r="Q2051" s="103"/>
      <c r="R2051" s="103"/>
      <c r="S2051" s="103"/>
      <c r="T2051" s="103"/>
      <c r="U2051" s="148" t="s">
        <v>28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1">
        <v>2046.0</v>
      </c>
      <c r="B2052" s="180" t="s">
        <v>3595</v>
      </c>
      <c r="C2052" s="82" t="str">
        <f>VLOOKUP($B$7:$B$5000,SUM!$L$6:$L$500,1,FALSE)</f>
        <v>#N/A</v>
      </c>
      <c r="D2052" s="181" t="s">
        <v>3589</v>
      </c>
      <c r="E2052" s="185" t="s">
        <v>58</v>
      </c>
      <c r="F2052" s="169" t="s">
        <v>3405</v>
      </c>
      <c r="G2052" s="182" t="s">
        <v>1362</v>
      </c>
      <c r="H2052" s="180" t="s">
        <v>61</v>
      </c>
      <c r="I2052" s="186" t="s">
        <v>3596</v>
      </c>
      <c r="J2052" s="185" t="s">
        <v>74</v>
      </c>
      <c r="K2052" s="185" t="s">
        <v>64</v>
      </c>
      <c r="L2052" s="185" t="s">
        <v>65</v>
      </c>
      <c r="M2052" s="185" t="s">
        <v>66</v>
      </c>
      <c r="N2052" s="184">
        <v>46149.0</v>
      </c>
      <c r="O2052" s="185" t="s">
        <v>67</v>
      </c>
      <c r="P2052" s="103" t="s">
        <v>68</v>
      </c>
      <c r="Q2052" s="103"/>
      <c r="R2052" s="103"/>
      <c r="S2052" s="103"/>
      <c r="T2052" s="103"/>
      <c r="U2052" s="148" t="s">
        <v>28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1">
        <v>2047.0</v>
      </c>
      <c r="B2053" s="180" t="s">
        <v>3597</v>
      </c>
      <c r="C2053" s="82" t="str">
        <f>VLOOKUP($B$7:$B$5000,SUM!$L$6:$L$500,1,FALSE)</f>
        <v>#N/A</v>
      </c>
      <c r="D2053" s="181" t="s">
        <v>3589</v>
      </c>
      <c r="E2053" s="185" t="s">
        <v>58</v>
      </c>
      <c r="F2053" s="169" t="s">
        <v>3405</v>
      </c>
      <c r="G2053" s="182" t="s">
        <v>1362</v>
      </c>
      <c r="H2053" s="180" t="s">
        <v>61</v>
      </c>
      <c r="I2053" s="186" t="s">
        <v>3598</v>
      </c>
      <c r="J2053" s="185" t="s">
        <v>108</v>
      </c>
      <c r="K2053" s="185" t="s">
        <v>64</v>
      </c>
      <c r="L2053" s="185" t="s">
        <v>65</v>
      </c>
      <c r="M2053" s="185" t="s">
        <v>66</v>
      </c>
      <c r="N2053" s="184">
        <v>46149.0</v>
      </c>
      <c r="O2053" s="185" t="s">
        <v>67</v>
      </c>
      <c r="P2053" s="103" t="s">
        <v>68</v>
      </c>
      <c r="Q2053" s="103"/>
      <c r="R2053" s="103"/>
      <c r="S2053" s="103"/>
      <c r="T2053" s="103"/>
      <c r="U2053" s="148" t="s">
        <v>28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1">
        <v>2048.0</v>
      </c>
      <c r="B2054" s="180" t="s">
        <v>3599</v>
      </c>
      <c r="C2054" s="82" t="str">
        <f>VLOOKUP($B$7:$B$5000,SUM!$L$6:$L$500,1,FALSE)</f>
        <v>#N/A</v>
      </c>
      <c r="D2054" s="181" t="s">
        <v>3589</v>
      </c>
      <c r="E2054" s="185" t="s">
        <v>58</v>
      </c>
      <c r="F2054" s="169" t="s">
        <v>3405</v>
      </c>
      <c r="G2054" s="182" t="s">
        <v>1362</v>
      </c>
      <c r="H2054" s="180" t="s">
        <v>61</v>
      </c>
      <c r="I2054" s="186" t="s">
        <v>3600</v>
      </c>
      <c r="J2054" s="185" t="s">
        <v>74</v>
      </c>
      <c r="K2054" s="185" t="s">
        <v>64</v>
      </c>
      <c r="L2054" s="185" t="s">
        <v>65</v>
      </c>
      <c r="M2054" s="185" t="s">
        <v>66</v>
      </c>
      <c r="N2054" s="184">
        <v>46149.0</v>
      </c>
      <c r="O2054" s="185" t="s">
        <v>67</v>
      </c>
      <c r="P2054" s="103" t="s">
        <v>68</v>
      </c>
      <c r="Q2054" s="103"/>
      <c r="R2054" s="103"/>
      <c r="S2054" s="103"/>
      <c r="T2054" s="103"/>
      <c r="U2054" s="148" t="s">
        <v>28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1">
        <v>2049.0</v>
      </c>
      <c r="B2055" s="180" t="s">
        <v>3601</v>
      </c>
      <c r="C2055" s="82" t="str">
        <f>VLOOKUP($B$7:$B$5000,SUM!$L$6:$L$500,1,FALSE)</f>
        <v>#N/A</v>
      </c>
      <c r="D2055" s="171" t="s">
        <v>3602</v>
      </c>
      <c r="E2055" s="165" t="s">
        <v>58</v>
      </c>
      <c r="F2055" s="81" t="s">
        <v>105</v>
      </c>
      <c r="G2055" s="125" t="s">
        <v>3545</v>
      </c>
      <c r="H2055" s="81" t="s">
        <v>3603</v>
      </c>
      <c r="I2055" s="149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77">
        <v>46149.0</v>
      </c>
      <c r="O2055" s="103" t="s">
        <v>67</v>
      </c>
      <c r="P2055" s="103" t="s">
        <v>68</v>
      </c>
      <c r="Q2055" s="150">
        <v>46164.0</v>
      </c>
      <c r="R2055" s="103" t="s">
        <v>597</v>
      </c>
      <c r="S2055" s="150">
        <v>46166.0</v>
      </c>
      <c r="T2055" s="103"/>
      <c r="U2055" s="90" t="s">
        <v>31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1">
        <v>2050.0</v>
      </c>
      <c r="B2056" s="180" t="s">
        <v>3605</v>
      </c>
      <c r="C2056" s="82" t="str">
        <f>VLOOKUP($B$7:$B$5000,SUM!$L$6:$L$500,1,FALSE)</f>
        <v>#N/A</v>
      </c>
      <c r="D2056" s="171" t="s">
        <v>3602</v>
      </c>
      <c r="E2056" s="165" t="s">
        <v>58</v>
      </c>
      <c r="F2056" s="81" t="s">
        <v>105</v>
      </c>
      <c r="G2056" s="125" t="s">
        <v>3545</v>
      </c>
      <c r="H2056" s="81" t="s">
        <v>3603</v>
      </c>
      <c r="I2056" s="149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77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1">
        <v>2051.0</v>
      </c>
      <c r="B2057" s="180" t="s">
        <v>3607</v>
      </c>
      <c r="C2057" s="82" t="str">
        <f>VLOOKUP($B$7:$B$5000,SUM!$L$6:$L$500,1,FALSE)</f>
        <v>#N/A</v>
      </c>
      <c r="D2057" s="171" t="s">
        <v>3602</v>
      </c>
      <c r="E2057" s="165" t="s">
        <v>58</v>
      </c>
      <c r="F2057" s="81" t="s">
        <v>105</v>
      </c>
      <c r="G2057" s="125" t="s">
        <v>3545</v>
      </c>
      <c r="H2057" s="81" t="s">
        <v>3603</v>
      </c>
      <c r="I2057" s="149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77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1">
        <v>2052.0</v>
      </c>
      <c r="B2058" s="180" t="s">
        <v>3609</v>
      </c>
      <c r="C2058" s="82" t="str">
        <f>VLOOKUP($B$7:$B$5000,SUM!$L$6:$L$500,1,FALSE)</f>
        <v>#N/A</v>
      </c>
      <c r="D2058" s="171" t="s">
        <v>3602</v>
      </c>
      <c r="E2058" s="165" t="s">
        <v>58</v>
      </c>
      <c r="F2058" s="81" t="s">
        <v>105</v>
      </c>
      <c r="G2058" s="125" t="s">
        <v>3545</v>
      </c>
      <c r="H2058" s="81" t="s">
        <v>3603</v>
      </c>
      <c r="I2058" s="149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77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1">
        <v>2053.0</v>
      </c>
      <c r="B2059" s="180" t="s">
        <v>3611</v>
      </c>
      <c r="C2059" s="82" t="str">
        <f>VLOOKUP($B$7:$B$5000,SUM!$L$6:$L$500,1,FALSE)</f>
        <v>#N/A</v>
      </c>
      <c r="D2059" s="171" t="s">
        <v>3602</v>
      </c>
      <c r="E2059" s="165" t="s">
        <v>58</v>
      </c>
      <c r="F2059" s="81" t="s">
        <v>105</v>
      </c>
      <c r="G2059" s="125" t="s">
        <v>3545</v>
      </c>
      <c r="H2059" s="81" t="s">
        <v>3612</v>
      </c>
      <c r="I2059" s="149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77">
        <v>46149.0</v>
      </c>
      <c r="O2059" s="103" t="s">
        <v>67</v>
      </c>
      <c r="P2059" s="103" t="s">
        <v>68</v>
      </c>
      <c r="Q2059" s="150">
        <v>46164.0</v>
      </c>
      <c r="R2059" s="103" t="s">
        <v>597</v>
      </c>
      <c r="S2059" s="150">
        <v>46166.0</v>
      </c>
      <c r="T2059" s="103"/>
      <c r="U2059" s="90" t="s">
        <v>31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1">
        <v>2054.0</v>
      </c>
      <c r="B2060" s="180" t="s">
        <v>3613</v>
      </c>
      <c r="C2060" s="82" t="str">
        <f>VLOOKUP($B$7:$B$5000,SUM!$L$6:$L$500,1,FALSE)</f>
        <v>#N/A</v>
      </c>
      <c r="D2060" s="171" t="s">
        <v>3602</v>
      </c>
      <c r="E2060" s="165" t="s">
        <v>58</v>
      </c>
      <c r="F2060" s="81" t="s">
        <v>105</v>
      </c>
      <c r="G2060" s="125" t="s">
        <v>3545</v>
      </c>
      <c r="H2060" s="81" t="s">
        <v>3612</v>
      </c>
      <c r="I2060" s="149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77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1">
        <v>2055.0</v>
      </c>
      <c r="B2061" s="180" t="s">
        <v>3614</v>
      </c>
      <c r="C2061" s="82" t="str">
        <f>VLOOKUP($B$7:$B$5000,SUM!$L$6:$L$500,1,FALSE)</f>
        <v>#N/A</v>
      </c>
      <c r="D2061" s="171" t="s">
        <v>3602</v>
      </c>
      <c r="E2061" s="165" t="s">
        <v>58</v>
      </c>
      <c r="F2061" s="81" t="s">
        <v>105</v>
      </c>
      <c r="G2061" s="125" t="s">
        <v>3545</v>
      </c>
      <c r="H2061" s="81" t="s">
        <v>3612</v>
      </c>
      <c r="I2061" s="149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77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1">
        <v>2056.0</v>
      </c>
      <c r="B2062" s="180" t="s">
        <v>3615</v>
      </c>
      <c r="C2062" s="82" t="str">
        <f>VLOOKUP($B$7:$B$5000,SUM!$L$6:$L$500,1,FALSE)</f>
        <v>#N/A</v>
      </c>
      <c r="D2062" s="171" t="s">
        <v>3602</v>
      </c>
      <c r="E2062" s="165" t="s">
        <v>58</v>
      </c>
      <c r="F2062" s="81" t="s">
        <v>105</v>
      </c>
      <c r="G2062" s="125" t="s">
        <v>3545</v>
      </c>
      <c r="H2062" s="81" t="s">
        <v>3612</v>
      </c>
      <c r="I2062" s="149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77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1">
        <v>2057.0</v>
      </c>
      <c r="B2063" s="180" t="s">
        <v>3616</v>
      </c>
      <c r="C2063" s="82" t="str">
        <f>VLOOKUP($B$7:$B$5000,SUM!$L$6:$L$500,1,FALSE)</f>
        <v>#N/A</v>
      </c>
      <c r="D2063" s="171" t="s">
        <v>3602</v>
      </c>
      <c r="E2063" s="165" t="s">
        <v>58</v>
      </c>
      <c r="F2063" s="81" t="s">
        <v>105</v>
      </c>
      <c r="G2063" s="125" t="s">
        <v>3545</v>
      </c>
      <c r="H2063" s="81" t="s">
        <v>3617</v>
      </c>
      <c r="I2063" s="149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77">
        <v>46149.0</v>
      </c>
      <c r="O2063" s="103" t="s">
        <v>67</v>
      </c>
      <c r="P2063" s="103" t="s">
        <v>68</v>
      </c>
      <c r="Q2063" s="150">
        <v>46164.0</v>
      </c>
      <c r="R2063" s="103" t="s">
        <v>597</v>
      </c>
      <c r="S2063" s="150">
        <v>46166.0</v>
      </c>
      <c r="T2063" s="103"/>
      <c r="U2063" s="90" t="s">
        <v>31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1">
        <v>2058.0</v>
      </c>
      <c r="B2064" s="180" t="s">
        <v>3618</v>
      </c>
      <c r="C2064" s="82" t="str">
        <f>VLOOKUP($B$7:$B$5000,SUM!$L$6:$L$500,1,FALSE)</f>
        <v>#N/A</v>
      </c>
      <c r="D2064" s="171" t="s">
        <v>3602</v>
      </c>
      <c r="E2064" s="165" t="s">
        <v>58</v>
      </c>
      <c r="F2064" s="81" t="s">
        <v>105</v>
      </c>
      <c r="G2064" s="125" t="s">
        <v>3545</v>
      </c>
      <c r="H2064" s="81" t="s">
        <v>3617</v>
      </c>
      <c r="I2064" s="149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77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1">
        <v>2059.0</v>
      </c>
      <c r="B2065" s="180" t="s">
        <v>3619</v>
      </c>
      <c r="C2065" s="82" t="str">
        <f>VLOOKUP($B$7:$B$5000,SUM!$L$6:$L$500,1,FALSE)</f>
        <v>#N/A</v>
      </c>
      <c r="D2065" s="171" t="s">
        <v>3602</v>
      </c>
      <c r="E2065" s="165" t="s">
        <v>58</v>
      </c>
      <c r="F2065" s="81" t="s">
        <v>105</v>
      </c>
      <c r="G2065" s="125" t="s">
        <v>3545</v>
      </c>
      <c r="H2065" s="81" t="s">
        <v>3617</v>
      </c>
      <c r="I2065" s="149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77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1">
        <v>2060.0</v>
      </c>
      <c r="B2066" s="180" t="s">
        <v>3620</v>
      </c>
      <c r="C2066" s="82" t="str">
        <f>VLOOKUP($B$7:$B$5000,SUM!$L$6:$L$500,1,FALSE)</f>
        <v>#N/A</v>
      </c>
      <c r="D2066" s="171" t="s">
        <v>3602</v>
      </c>
      <c r="E2066" s="165" t="s">
        <v>58</v>
      </c>
      <c r="F2066" s="81" t="s">
        <v>105</v>
      </c>
      <c r="G2066" s="125" t="s">
        <v>3545</v>
      </c>
      <c r="H2066" s="81" t="s">
        <v>3617</v>
      </c>
      <c r="I2066" s="149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77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1">
        <v>2061.0</v>
      </c>
      <c r="B2067" s="180" t="s">
        <v>3621</v>
      </c>
      <c r="C2067" s="82" t="str">
        <f>VLOOKUP($B$7:$B$5000,SUM!$L$6:$L$500,1,FALSE)</f>
        <v>#N/A</v>
      </c>
      <c r="D2067" s="171" t="s">
        <v>3602</v>
      </c>
      <c r="E2067" s="165" t="s">
        <v>58</v>
      </c>
      <c r="F2067" s="81" t="s">
        <v>105</v>
      </c>
      <c r="G2067" s="125" t="s">
        <v>3545</v>
      </c>
      <c r="H2067" s="81" t="s">
        <v>3622</v>
      </c>
      <c r="I2067" s="149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77">
        <v>46149.0</v>
      </c>
      <c r="O2067" s="103" t="s">
        <v>67</v>
      </c>
      <c r="P2067" s="103" t="s">
        <v>68</v>
      </c>
      <c r="Q2067" s="150">
        <v>46164.0</v>
      </c>
      <c r="R2067" s="103" t="s">
        <v>597</v>
      </c>
      <c r="S2067" s="150">
        <v>46166.0</v>
      </c>
      <c r="T2067" s="103"/>
      <c r="U2067" s="90" t="s">
        <v>31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1">
        <v>2062.0</v>
      </c>
      <c r="B2068" s="180" t="s">
        <v>3623</v>
      </c>
      <c r="C2068" s="82" t="str">
        <f>VLOOKUP($B$7:$B$5000,SUM!$L$6:$L$500,1,FALSE)</f>
        <v>#N/A</v>
      </c>
      <c r="D2068" s="171" t="s">
        <v>3602</v>
      </c>
      <c r="E2068" s="165" t="s">
        <v>58</v>
      </c>
      <c r="F2068" s="81" t="s">
        <v>105</v>
      </c>
      <c r="G2068" s="125" t="s">
        <v>3545</v>
      </c>
      <c r="H2068" s="81" t="s">
        <v>3622</v>
      </c>
      <c r="I2068" s="149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77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1">
        <v>2063.0</v>
      </c>
      <c r="B2069" s="180" t="s">
        <v>3624</v>
      </c>
      <c r="C2069" s="82" t="str">
        <f>VLOOKUP($B$7:$B$5000,SUM!$L$6:$L$500,1,FALSE)</f>
        <v>#N/A</v>
      </c>
      <c r="D2069" s="171" t="s">
        <v>3602</v>
      </c>
      <c r="E2069" s="165" t="s">
        <v>58</v>
      </c>
      <c r="F2069" s="81" t="s">
        <v>105</v>
      </c>
      <c r="G2069" s="125" t="s">
        <v>3545</v>
      </c>
      <c r="H2069" s="81" t="s">
        <v>3622</v>
      </c>
      <c r="I2069" s="149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77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1">
        <v>2064.0</v>
      </c>
      <c r="B2070" s="180" t="s">
        <v>3625</v>
      </c>
      <c r="C2070" s="82" t="str">
        <f>VLOOKUP($B$7:$B$5000,SUM!$L$6:$L$500,1,FALSE)</f>
        <v>#N/A</v>
      </c>
      <c r="D2070" s="171" t="s">
        <v>3602</v>
      </c>
      <c r="E2070" s="165" t="s">
        <v>58</v>
      </c>
      <c r="F2070" s="81" t="s">
        <v>105</v>
      </c>
      <c r="G2070" s="125" t="s">
        <v>3545</v>
      </c>
      <c r="H2070" s="81" t="s">
        <v>3622</v>
      </c>
      <c r="I2070" s="149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77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1">
        <v>2065.0</v>
      </c>
      <c r="B2071" s="180" t="s">
        <v>3626</v>
      </c>
      <c r="C2071" s="82" t="str">
        <f>VLOOKUP($B$7:$B$5000,SUM!$L$6:$L$500,1,FALSE)</f>
        <v>#N/A</v>
      </c>
      <c r="D2071" s="171" t="s">
        <v>3602</v>
      </c>
      <c r="E2071" s="165" t="s">
        <v>58</v>
      </c>
      <c r="F2071" s="81" t="s">
        <v>105</v>
      </c>
      <c r="G2071" s="125" t="s">
        <v>3545</v>
      </c>
      <c r="H2071" s="81" t="s">
        <v>3627</v>
      </c>
      <c r="I2071" s="149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77">
        <v>46149.0</v>
      </c>
      <c r="O2071" s="103" t="s">
        <v>67</v>
      </c>
      <c r="P2071" s="103" t="s">
        <v>68</v>
      </c>
      <c r="Q2071" s="150">
        <v>46164.0</v>
      </c>
      <c r="R2071" s="103" t="s">
        <v>597</v>
      </c>
      <c r="S2071" s="150">
        <v>46166.0</v>
      </c>
      <c r="T2071" s="103"/>
      <c r="U2071" s="90" t="s">
        <v>31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1">
        <v>2066.0</v>
      </c>
      <c r="B2072" s="180" t="s">
        <v>3628</v>
      </c>
      <c r="C2072" s="82" t="str">
        <f>VLOOKUP($B$7:$B$5000,SUM!$L$6:$L$500,1,FALSE)</f>
        <v>#N/A</v>
      </c>
      <c r="D2072" s="171" t="s">
        <v>3602</v>
      </c>
      <c r="E2072" s="165" t="s">
        <v>58</v>
      </c>
      <c r="F2072" s="81" t="s">
        <v>105</v>
      </c>
      <c r="G2072" s="125" t="s">
        <v>3545</v>
      </c>
      <c r="H2072" s="81" t="s">
        <v>3627</v>
      </c>
      <c r="I2072" s="149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77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1">
        <v>2067.0</v>
      </c>
      <c r="B2073" s="180" t="s">
        <v>3629</v>
      </c>
      <c r="C2073" s="82" t="str">
        <f>VLOOKUP($B$7:$B$5000,SUM!$L$6:$L$500,1,FALSE)</f>
        <v>#N/A</v>
      </c>
      <c r="D2073" s="171" t="s">
        <v>3602</v>
      </c>
      <c r="E2073" s="165" t="s">
        <v>58</v>
      </c>
      <c r="F2073" s="81" t="s">
        <v>105</v>
      </c>
      <c r="G2073" s="125" t="s">
        <v>3545</v>
      </c>
      <c r="H2073" s="81" t="s">
        <v>3627</v>
      </c>
      <c r="I2073" s="149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77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1">
        <v>2068.0</v>
      </c>
      <c r="B2074" s="180" t="s">
        <v>3630</v>
      </c>
      <c r="C2074" s="82" t="str">
        <f>VLOOKUP($B$7:$B$5000,SUM!$L$6:$L$500,1,FALSE)</f>
        <v>#N/A</v>
      </c>
      <c r="D2074" s="171" t="s">
        <v>3602</v>
      </c>
      <c r="E2074" s="165" t="s">
        <v>58</v>
      </c>
      <c r="F2074" s="81" t="s">
        <v>105</v>
      </c>
      <c r="G2074" s="125" t="s">
        <v>3545</v>
      </c>
      <c r="H2074" s="81" t="s">
        <v>3627</v>
      </c>
      <c r="I2074" s="149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77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1">
        <v>2069.0</v>
      </c>
      <c r="B2075" s="180" t="s">
        <v>3631</v>
      </c>
      <c r="C2075" s="82" t="str">
        <f>VLOOKUP($B$7:$B$5000,SUM!$L$6:$L$500,1,FALSE)</f>
        <v>#N/A</v>
      </c>
      <c r="D2075" s="171" t="s">
        <v>3602</v>
      </c>
      <c r="E2075" s="165" t="s">
        <v>58</v>
      </c>
      <c r="F2075" s="81" t="s">
        <v>105</v>
      </c>
      <c r="G2075" s="125" t="s">
        <v>3545</v>
      </c>
      <c r="H2075" s="81" t="s">
        <v>3632</v>
      </c>
      <c r="I2075" s="149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77">
        <v>46149.0</v>
      </c>
      <c r="O2075" s="103" t="s">
        <v>67</v>
      </c>
      <c r="P2075" s="103" t="s">
        <v>68</v>
      </c>
      <c r="Q2075" s="150">
        <v>46164.0</v>
      </c>
      <c r="R2075" s="103" t="s">
        <v>597</v>
      </c>
      <c r="S2075" s="150">
        <v>46166.0</v>
      </c>
      <c r="T2075" s="103"/>
      <c r="U2075" s="90" t="s">
        <v>31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1">
        <v>2070.0</v>
      </c>
      <c r="B2076" s="180" t="s">
        <v>3633</v>
      </c>
      <c r="C2076" s="82" t="str">
        <f>VLOOKUP($B$7:$B$5000,SUM!$L$6:$L$500,1,FALSE)</f>
        <v>#N/A</v>
      </c>
      <c r="D2076" s="171" t="s">
        <v>3602</v>
      </c>
      <c r="E2076" s="165" t="s">
        <v>58</v>
      </c>
      <c r="F2076" s="81" t="s">
        <v>105</v>
      </c>
      <c r="G2076" s="125" t="s">
        <v>3545</v>
      </c>
      <c r="H2076" s="81" t="s">
        <v>3632</v>
      </c>
      <c r="I2076" s="149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77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1">
        <v>2071.0</v>
      </c>
      <c r="B2077" s="180" t="s">
        <v>3634</v>
      </c>
      <c r="C2077" s="82" t="str">
        <f>VLOOKUP($B$7:$B$5000,SUM!$L$6:$L$500,1,FALSE)</f>
        <v>#N/A</v>
      </c>
      <c r="D2077" s="171" t="s">
        <v>3602</v>
      </c>
      <c r="E2077" s="165" t="s">
        <v>58</v>
      </c>
      <c r="F2077" s="81" t="s">
        <v>105</v>
      </c>
      <c r="G2077" s="125" t="s">
        <v>3545</v>
      </c>
      <c r="H2077" s="81" t="s">
        <v>3632</v>
      </c>
      <c r="I2077" s="149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77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1">
        <v>2072.0</v>
      </c>
      <c r="B2078" s="180" t="s">
        <v>3635</v>
      </c>
      <c r="C2078" s="82" t="str">
        <f>VLOOKUP($B$7:$B$5000,SUM!$L$6:$L$500,1,FALSE)</f>
        <v>#N/A</v>
      </c>
      <c r="D2078" s="171" t="s">
        <v>3602</v>
      </c>
      <c r="E2078" s="165" t="s">
        <v>58</v>
      </c>
      <c r="F2078" s="81" t="s">
        <v>105</v>
      </c>
      <c r="G2078" s="125" t="s">
        <v>3545</v>
      </c>
      <c r="H2078" s="81" t="s">
        <v>3632</v>
      </c>
      <c r="I2078" s="149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77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1">
        <v>2073.0</v>
      </c>
      <c r="B2079" s="180" t="s">
        <v>3636</v>
      </c>
      <c r="C2079" s="82" t="str">
        <f>VLOOKUP($B$7:$B$5000,SUM!$L$6:$L$500,1,FALSE)</f>
        <v>#N/A</v>
      </c>
      <c r="D2079" s="171" t="s">
        <v>3602</v>
      </c>
      <c r="E2079" s="165" t="s">
        <v>58</v>
      </c>
      <c r="F2079" s="81" t="s">
        <v>105</v>
      </c>
      <c r="G2079" s="125" t="s">
        <v>3545</v>
      </c>
      <c r="H2079" s="81" t="s">
        <v>3637</v>
      </c>
      <c r="I2079" s="149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77">
        <v>46149.0</v>
      </c>
      <c r="O2079" s="103" t="s">
        <v>67</v>
      </c>
      <c r="P2079" s="103" t="s">
        <v>68</v>
      </c>
      <c r="Q2079" s="150">
        <v>46164.0</v>
      </c>
      <c r="R2079" s="103" t="s">
        <v>597</v>
      </c>
      <c r="S2079" s="150">
        <v>46166.0</v>
      </c>
      <c r="T2079" s="103"/>
      <c r="U2079" s="90" t="s">
        <v>31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1">
        <v>2074.0</v>
      </c>
      <c r="B2080" s="180" t="s">
        <v>3638</v>
      </c>
      <c r="C2080" s="82" t="str">
        <f>VLOOKUP($B$7:$B$5000,SUM!$L$6:$L$500,1,FALSE)</f>
        <v>#N/A</v>
      </c>
      <c r="D2080" s="171" t="s">
        <v>3602</v>
      </c>
      <c r="E2080" s="165" t="s">
        <v>58</v>
      </c>
      <c r="F2080" s="81" t="s">
        <v>105</v>
      </c>
      <c r="G2080" s="125" t="s">
        <v>3545</v>
      </c>
      <c r="H2080" s="81" t="s">
        <v>3637</v>
      </c>
      <c r="I2080" s="149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77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1">
        <v>2075.0</v>
      </c>
      <c r="B2081" s="180" t="s">
        <v>3639</v>
      </c>
      <c r="C2081" s="82" t="str">
        <f>VLOOKUP($B$7:$B$5000,SUM!$L$6:$L$500,1,FALSE)</f>
        <v>#N/A</v>
      </c>
      <c r="D2081" s="171" t="s">
        <v>3602</v>
      </c>
      <c r="E2081" s="165" t="s">
        <v>58</v>
      </c>
      <c r="F2081" s="81" t="s">
        <v>105</v>
      </c>
      <c r="G2081" s="125" t="s">
        <v>3545</v>
      </c>
      <c r="H2081" s="81" t="s">
        <v>3637</v>
      </c>
      <c r="I2081" s="149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77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1">
        <v>2076.0</v>
      </c>
      <c r="B2082" s="180" t="s">
        <v>3640</v>
      </c>
      <c r="C2082" s="82" t="str">
        <f>VLOOKUP($B$7:$B$5000,SUM!$L$6:$L$500,1,FALSE)</f>
        <v>#N/A</v>
      </c>
      <c r="D2082" s="171" t="s">
        <v>3602</v>
      </c>
      <c r="E2082" s="165" t="s">
        <v>58</v>
      </c>
      <c r="F2082" s="81" t="s">
        <v>105</v>
      </c>
      <c r="G2082" s="125" t="s">
        <v>3545</v>
      </c>
      <c r="H2082" s="81" t="s">
        <v>3637</v>
      </c>
      <c r="I2082" s="149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77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1">
        <v>2077.0</v>
      </c>
      <c r="B2083" s="180" t="s">
        <v>3641</v>
      </c>
      <c r="C2083" s="82" t="str">
        <f>VLOOKUP($B$7:$B$5000,SUM!$L$6:$L$500,1,FALSE)</f>
        <v>#N/A</v>
      </c>
      <c r="D2083" s="171" t="s">
        <v>3602</v>
      </c>
      <c r="E2083" s="165" t="s">
        <v>58</v>
      </c>
      <c r="F2083" s="81" t="s">
        <v>105</v>
      </c>
      <c r="G2083" s="125" t="s">
        <v>3545</v>
      </c>
      <c r="H2083" s="81" t="s">
        <v>3642</v>
      </c>
      <c r="I2083" s="149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77">
        <v>46149.0</v>
      </c>
      <c r="O2083" s="103" t="s">
        <v>67</v>
      </c>
      <c r="P2083" s="103" t="s">
        <v>68</v>
      </c>
      <c r="Q2083" s="150">
        <v>46164.0</v>
      </c>
      <c r="R2083" s="103" t="s">
        <v>597</v>
      </c>
      <c r="S2083" s="150">
        <v>46166.0</v>
      </c>
      <c r="T2083" s="103"/>
      <c r="U2083" s="90" t="s">
        <v>31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1">
        <v>2078.0</v>
      </c>
      <c r="B2084" s="180" t="s">
        <v>3643</v>
      </c>
      <c r="C2084" s="82" t="str">
        <f>VLOOKUP($B$7:$B$5000,SUM!$L$6:$L$500,1,FALSE)</f>
        <v>#N/A</v>
      </c>
      <c r="D2084" s="171" t="s">
        <v>3602</v>
      </c>
      <c r="E2084" s="165" t="s">
        <v>58</v>
      </c>
      <c r="F2084" s="81" t="s">
        <v>105</v>
      </c>
      <c r="G2084" s="125" t="s">
        <v>3545</v>
      </c>
      <c r="H2084" s="81" t="s">
        <v>3642</v>
      </c>
      <c r="I2084" s="149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77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1">
        <v>2079.0</v>
      </c>
      <c r="B2085" s="180" t="s">
        <v>3644</v>
      </c>
      <c r="C2085" s="82" t="str">
        <f>VLOOKUP($B$7:$B$5000,SUM!$L$6:$L$500,1,FALSE)</f>
        <v>#N/A</v>
      </c>
      <c r="D2085" s="171" t="s">
        <v>3602</v>
      </c>
      <c r="E2085" s="165" t="s">
        <v>58</v>
      </c>
      <c r="F2085" s="81" t="s">
        <v>105</v>
      </c>
      <c r="G2085" s="125" t="s">
        <v>3545</v>
      </c>
      <c r="H2085" s="81" t="s">
        <v>3642</v>
      </c>
      <c r="I2085" s="149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77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1">
        <v>2080.0</v>
      </c>
      <c r="B2086" s="180" t="s">
        <v>3645</v>
      </c>
      <c r="C2086" s="82" t="str">
        <f>VLOOKUP($B$7:$B$5000,SUM!$L$6:$L$500,1,FALSE)</f>
        <v>#N/A</v>
      </c>
      <c r="D2086" s="171" t="s">
        <v>3602</v>
      </c>
      <c r="E2086" s="165" t="s">
        <v>58</v>
      </c>
      <c r="F2086" s="81" t="s">
        <v>105</v>
      </c>
      <c r="G2086" s="125" t="s">
        <v>3545</v>
      </c>
      <c r="H2086" s="81" t="s">
        <v>3642</v>
      </c>
      <c r="I2086" s="149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77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1">
        <v>2081.0</v>
      </c>
      <c r="B2087" s="180" t="s">
        <v>3646</v>
      </c>
      <c r="C2087" s="82" t="str">
        <f>VLOOKUP($B$7:$B$5000,SUM!$L$6:$L$500,1,FALSE)</f>
        <v>#N/A</v>
      </c>
      <c r="D2087" s="171" t="s">
        <v>3602</v>
      </c>
      <c r="E2087" s="165" t="s">
        <v>58</v>
      </c>
      <c r="F2087" s="81" t="s">
        <v>105</v>
      </c>
      <c r="G2087" s="125" t="s">
        <v>3545</v>
      </c>
      <c r="H2087" s="81" t="s">
        <v>3647</v>
      </c>
      <c r="I2087" s="149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77">
        <v>46149.0</v>
      </c>
      <c r="O2087" s="103" t="s">
        <v>67</v>
      </c>
      <c r="P2087" s="103" t="s">
        <v>68</v>
      </c>
      <c r="Q2087" s="150">
        <v>46164.0</v>
      </c>
      <c r="R2087" s="103" t="s">
        <v>597</v>
      </c>
      <c r="S2087" s="150">
        <v>46166.0</v>
      </c>
      <c r="T2087" s="103"/>
      <c r="U2087" s="90" t="s">
        <v>31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1">
        <v>2082.0</v>
      </c>
      <c r="B2088" s="180" t="s">
        <v>3648</v>
      </c>
      <c r="C2088" s="82" t="str">
        <f>VLOOKUP($B$7:$B$5000,SUM!$L$6:$L$500,1,FALSE)</f>
        <v>#N/A</v>
      </c>
      <c r="D2088" s="171" t="s">
        <v>3602</v>
      </c>
      <c r="E2088" s="165" t="s">
        <v>58</v>
      </c>
      <c r="F2088" s="81" t="s">
        <v>105</v>
      </c>
      <c r="G2088" s="125" t="s">
        <v>3545</v>
      </c>
      <c r="H2088" s="81" t="s">
        <v>3647</v>
      </c>
      <c r="I2088" s="149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77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1">
        <v>2083.0</v>
      </c>
      <c r="B2089" s="180" t="s">
        <v>3649</v>
      </c>
      <c r="C2089" s="82" t="str">
        <f>VLOOKUP($B$7:$B$5000,SUM!$L$6:$L$500,1,FALSE)</f>
        <v>#N/A</v>
      </c>
      <c r="D2089" s="171" t="s">
        <v>3602</v>
      </c>
      <c r="E2089" s="165" t="s">
        <v>58</v>
      </c>
      <c r="F2089" s="81" t="s">
        <v>105</v>
      </c>
      <c r="G2089" s="125" t="s">
        <v>3545</v>
      </c>
      <c r="H2089" s="81" t="s">
        <v>3647</v>
      </c>
      <c r="I2089" s="149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77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1">
        <v>2084.0</v>
      </c>
      <c r="B2090" s="180" t="s">
        <v>3650</v>
      </c>
      <c r="C2090" s="82" t="str">
        <f>VLOOKUP($B$7:$B$5000,SUM!$L$6:$L$500,1,FALSE)</f>
        <v>#N/A</v>
      </c>
      <c r="D2090" s="171" t="s">
        <v>3602</v>
      </c>
      <c r="E2090" s="165" t="s">
        <v>58</v>
      </c>
      <c r="F2090" s="81" t="s">
        <v>105</v>
      </c>
      <c r="G2090" s="125" t="s">
        <v>3545</v>
      </c>
      <c r="H2090" s="81" t="s">
        <v>3647</v>
      </c>
      <c r="I2090" s="149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77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1">
        <v>2085.0</v>
      </c>
      <c r="B2091" s="180" t="s">
        <v>3651</v>
      </c>
      <c r="C2091" s="82" t="str">
        <f>VLOOKUP($B$7:$B$5000,SUM!$L$6:$L$500,1,FALSE)</f>
        <v>#N/A</v>
      </c>
      <c r="D2091" s="171" t="s">
        <v>3602</v>
      </c>
      <c r="E2091" s="165" t="s">
        <v>58</v>
      </c>
      <c r="F2091" s="81" t="s">
        <v>105</v>
      </c>
      <c r="G2091" s="125" t="s">
        <v>3545</v>
      </c>
      <c r="H2091" s="81" t="s">
        <v>3652</v>
      </c>
      <c r="I2091" s="149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77">
        <v>46149.0</v>
      </c>
      <c r="O2091" s="103" t="s">
        <v>67</v>
      </c>
      <c r="P2091" s="103" t="s">
        <v>68</v>
      </c>
      <c r="Q2091" s="150">
        <v>46164.0</v>
      </c>
      <c r="R2091" s="103" t="s">
        <v>597</v>
      </c>
      <c r="S2091" s="150">
        <v>46166.0</v>
      </c>
      <c r="T2091" s="103"/>
      <c r="U2091" s="90" t="s">
        <v>31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1">
        <v>2086.0</v>
      </c>
      <c r="B2092" s="180" t="s">
        <v>3653</v>
      </c>
      <c r="C2092" s="82" t="str">
        <f>VLOOKUP($B$7:$B$5000,SUM!$L$6:$L$500,1,FALSE)</f>
        <v>#N/A</v>
      </c>
      <c r="D2092" s="171" t="s">
        <v>3602</v>
      </c>
      <c r="E2092" s="165" t="s">
        <v>58</v>
      </c>
      <c r="F2092" s="81" t="s">
        <v>105</v>
      </c>
      <c r="G2092" s="125" t="s">
        <v>3545</v>
      </c>
      <c r="H2092" s="81" t="s">
        <v>3652</v>
      </c>
      <c r="I2092" s="149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77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1">
        <v>2087.0</v>
      </c>
      <c r="B2093" s="180" t="s">
        <v>3654</v>
      </c>
      <c r="C2093" s="82" t="str">
        <f>VLOOKUP($B$7:$B$5000,SUM!$L$6:$L$500,1,FALSE)</f>
        <v>#N/A</v>
      </c>
      <c r="D2093" s="171" t="s">
        <v>3602</v>
      </c>
      <c r="E2093" s="165" t="s">
        <v>58</v>
      </c>
      <c r="F2093" s="81" t="s">
        <v>105</v>
      </c>
      <c r="G2093" s="125" t="s">
        <v>3545</v>
      </c>
      <c r="H2093" s="81" t="s">
        <v>3652</v>
      </c>
      <c r="I2093" s="149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77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1">
        <v>2088.0</v>
      </c>
      <c r="B2094" s="180" t="s">
        <v>3655</v>
      </c>
      <c r="C2094" s="82" t="str">
        <f>VLOOKUP($B$7:$B$5000,SUM!$L$6:$L$500,1,FALSE)</f>
        <v>#N/A</v>
      </c>
      <c r="D2094" s="171" t="s">
        <v>3602</v>
      </c>
      <c r="E2094" s="165" t="s">
        <v>58</v>
      </c>
      <c r="F2094" s="81" t="s">
        <v>105</v>
      </c>
      <c r="G2094" s="125" t="s">
        <v>3545</v>
      </c>
      <c r="H2094" s="81" t="s">
        <v>3652</v>
      </c>
      <c r="I2094" s="149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77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1">
        <v>2089.0</v>
      </c>
      <c r="B2095" s="180" t="s">
        <v>3656</v>
      </c>
      <c r="C2095" s="82" t="str">
        <f>VLOOKUP($B$7:$B$5000,SUM!$L$6:$L$500,1,FALSE)</f>
        <v>#N/A</v>
      </c>
      <c r="D2095" s="171" t="s">
        <v>3602</v>
      </c>
      <c r="E2095" s="165" t="s">
        <v>58</v>
      </c>
      <c r="F2095" s="81" t="s">
        <v>105</v>
      </c>
      <c r="G2095" s="125" t="s">
        <v>3545</v>
      </c>
      <c r="H2095" s="81" t="s">
        <v>3657</v>
      </c>
      <c r="I2095" s="149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77">
        <v>46149.0</v>
      </c>
      <c r="O2095" s="103" t="s">
        <v>67</v>
      </c>
      <c r="P2095" s="103" t="s">
        <v>68</v>
      </c>
      <c r="Q2095" s="150">
        <v>46161.0</v>
      </c>
      <c r="R2095" s="103" t="s">
        <v>597</v>
      </c>
      <c r="S2095" s="104">
        <v>46166.0</v>
      </c>
      <c r="T2095" s="103"/>
      <c r="U2095" s="90" t="s">
        <v>31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1">
        <v>2090.0</v>
      </c>
      <c r="B2096" s="180" t="s">
        <v>3658</v>
      </c>
      <c r="C2096" s="82" t="str">
        <f>VLOOKUP($B$7:$B$5000,SUM!$L$6:$L$500,1,FALSE)</f>
        <v>#N/A</v>
      </c>
      <c r="D2096" s="171" t="s">
        <v>3602</v>
      </c>
      <c r="E2096" s="165" t="s">
        <v>58</v>
      </c>
      <c r="F2096" s="81" t="s">
        <v>105</v>
      </c>
      <c r="G2096" s="125" t="s">
        <v>3545</v>
      </c>
      <c r="H2096" s="81" t="s">
        <v>3657</v>
      </c>
      <c r="I2096" s="149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77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1">
        <v>2091.0</v>
      </c>
      <c r="B2097" s="180" t="s">
        <v>3659</v>
      </c>
      <c r="C2097" s="82" t="str">
        <f>VLOOKUP($B$7:$B$5000,SUM!$L$6:$L$500,1,FALSE)</f>
        <v>#N/A</v>
      </c>
      <c r="D2097" s="171" t="s">
        <v>3602</v>
      </c>
      <c r="E2097" s="165" t="s">
        <v>58</v>
      </c>
      <c r="F2097" s="81" t="s">
        <v>105</v>
      </c>
      <c r="G2097" s="125" t="s">
        <v>3545</v>
      </c>
      <c r="H2097" s="81" t="s">
        <v>3657</v>
      </c>
      <c r="I2097" s="149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77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1">
        <v>2092.0</v>
      </c>
      <c r="B2098" s="180" t="s">
        <v>3660</v>
      </c>
      <c r="C2098" s="82" t="str">
        <f>VLOOKUP($B$7:$B$5000,SUM!$L$6:$L$500,1,FALSE)</f>
        <v>#N/A</v>
      </c>
      <c r="D2098" s="171" t="s">
        <v>3602</v>
      </c>
      <c r="E2098" s="165" t="s">
        <v>58</v>
      </c>
      <c r="F2098" s="81" t="s">
        <v>105</v>
      </c>
      <c r="G2098" s="125" t="s">
        <v>3545</v>
      </c>
      <c r="H2098" s="81" t="s">
        <v>3657</v>
      </c>
      <c r="I2098" s="149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77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1">
        <v>2093.0</v>
      </c>
      <c r="B2099" s="180" t="s">
        <v>3661</v>
      </c>
      <c r="C2099" s="82" t="str">
        <f>VLOOKUP($B$7:$B$5000,SUM!$L$6:$L$500,1,FALSE)</f>
        <v>#N/A</v>
      </c>
      <c r="D2099" s="171" t="s">
        <v>3602</v>
      </c>
      <c r="E2099" s="165" t="s">
        <v>58</v>
      </c>
      <c r="F2099" s="81" t="s">
        <v>105</v>
      </c>
      <c r="G2099" s="125" t="s">
        <v>3545</v>
      </c>
      <c r="H2099" s="81" t="s">
        <v>3662</v>
      </c>
      <c r="I2099" s="149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77">
        <v>46149.0</v>
      </c>
      <c r="O2099" s="103" t="s">
        <v>67</v>
      </c>
      <c r="P2099" s="103" t="s">
        <v>68</v>
      </c>
      <c r="Q2099" s="150">
        <v>46161.0</v>
      </c>
      <c r="R2099" s="103" t="s">
        <v>597</v>
      </c>
      <c r="S2099" s="104">
        <v>46166.0</v>
      </c>
      <c r="T2099" s="103"/>
      <c r="U2099" s="90" t="s">
        <v>31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1">
        <v>2094.0</v>
      </c>
      <c r="B2100" s="180" t="s">
        <v>3663</v>
      </c>
      <c r="C2100" s="82" t="str">
        <f>VLOOKUP($B$7:$B$5000,SUM!$L$6:$L$500,1,FALSE)</f>
        <v>#N/A</v>
      </c>
      <c r="D2100" s="171" t="s">
        <v>3602</v>
      </c>
      <c r="E2100" s="165" t="s">
        <v>58</v>
      </c>
      <c r="F2100" s="81" t="s">
        <v>105</v>
      </c>
      <c r="G2100" s="125" t="s">
        <v>3545</v>
      </c>
      <c r="H2100" s="81" t="s">
        <v>3662</v>
      </c>
      <c r="I2100" s="149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77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1">
        <v>2095.0</v>
      </c>
      <c r="B2101" s="180" t="s">
        <v>3664</v>
      </c>
      <c r="C2101" s="82" t="str">
        <f>VLOOKUP($B$7:$B$5000,SUM!$L$6:$L$500,1,FALSE)</f>
        <v>#N/A</v>
      </c>
      <c r="D2101" s="171" t="s">
        <v>3602</v>
      </c>
      <c r="E2101" s="165" t="s">
        <v>58</v>
      </c>
      <c r="F2101" s="81" t="s">
        <v>105</v>
      </c>
      <c r="G2101" s="125" t="s">
        <v>3545</v>
      </c>
      <c r="H2101" s="81" t="s">
        <v>3662</v>
      </c>
      <c r="I2101" s="149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77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1">
        <v>2096.0</v>
      </c>
      <c r="B2102" s="180" t="s">
        <v>3665</v>
      </c>
      <c r="C2102" s="82" t="str">
        <f>VLOOKUP($B$7:$B$5000,SUM!$L$6:$L$500,1,FALSE)</f>
        <v>#N/A</v>
      </c>
      <c r="D2102" s="171" t="s">
        <v>3602</v>
      </c>
      <c r="E2102" s="165" t="s">
        <v>58</v>
      </c>
      <c r="F2102" s="81" t="s">
        <v>105</v>
      </c>
      <c r="G2102" s="125" t="s">
        <v>3545</v>
      </c>
      <c r="H2102" s="81" t="s">
        <v>3662</v>
      </c>
      <c r="I2102" s="149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77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1">
        <v>2097.0</v>
      </c>
      <c r="B2103" s="180" t="s">
        <v>3666</v>
      </c>
      <c r="C2103" s="82" t="str">
        <f>VLOOKUP($B$7:$B$5000,SUM!$L$6:$L$500,1,FALSE)</f>
        <v>#N/A</v>
      </c>
      <c r="D2103" s="171" t="s">
        <v>3602</v>
      </c>
      <c r="E2103" s="165" t="s">
        <v>58</v>
      </c>
      <c r="F2103" s="81" t="s">
        <v>105</v>
      </c>
      <c r="G2103" s="125" t="s">
        <v>1362</v>
      </c>
      <c r="H2103" s="81" t="s">
        <v>3667</v>
      </c>
      <c r="I2103" s="149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77">
        <v>46149.0</v>
      </c>
      <c r="O2103" s="103" t="s">
        <v>67</v>
      </c>
      <c r="P2103" s="103" t="s">
        <v>68</v>
      </c>
      <c r="Q2103" s="150">
        <v>46161.0</v>
      </c>
      <c r="R2103" s="103" t="s">
        <v>597</v>
      </c>
      <c r="S2103" s="104">
        <v>46166.0</v>
      </c>
      <c r="T2103" s="103"/>
      <c r="U2103" s="90" t="s">
        <v>31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1">
        <v>2098.0</v>
      </c>
      <c r="B2104" s="180" t="s">
        <v>3668</v>
      </c>
      <c r="C2104" s="82" t="str">
        <f>VLOOKUP($B$7:$B$5000,SUM!$L$6:$L$500,1,FALSE)</f>
        <v>#N/A</v>
      </c>
      <c r="D2104" s="171" t="s">
        <v>3602</v>
      </c>
      <c r="E2104" s="165" t="s">
        <v>58</v>
      </c>
      <c r="F2104" s="81" t="s">
        <v>105</v>
      </c>
      <c r="G2104" s="125" t="s">
        <v>1362</v>
      </c>
      <c r="H2104" s="81" t="s">
        <v>3667</v>
      </c>
      <c r="I2104" s="149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77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1">
        <v>2099.0</v>
      </c>
      <c r="B2105" s="180" t="s">
        <v>3670</v>
      </c>
      <c r="C2105" s="82" t="str">
        <f>VLOOKUP($B$7:$B$5000,SUM!$L$6:$L$500,1,FALSE)</f>
        <v>#N/A</v>
      </c>
      <c r="D2105" s="171" t="s">
        <v>3602</v>
      </c>
      <c r="E2105" s="165" t="s">
        <v>58</v>
      </c>
      <c r="F2105" s="81" t="s">
        <v>105</v>
      </c>
      <c r="G2105" s="125" t="s">
        <v>1362</v>
      </c>
      <c r="H2105" s="81" t="s">
        <v>3667</v>
      </c>
      <c r="I2105" s="149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77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1">
        <v>2100.0</v>
      </c>
      <c r="B2106" s="180" t="s">
        <v>3672</v>
      </c>
      <c r="C2106" s="82" t="str">
        <f>VLOOKUP($B$7:$B$5000,SUM!$L$6:$L$500,1,FALSE)</f>
        <v>#N/A</v>
      </c>
      <c r="D2106" s="171" t="s">
        <v>3602</v>
      </c>
      <c r="E2106" s="165" t="s">
        <v>58</v>
      </c>
      <c r="F2106" s="81" t="s">
        <v>105</v>
      </c>
      <c r="G2106" s="125" t="s">
        <v>1362</v>
      </c>
      <c r="H2106" s="81" t="s">
        <v>3667</v>
      </c>
      <c r="I2106" s="149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77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1">
        <v>2101.0</v>
      </c>
      <c r="B2107" s="180" t="s">
        <v>3674</v>
      </c>
      <c r="C2107" s="82" t="str">
        <f>VLOOKUP($B$7:$B$5000,SUM!$L$6:$L$500,1,FALSE)</f>
        <v>#N/A</v>
      </c>
      <c r="D2107" s="171" t="s">
        <v>3602</v>
      </c>
      <c r="E2107" s="165" t="s">
        <v>58</v>
      </c>
      <c r="F2107" s="81" t="s">
        <v>105</v>
      </c>
      <c r="G2107" s="125" t="s">
        <v>1362</v>
      </c>
      <c r="H2107" s="81" t="s">
        <v>3675</v>
      </c>
      <c r="I2107" s="149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77">
        <v>46149.0</v>
      </c>
      <c r="O2107" s="103" t="s">
        <v>67</v>
      </c>
      <c r="P2107" s="103" t="s">
        <v>68</v>
      </c>
      <c r="Q2107" s="150">
        <v>46161.0</v>
      </c>
      <c r="R2107" s="103" t="s">
        <v>597</v>
      </c>
      <c r="S2107" s="104">
        <v>46166.0</v>
      </c>
      <c r="T2107" s="103"/>
      <c r="U2107" s="90" t="s">
        <v>31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1">
        <v>2102.0</v>
      </c>
      <c r="B2108" s="180" t="s">
        <v>3676</v>
      </c>
      <c r="C2108" s="82" t="str">
        <f>VLOOKUP($B$7:$B$5000,SUM!$L$6:$L$500,1,FALSE)</f>
        <v>#N/A</v>
      </c>
      <c r="D2108" s="171" t="s">
        <v>3602</v>
      </c>
      <c r="E2108" s="165" t="s">
        <v>58</v>
      </c>
      <c r="F2108" s="81" t="s">
        <v>105</v>
      </c>
      <c r="G2108" s="125" t="s">
        <v>1362</v>
      </c>
      <c r="H2108" s="81" t="s">
        <v>3675</v>
      </c>
      <c r="I2108" s="149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77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1">
        <v>2103.0</v>
      </c>
      <c r="B2109" s="180" t="s">
        <v>3677</v>
      </c>
      <c r="C2109" s="82" t="str">
        <f>VLOOKUP($B$7:$B$5000,SUM!$L$6:$L$500,1,FALSE)</f>
        <v>#N/A</v>
      </c>
      <c r="D2109" s="171" t="s">
        <v>3602</v>
      </c>
      <c r="E2109" s="165" t="s">
        <v>58</v>
      </c>
      <c r="F2109" s="81" t="s">
        <v>105</v>
      </c>
      <c r="G2109" s="125" t="s">
        <v>1362</v>
      </c>
      <c r="H2109" s="81" t="s">
        <v>3675</v>
      </c>
      <c r="I2109" s="149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77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1">
        <v>2104.0</v>
      </c>
      <c r="B2110" s="180" t="s">
        <v>3678</v>
      </c>
      <c r="C2110" s="82" t="str">
        <f>VLOOKUP($B$7:$B$5000,SUM!$L$6:$L$500,1,FALSE)</f>
        <v>#N/A</v>
      </c>
      <c r="D2110" s="171" t="s">
        <v>3602</v>
      </c>
      <c r="E2110" s="165" t="s">
        <v>58</v>
      </c>
      <c r="F2110" s="81" t="s">
        <v>105</v>
      </c>
      <c r="G2110" s="125" t="s">
        <v>1362</v>
      </c>
      <c r="H2110" s="81" t="s">
        <v>3675</v>
      </c>
      <c r="I2110" s="149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77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1">
        <v>2105.0</v>
      </c>
      <c r="B2111" s="180" t="s">
        <v>3679</v>
      </c>
      <c r="C2111" s="82" t="str">
        <f>VLOOKUP($B$7:$B$5000,SUM!$L$6:$L$500,1,FALSE)</f>
        <v>#N/A</v>
      </c>
      <c r="D2111" s="171" t="s">
        <v>3602</v>
      </c>
      <c r="E2111" s="165" t="s">
        <v>58</v>
      </c>
      <c r="F2111" s="81" t="s">
        <v>105</v>
      </c>
      <c r="G2111" s="125" t="s">
        <v>1362</v>
      </c>
      <c r="H2111" s="81" t="s">
        <v>3680</v>
      </c>
      <c r="I2111" s="149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77">
        <v>46149.0</v>
      </c>
      <c r="O2111" s="103" t="s">
        <v>67</v>
      </c>
      <c r="P2111" s="103" t="s">
        <v>68</v>
      </c>
      <c r="Q2111" s="150">
        <v>46161.0</v>
      </c>
      <c r="R2111" s="103" t="s">
        <v>597</v>
      </c>
      <c r="S2111" s="104">
        <v>46166.0</v>
      </c>
      <c r="T2111" s="103"/>
      <c r="U2111" s="90" t="s">
        <v>31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1">
        <v>2106.0</v>
      </c>
      <c r="B2112" s="180" t="s">
        <v>3681</v>
      </c>
      <c r="C2112" s="82" t="str">
        <f>VLOOKUP($B$7:$B$5000,SUM!$L$6:$L$500,1,FALSE)</f>
        <v>#N/A</v>
      </c>
      <c r="D2112" s="171" t="s">
        <v>3602</v>
      </c>
      <c r="E2112" s="165" t="s">
        <v>58</v>
      </c>
      <c r="F2112" s="81" t="s">
        <v>105</v>
      </c>
      <c r="G2112" s="125" t="s">
        <v>1362</v>
      </c>
      <c r="H2112" s="81" t="s">
        <v>3680</v>
      </c>
      <c r="I2112" s="149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77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1">
        <v>2107.0</v>
      </c>
      <c r="B2113" s="180" t="s">
        <v>3682</v>
      </c>
      <c r="C2113" s="82" t="str">
        <f>VLOOKUP($B$7:$B$5000,SUM!$L$6:$L$500,1,FALSE)</f>
        <v>#N/A</v>
      </c>
      <c r="D2113" s="171" t="s">
        <v>3602</v>
      </c>
      <c r="E2113" s="165" t="s">
        <v>58</v>
      </c>
      <c r="F2113" s="81" t="s">
        <v>105</v>
      </c>
      <c r="G2113" s="125" t="s">
        <v>1362</v>
      </c>
      <c r="H2113" s="81" t="s">
        <v>3680</v>
      </c>
      <c r="I2113" s="149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77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1">
        <v>2108.0</v>
      </c>
      <c r="B2114" s="180" t="s">
        <v>3683</v>
      </c>
      <c r="C2114" s="82" t="str">
        <f>VLOOKUP($B$7:$B$5000,SUM!$L$6:$L$500,1,FALSE)</f>
        <v>#N/A</v>
      </c>
      <c r="D2114" s="171" t="s">
        <v>3602</v>
      </c>
      <c r="E2114" s="165" t="s">
        <v>58</v>
      </c>
      <c r="F2114" s="81" t="s">
        <v>105</v>
      </c>
      <c r="G2114" s="125" t="s">
        <v>1362</v>
      </c>
      <c r="H2114" s="81" t="s">
        <v>3680</v>
      </c>
      <c r="I2114" s="149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77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1">
        <v>2109.0</v>
      </c>
      <c r="B2115" s="180" t="s">
        <v>3684</v>
      </c>
      <c r="C2115" s="82" t="str">
        <f>VLOOKUP($B$7:$B$5000,SUM!$L$6:$L$500,1,FALSE)</f>
        <v>#N/A</v>
      </c>
      <c r="D2115" s="171" t="s">
        <v>3602</v>
      </c>
      <c r="E2115" s="165" t="s">
        <v>58</v>
      </c>
      <c r="F2115" s="81" t="s">
        <v>105</v>
      </c>
      <c r="G2115" s="125" t="s">
        <v>1362</v>
      </c>
      <c r="H2115" s="81" t="s">
        <v>3685</v>
      </c>
      <c r="I2115" s="149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77">
        <v>46149.0</v>
      </c>
      <c r="O2115" s="103" t="s">
        <v>67</v>
      </c>
      <c r="P2115" s="103" t="s">
        <v>68</v>
      </c>
      <c r="Q2115" s="150">
        <v>46161.0</v>
      </c>
      <c r="R2115" s="103" t="s">
        <v>597</v>
      </c>
      <c r="S2115" s="104">
        <v>46166.0</v>
      </c>
      <c r="T2115" s="103"/>
      <c r="U2115" s="90" t="s">
        <v>31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1">
        <v>2110.0</v>
      </c>
      <c r="B2116" s="180" t="s">
        <v>3686</v>
      </c>
      <c r="C2116" s="82" t="str">
        <f>VLOOKUP($B$7:$B$5000,SUM!$L$6:$L$500,1,FALSE)</f>
        <v>#N/A</v>
      </c>
      <c r="D2116" s="171" t="s">
        <v>3602</v>
      </c>
      <c r="E2116" s="165" t="s">
        <v>58</v>
      </c>
      <c r="F2116" s="81" t="s">
        <v>105</v>
      </c>
      <c r="G2116" s="125" t="s">
        <v>1362</v>
      </c>
      <c r="H2116" s="81" t="s">
        <v>3685</v>
      </c>
      <c r="I2116" s="149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77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1">
        <v>2111.0</v>
      </c>
      <c r="B2117" s="180" t="s">
        <v>3687</v>
      </c>
      <c r="C2117" s="82" t="str">
        <f>VLOOKUP($B$7:$B$5000,SUM!$L$6:$L$500,1,FALSE)</f>
        <v>#N/A</v>
      </c>
      <c r="D2117" s="171" t="s">
        <v>3602</v>
      </c>
      <c r="E2117" s="165" t="s">
        <v>58</v>
      </c>
      <c r="F2117" s="81" t="s">
        <v>105</v>
      </c>
      <c r="G2117" s="125" t="s">
        <v>1362</v>
      </c>
      <c r="H2117" s="81" t="s">
        <v>3685</v>
      </c>
      <c r="I2117" s="149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77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1">
        <v>2112.0</v>
      </c>
      <c r="B2118" s="180" t="s">
        <v>3688</v>
      </c>
      <c r="C2118" s="82" t="str">
        <f>VLOOKUP($B$7:$B$5000,SUM!$L$6:$L$500,1,FALSE)</f>
        <v>#N/A</v>
      </c>
      <c r="D2118" s="171" t="s">
        <v>3602</v>
      </c>
      <c r="E2118" s="165" t="s">
        <v>58</v>
      </c>
      <c r="F2118" s="81" t="s">
        <v>105</v>
      </c>
      <c r="G2118" s="125" t="s">
        <v>1362</v>
      </c>
      <c r="H2118" s="81" t="s">
        <v>3685</v>
      </c>
      <c r="I2118" s="149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77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1">
        <v>2113.0</v>
      </c>
      <c r="B2119" s="180" t="s">
        <v>3689</v>
      </c>
      <c r="C2119" s="82" t="str">
        <f>VLOOKUP($B$7:$B$5000,SUM!$L$6:$L$500,1,FALSE)</f>
        <v>#N/A</v>
      </c>
      <c r="D2119" s="171" t="s">
        <v>3602</v>
      </c>
      <c r="E2119" s="165" t="s">
        <v>58</v>
      </c>
      <c r="F2119" s="81" t="s">
        <v>105</v>
      </c>
      <c r="G2119" s="125" t="s">
        <v>2667</v>
      </c>
      <c r="H2119" s="81" t="s">
        <v>3690</v>
      </c>
      <c r="I2119" s="149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77">
        <v>46149.0</v>
      </c>
      <c r="O2119" s="103" t="s">
        <v>67</v>
      </c>
      <c r="P2119" s="103" t="s">
        <v>68</v>
      </c>
      <c r="Q2119" s="150">
        <v>46161.0</v>
      </c>
      <c r="R2119" s="103" t="s">
        <v>597</v>
      </c>
      <c r="S2119" s="104">
        <v>46166.0</v>
      </c>
      <c r="T2119" s="103"/>
      <c r="U2119" s="90" t="s">
        <v>31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1">
        <v>2114.0</v>
      </c>
      <c r="B2120" s="180" t="s">
        <v>3692</v>
      </c>
      <c r="C2120" s="82" t="str">
        <f>VLOOKUP($B$7:$B$5000,SUM!$L$6:$L$500,1,FALSE)</f>
        <v>#N/A</v>
      </c>
      <c r="D2120" s="171" t="s">
        <v>3602</v>
      </c>
      <c r="E2120" s="165" t="s">
        <v>58</v>
      </c>
      <c r="F2120" s="81" t="s">
        <v>105</v>
      </c>
      <c r="G2120" s="125" t="s">
        <v>2667</v>
      </c>
      <c r="H2120" s="81" t="s">
        <v>3690</v>
      </c>
      <c r="I2120" s="149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77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1">
        <v>2115.0</v>
      </c>
      <c r="B2121" s="180" t="s">
        <v>3694</v>
      </c>
      <c r="C2121" s="82" t="str">
        <f>VLOOKUP($B$7:$B$5000,SUM!$L$6:$L$500,1,FALSE)</f>
        <v>#N/A</v>
      </c>
      <c r="D2121" s="171" t="s">
        <v>3602</v>
      </c>
      <c r="E2121" s="165" t="s">
        <v>58</v>
      </c>
      <c r="F2121" s="81" t="s">
        <v>105</v>
      </c>
      <c r="G2121" s="125" t="s">
        <v>2667</v>
      </c>
      <c r="H2121" s="81" t="s">
        <v>3690</v>
      </c>
      <c r="I2121" s="149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77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1">
        <v>2116.0</v>
      </c>
      <c r="B2122" s="180" t="s">
        <v>3696</v>
      </c>
      <c r="C2122" s="82" t="str">
        <f>VLOOKUP($B$7:$B$5000,SUM!$L$6:$L$500,1,FALSE)</f>
        <v>#N/A</v>
      </c>
      <c r="D2122" s="171" t="s">
        <v>3602</v>
      </c>
      <c r="E2122" s="165" t="s">
        <v>58</v>
      </c>
      <c r="F2122" s="81" t="s">
        <v>105</v>
      </c>
      <c r="G2122" s="125" t="s">
        <v>2667</v>
      </c>
      <c r="H2122" s="81" t="s">
        <v>3697</v>
      </c>
      <c r="I2122" s="149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77">
        <v>46149.0</v>
      </c>
      <c r="O2122" s="103" t="s">
        <v>67</v>
      </c>
      <c r="P2122" s="103" t="s">
        <v>68</v>
      </c>
      <c r="Q2122" s="150">
        <v>46161.0</v>
      </c>
      <c r="R2122" s="103" t="s">
        <v>597</v>
      </c>
      <c r="S2122" s="104">
        <v>46166.0</v>
      </c>
      <c r="T2122" s="103"/>
      <c r="U2122" s="90" t="s">
        <v>31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1">
        <v>2117.0</v>
      </c>
      <c r="B2123" s="180" t="s">
        <v>3698</v>
      </c>
      <c r="C2123" s="82" t="str">
        <f>VLOOKUP($B$7:$B$5000,SUM!$L$6:$L$500,1,FALSE)</f>
        <v>#N/A</v>
      </c>
      <c r="D2123" s="171" t="s">
        <v>3602</v>
      </c>
      <c r="E2123" s="165" t="s">
        <v>58</v>
      </c>
      <c r="F2123" s="81" t="s">
        <v>105</v>
      </c>
      <c r="G2123" s="125" t="s">
        <v>2667</v>
      </c>
      <c r="H2123" s="81" t="s">
        <v>3697</v>
      </c>
      <c r="I2123" s="149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77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1">
        <v>2118.0</v>
      </c>
      <c r="B2124" s="180" t="s">
        <v>3699</v>
      </c>
      <c r="C2124" s="82" t="str">
        <f>VLOOKUP($B$7:$B$5000,SUM!$L$6:$L$500,1,FALSE)</f>
        <v>#N/A</v>
      </c>
      <c r="D2124" s="171" t="s">
        <v>3602</v>
      </c>
      <c r="E2124" s="165" t="s">
        <v>58</v>
      </c>
      <c r="F2124" s="81" t="s">
        <v>105</v>
      </c>
      <c r="G2124" s="125" t="s">
        <v>2667</v>
      </c>
      <c r="H2124" s="81" t="s">
        <v>3697</v>
      </c>
      <c r="I2124" s="149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77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1">
        <v>2119.0</v>
      </c>
      <c r="B2125" s="180" t="s">
        <v>3700</v>
      </c>
      <c r="C2125" s="82" t="str">
        <f>VLOOKUP($B$7:$B$5000,SUM!$L$6:$L$500,1,FALSE)</f>
        <v>#N/A</v>
      </c>
      <c r="D2125" s="171" t="s">
        <v>3602</v>
      </c>
      <c r="E2125" s="165" t="s">
        <v>58</v>
      </c>
      <c r="F2125" s="81" t="s">
        <v>105</v>
      </c>
      <c r="G2125" s="125" t="s">
        <v>2667</v>
      </c>
      <c r="H2125" s="81" t="s">
        <v>3701</v>
      </c>
      <c r="I2125" s="149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77">
        <v>46149.0</v>
      </c>
      <c r="O2125" s="103" t="s">
        <v>67</v>
      </c>
      <c r="P2125" s="103" t="s">
        <v>68</v>
      </c>
      <c r="Q2125" s="150">
        <v>46161.0</v>
      </c>
      <c r="R2125" s="103" t="s">
        <v>597</v>
      </c>
      <c r="S2125" s="104">
        <v>46166.0</v>
      </c>
      <c r="T2125" s="103"/>
      <c r="U2125" s="90" t="s">
        <v>31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1">
        <v>2120.0</v>
      </c>
      <c r="B2126" s="180" t="s">
        <v>3702</v>
      </c>
      <c r="C2126" s="82" t="str">
        <f>VLOOKUP($B$7:$B$5000,SUM!$L$6:$L$500,1,FALSE)</f>
        <v>#N/A</v>
      </c>
      <c r="D2126" s="171" t="s">
        <v>3602</v>
      </c>
      <c r="E2126" s="165" t="s">
        <v>58</v>
      </c>
      <c r="F2126" s="81" t="s">
        <v>105</v>
      </c>
      <c r="G2126" s="125" t="s">
        <v>2667</v>
      </c>
      <c r="H2126" s="81" t="s">
        <v>3701</v>
      </c>
      <c r="I2126" s="149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77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1">
        <v>2121.0</v>
      </c>
      <c r="B2127" s="180" t="s">
        <v>3703</v>
      </c>
      <c r="C2127" s="82" t="str">
        <f>VLOOKUP($B$7:$B$5000,SUM!$L$6:$L$500,1,FALSE)</f>
        <v>#N/A</v>
      </c>
      <c r="D2127" s="171" t="s">
        <v>3602</v>
      </c>
      <c r="E2127" s="165" t="s">
        <v>58</v>
      </c>
      <c r="F2127" s="81" t="s">
        <v>105</v>
      </c>
      <c r="G2127" s="125" t="s">
        <v>2667</v>
      </c>
      <c r="H2127" s="81" t="s">
        <v>3701</v>
      </c>
      <c r="I2127" s="149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77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1">
        <v>2122.0</v>
      </c>
      <c r="B2128" s="180" t="s">
        <v>3704</v>
      </c>
      <c r="C2128" s="82" t="str">
        <f>VLOOKUP($B$7:$B$5000,SUM!$L$6:$L$500,1,FALSE)</f>
        <v>#N/A</v>
      </c>
      <c r="D2128" s="171" t="s">
        <v>3602</v>
      </c>
      <c r="E2128" s="165" t="s">
        <v>58</v>
      </c>
      <c r="F2128" s="81" t="s">
        <v>105</v>
      </c>
      <c r="G2128" s="125" t="s">
        <v>2667</v>
      </c>
      <c r="H2128" s="81" t="s">
        <v>3705</v>
      </c>
      <c r="I2128" s="149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77">
        <v>46149.0</v>
      </c>
      <c r="O2128" s="103" t="s">
        <v>67</v>
      </c>
      <c r="P2128" s="103" t="s">
        <v>68</v>
      </c>
      <c r="Q2128" s="150">
        <v>46161.0</v>
      </c>
      <c r="R2128" s="103" t="s">
        <v>597</v>
      </c>
      <c r="S2128" s="104">
        <v>46166.0</v>
      </c>
      <c r="T2128" s="103"/>
      <c r="U2128" s="90" t="s">
        <v>31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1">
        <v>2123.0</v>
      </c>
      <c r="B2129" s="180" t="s">
        <v>3706</v>
      </c>
      <c r="C2129" s="82" t="str">
        <f>VLOOKUP($B$7:$B$5000,SUM!$L$6:$L$500,1,FALSE)</f>
        <v>#N/A</v>
      </c>
      <c r="D2129" s="171" t="s">
        <v>3602</v>
      </c>
      <c r="E2129" s="165" t="s">
        <v>58</v>
      </c>
      <c r="F2129" s="81" t="s">
        <v>105</v>
      </c>
      <c r="G2129" s="125" t="s">
        <v>2667</v>
      </c>
      <c r="H2129" s="81" t="s">
        <v>3705</v>
      </c>
      <c r="I2129" s="149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77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1">
        <v>2124.0</v>
      </c>
      <c r="B2130" s="180" t="s">
        <v>3707</v>
      </c>
      <c r="C2130" s="82" t="str">
        <f>VLOOKUP($B$7:$B$5000,SUM!$L$6:$L$500,1,FALSE)</f>
        <v>#N/A</v>
      </c>
      <c r="D2130" s="171" t="s">
        <v>3602</v>
      </c>
      <c r="E2130" s="165" t="s">
        <v>58</v>
      </c>
      <c r="F2130" s="81" t="s">
        <v>105</v>
      </c>
      <c r="G2130" s="125" t="s">
        <v>2667</v>
      </c>
      <c r="H2130" s="81" t="s">
        <v>3705</v>
      </c>
      <c r="I2130" s="149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77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1">
        <v>2125.0</v>
      </c>
      <c r="B2131" s="180" t="s">
        <v>3708</v>
      </c>
      <c r="C2131" s="82" t="str">
        <f>VLOOKUP($B$7:$B$5000,SUM!$L$6:$L$500,1,FALSE)</f>
        <v>#N/A</v>
      </c>
      <c r="D2131" s="171" t="s">
        <v>3602</v>
      </c>
      <c r="E2131" s="165" t="s">
        <v>58</v>
      </c>
      <c r="F2131" s="81" t="s">
        <v>105</v>
      </c>
      <c r="G2131" s="125" t="s">
        <v>2667</v>
      </c>
      <c r="H2131" s="81" t="s">
        <v>3709</v>
      </c>
      <c r="I2131" s="149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77">
        <v>46149.0</v>
      </c>
      <c r="O2131" s="103" t="s">
        <v>67</v>
      </c>
      <c r="P2131" s="103" t="s">
        <v>68</v>
      </c>
      <c r="Q2131" s="150">
        <v>46161.0</v>
      </c>
      <c r="R2131" s="103" t="s">
        <v>597</v>
      </c>
      <c r="S2131" s="104">
        <v>46166.0</v>
      </c>
      <c r="T2131" s="103"/>
      <c r="U2131" s="90" t="s">
        <v>31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1">
        <v>2126.0</v>
      </c>
      <c r="B2132" s="180" t="s">
        <v>3710</v>
      </c>
      <c r="C2132" s="82" t="str">
        <f>VLOOKUP($B$7:$B$5000,SUM!$L$6:$L$500,1,FALSE)</f>
        <v>#N/A</v>
      </c>
      <c r="D2132" s="171" t="s">
        <v>3602</v>
      </c>
      <c r="E2132" s="165" t="s">
        <v>58</v>
      </c>
      <c r="F2132" s="81" t="s">
        <v>105</v>
      </c>
      <c r="G2132" s="125" t="s">
        <v>2667</v>
      </c>
      <c r="H2132" s="81" t="s">
        <v>3709</v>
      </c>
      <c r="I2132" s="149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77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1">
        <v>2127.0</v>
      </c>
      <c r="B2133" s="180" t="s">
        <v>3711</v>
      </c>
      <c r="C2133" s="82" t="str">
        <f>VLOOKUP($B$7:$B$5000,SUM!$L$6:$L$500,1,FALSE)</f>
        <v>#N/A</v>
      </c>
      <c r="D2133" s="171" t="s">
        <v>3602</v>
      </c>
      <c r="E2133" s="165" t="s">
        <v>58</v>
      </c>
      <c r="F2133" s="81" t="s">
        <v>105</v>
      </c>
      <c r="G2133" s="125" t="s">
        <v>2667</v>
      </c>
      <c r="H2133" s="81" t="s">
        <v>3709</v>
      </c>
      <c r="I2133" s="149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77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1">
        <v>2128.0</v>
      </c>
      <c r="B2134" s="180" t="s">
        <v>3712</v>
      </c>
      <c r="C2134" s="82" t="str">
        <f>VLOOKUP($B$7:$B$5000,SUM!$L$6:$L$500,1,FALSE)</f>
        <v>#N/A</v>
      </c>
      <c r="D2134" s="171" t="s">
        <v>3602</v>
      </c>
      <c r="E2134" s="165" t="s">
        <v>58</v>
      </c>
      <c r="F2134" s="81" t="s">
        <v>105</v>
      </c>
      <c r="G2134" s="125" t="s">
        <v>2667</v>
      </c>
      <c r="H2134" s="81" t="s">
        <v>3713</v>
      </c>
      <c r="I2134" s="149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77">
        <v>46149.0</v>
      </c>
      <c r="O2134" s="103" t="s">
        <v>67</v>
      </c>
      <c r="P2134" s="103" t="s">
        <v>68</v>
      </c>
      <c r="Q2134" s="150">
        <v>46161.0</v>
      </c>
      <c r="R2134" s="103" t="s">
        <v>597</v>
      </c>
      <c r="S2134" s="104">
        <v>46166.0</v>
      </c>
      <c r="T2134" s="103"/>
      <c r="U2134" s="90" t="s">
        <v>31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1">
        <v>2129.0</v>
      </c>
      <c r="B2135" s="180" t="s">
        <v>3714</v>
      </c>
      <c r="C2135" s="82" t="str">
        <f>VLOOKUP($B$7:$B$5000,SUM!$L$6:$L$500,1,FALSE)</f>
        <v>#N/A</v>
      </c>
      <c r="D2135" s="171" t="s">
        <v>3602</v>
      </c>
      <c r="E2135" s="165" t="s">
        <v>58</v>
      </c>
      <c r="F2135" s="81" t="s">
        <v>105</v>
      </c>
      <c r="G2135" s="125" t="s">
        <v>2667</v>
      </c>
      <c r="H2135" s="81" t="s">
        <v>3713</v>
      </c>
      <c r="I2135" s="149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77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1">
        <v>2130.0</v>
      </c>
      <c r="B2136" s="180" t="s">
        <v>3715</v>
      </c>
      <c r="C2136" s="82" t="str">
        <f>VLOOKUP($B$7:$B$5000,SUM!$L$6:$L$500,1,FALSE)</f>
        <v>#N/A</v>
      </c>
      <c r="D2136" s="171" t="s">
        <v>3602</v>
      </c>
      <c r="E2136" s="165" t="s">
        <v>58</v>
      </c>
      <c r="F2136" s="81" t="s">
        <v>105</v>
      </c>
      <c r="G2136" s="125" t="s">
        <v>2667</v>
      </c>
      <c r="H2136" s="81" t="s">
        <v>3713</v>
      </c>
      <c r="I2136" s="149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77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1">
        <v>2131.0</v>
      </c>
      <c r="B2137" s="180" t="s">
        <v>3716</v>
      </c>
      <c r="C2137" s="82" t="str">
        <f>VLOOKUP($B$7:$B$5000,SUM!$L$6:$L$500,1,FALSE)</f>
        <v>#N/A</v>
      </c>
      <c r="D2137" s="171" t="s">
        <v>3602</v>
      </c>
      <c r="E2137" s="165" t="s">
        <v>58</v>
      </c>
      <c r="F2137" s="81" t="s">
        <v>105</v>
      </c>
      <c r="G2137" s="125" t="s">
        <v>2667</v>
      </c>
      <c r="H2137" s="81" t="s">
        <v>3717</v>
      </c>
      <c r="I2137" s="149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77">
        <v>46149.0</v>
      </c>
      <c r="O2137" s="103" t="s">
        <v>67</v>
      </c>
      <c r="P2137" s="103" t="s">
        <v>68</v>
      </c>
      <c r="Q2137" s="150">
        <v>46161.0</v>
      </c>
      <c r="R2137" s="103" t="s">
        <v>597</v>
      </c>
      <c r="S2137" s="104">
        <v>46166.0</v>
      </c>
      <c r="T2137" s="103"/>
      <c r="U2137" s="90" t="s">
        <v>31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1">
        <v>2132.0</v>
      </c>
      <c r="B2138" s="180" t="s">
        <v>3718</v>
      </c>
      <c r="C2138" s="82" t="str">
        <f>VLOOKUP($B$7:$B$5000,SUM!$L$6:$L$500,1,FALSE)</f>
        <v>#N/A</v>
      </c>
      <c r="D2138" s="171" t="s">
        <v>3602</v>
      </c>
      <c r="E2138" s="165" t="s">
        <v>58</v>
      </c>
      <c r="F2138" s="81" t="s">
        <v>105</v>
      </c>
      <c r="G2138" s="125" t="s">
        <v>2667</v>
      </c>
      <c r="H2138" s="81" t="s">
        <v>3717</v>
      </c>
      <c r="I2138" s="149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77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1">
        <v>2133.0</v>
      </c>
      <c r="B2139" s="180" t="s">
        <v>3719</v>
      </c>
      <c r="C2139" s="82" t="str">
        <f>VLOOKUP($B$7:$B$5000,SUM!$L$6:$L$500,1,FALSE)</f>
        <v>#N/A</v>
      </c>
      <c r="D2139" s="171" t="s">
        <v>3602</v>
      </c>
      <c r="E2139" s="165" t="s">
        <v>58</v>
      </c>
      <c r="F2139" s="81" t="s">
        <v>105</v>
      </c>
      <c r="G2139" s="125" t="s">
        <v>2667</v>
      </c>
      <c r="H2139" s="81" t="s">
        <v>3717</v>
      </c>
      <c r="I2139" s="149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77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1">
        <v>2134.0</v>
      </c>
      <c r="B2140" s="180" t="s">
        <v>3720</v>
      </c>
      <c r="C2140" s="82" t="str">
        <f>VLOOKUP($B$7:$B$5000,SUM!$L$6:$L$500,1,FALSE)</f>
        <v>#N/A</v>
      </c>
      <c r="D2140" s="171" t="s">
        <v>3602</v>
      </c>
      <c r="E2140" s="165" t="s">
        <v>58</v>
      </c>
      <c r="F2140" s="81" t="s">
        <v>105</v>
      </c>
      <c r="G2140" s="125" t="s">
        <v>2667</v>
      </c>
      <c r="H2140" s="81" t="s">
        <v>3721</v>
      </c>
      <c r="I2140" s="149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77">
        <v>46149.0</v>
      </c>
      <c r="O2140" s="103" t="s">
        <v>67</v>
      </c>
      <c r="P2140" s="103" t="s">
        <v>68</v>
      </c>
      <c r="Q2140" s="150">
        <v>46161.0</v>
      </c>
      <c r="R2140" s="103" t="s">
        <v>597</v>
      </c>
      <c r="S2140" s="104">
        <v>46166.0</v>
      </c>
      <c r="T2140" s="103"/>
      <c r="U2140" s="90" t="s">
        <v>31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1">
        <v>2135.0</v>
      </c>
      <c r="B2141" s="180" t="s">
        <v>3722</v>
      </c>
      <c r="C2141" s="82" t="str">
        <f>VLOOKUP($B$7:$B$5000,SUM!$L$6:$L$500,1,FALSE)</f>
        <v>#N/A</v>
      </c>
      <c r="D2141" s="171" t="s">
        <v>3602</v>
      </c>
      <c r="E2141" s="165" t="s">
        <v>58</v>
      </c>
      <c r="F2141" s="81" t="s">
        <v>105</v>
      </c>
      <c r="G2141" s="125" t="s">
        <v>2667</v>
      </c>
      <c r="H2141" s="81" t="s">
        <v>3721</v>
      </c>
      <c r="I2141" s="149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77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1">
        <v>2136.0</v>
      </c>
      <c r="B2142" s="180" t="s">
        <v>3723</v>
      </c>
      <c r="C2142" s="82" t="str">
        <f>VLOOKUP($B$7:$B$5000,SUM!$L$6:$L$500,1,FALSE)</f>
        <v>#N/A</v>
      </c>
      <c r="D2142" s="171" t="s">
        <v>3602</v>
      </c>
      <c r="E2142" s="165" t="s">
        <v>58</v>
      </c>
      <c r="F2142" s="81" t="s">
        <v>105</v>
      </c>
      <c r="G2142" s="125" t="s">
        <v>2667</v>
      </c>
      <c r="H2142" s="81" t="s">
        <v>3721</v>
      </c>
      <c r="I2142" s="149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77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1">
        <v>2137.0</v>
      </c>
      <c r="B2143" s="180" t="s">
        <v>3724</v>
      </c>
      <c r="C2143" s="82" t="str">
        <f>VLOOKUP($B$7:$B$5000,SUM!$L$6:$L$500,1,FALSE)</f>
        <v>#N/A</v>
      </c>
      <c r="D2143" s="171" t="s">
        <v>3602</v>
      </c>
      <c r="E2143" s="165" t="s">
        <v>58</v>
      </c>
      <c r="F2143" s="81" t="s">
        <v>105</v>
      </c>
      <c r="G2143" s="125" t="s">
        <v>2667</v>
      </c>
      <c r="H2143" s="81" t="s">
        <v>3725</v>
      </c>
      <c r="I2143" s="149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77">
        <v>46149.0</v>
      </c>
      <c r="O2143" s="103" t="s">
        <v>67</v>
      </c>
      <c r="P2143" s="103" t="s">
        <v>68</v>
      </c>
      <c r="Q2143" s="150">
        <v>46161.0</v>
      </c>
      <c r="R2143" s="103" t="s">
        <v>597</v>
      </c>
      <c r="S2143" s="104">
        <v>46166.0</v>
      </c>
      <c r="T2143" s="103"/>
      <c r="U2143" s="90" t="s">
        <v>31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1">
        <v>2138.0</v>
      </c>
      <c r="B2144" s="180" t="s">
        <v>3726</v>
      </c>
      <c r="C2144" s="82" t="str">
        <f>VLOOKUP($B$7:$B$5000,SUM!$L$6:$L$500,1,FALSE)</f>
        <v>#N/A</v>
      </c>
      <c r="D2144" s="171" t="s">
        <v>3602</v>
      </c>
      <c r="E2144" s="165" t="s">
        <v>58</v>
      </c>
      <c r="F2144" s="81" t="s">
        <v>105</v>
      </c>
      <c r="G2144" s="125" t="s">
        <v>2667</v>
      </c>
      <c r="H2144" s="81" t="s">
        <v>3725</v>
      </c>
      <c r="I2144" s="149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77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1">
        <v>2139.0</v>
      </c>
      <c r="B2145" s="180" t="s">
        <v>3727</v>
      </c>
      <c r="C2145" s="82" t="str">
        <f>VLOOKUP($B$7:$B$5000,SUM!$L$6:$L$500,1,FALSE)</f>
        <v>#N/A</v>
      </c>
      <c r="D2145" s="171" t="s">
        <v>3602</v>
      </c>
      <c r="E2145" s="165" t="s">
        <v>58</v>
      </c>
      <c r="F2145" s="81" t="s">
        <v>105</v>
      </c>
      <c r="G2145" s="125" t="s">
        <v>2667</v>
      </c>
      <c r="H2145" s="81" t="s">
        <v>3725</v>
      </c>
      <c r="I2145" s="149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77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1">
        <v>2140.0</v>
      </c>
      <c r="B2146" s="180" t="s">
        <v>3728</v>
      </c>
      <c r="C2146" s="82" t="str">
        <f>VLOOKUP($B$7:$B$5000,SUM!$L$6:$L$500,1,FALSE)</f>
        <v>#N/A</v>
      </c>
      <c r="D2146" s="171" t="s">
        <v>3602</v>
      </c>
      <c r="E2146" s="165" t="s">
        <v>58</v>
      </c>
      <c r="F2146" s="81" t="s">
        <v>105</v>
      </c>
      <c r="G2146" s="125" t="s">
        <v>2667</v>
      </c>
      <c r="H2146" s="81" t="s">
        <v>3729</v>
      </c>
      <c r="I2146" s="149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77">
        <v>46149.0</v>
      </c>
      <c r="O2146" s="103" t="s">
        <v>67</v>
      </c>
      <c r="P2146" s="103" t="s">
        <v>68</v>
      </c>
      <c r="Q2146" s="150">
        <v>46161.0</v>
      </c>
      <c r="R2146" s="103" t="s">
        <v>597</v>
      </c>
      <c r="S2146" s="104">
        <v>46166.0</v>
      </c>
      <c r="T2146" s="103"/>
      <c r="U2146" s="90" t="s">
        <v>31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1">
        <v>2141.0</v>
      </c>
      <c r="B2147" s="180" t="s">
        <v>3730</v>
      </c>
      <c r="C2147" s="82" t="str">
        <f>VLOOKUP($B$7:$B$5000,SUM!$L$6:$L$500,1,FALSE)</f>
        <v>#N/A</v>
      </c>
      <c r="D2147" s="171" t="s">
        <v>3602</v>
      </c>
      <c r="E2147" s="165" t="s">
        <v>58</v>
      </c>
      <c r="F2147" s="81" t="s">
        <v>105</v>
      </c>
      <c r="G2147" s="125" t="s">
        <v>2667</v>
      </c>
      <c r="H2147" s="81" t="s">
        <v>3729</v>
      </c>
      <c r="I2147" s="149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77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1">
        <v>2142.0</v>
      </c>
      <c r="B2148" s="180" t="s">
        <v>3731</v>
      </c>
      <c r="C2148" s="82" t="str">
        <f>VLOOKUP($B$7:$B$5000,SUM!$L$6:$L$500,1,FALSE)</f>
        <v>#N/A</v>
      </c>
      <c r="D2148" s="171" t="s">
        <v>3602</v>
      </c>
      <c r="E2148" s="165" t="s">
        <v>58</v>
      </c>
      <c r="F2148" s="81" t="s">
        <v>105</v>
      </c>
      <c r="G2148" s="125" t="s">
        <v>2667</v>
      </c>
      <c r="H2148" s="81" t="s">
        <v>3729</v>
      </c>
      <c r="I2148" s="149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77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1">
        <v>2143.0</v>
      </c>
      <c r="B2149" s="180" t="s">
        <v>3732</v>
      </c>
      <c r="C2149" s="82" t="str">
        <f>VLOOKUP($B$7:$B$5000,SUM!$L$6:$L$500,1,FALSE)</f>
        <v>#N/A</v>
      </c>
      <c r="D2149" s="171" t="s">
        <v>3602</v>
      </c>
      <c r="E2149" s="165" t="s">
        <v>58</v>
      </c>
      <c r="F2149" s="81" t="s">
        <v>105</v>
      </c>
      <c r="G2149" s="125" t="s">
        <v>2667</v>
      </c>
      <c r="H2149" s="81" t="s">
        <v>3733</v>
      </c>
      <c r="I2149" s="149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77">
        <v>46149.0</v>
      </c>
      <c r="O2149" s="103" t="s">
        <v>67</v>
      </c>
      <c r="P2149" s="103" t="s">
        <v>68</v>
      </c>
      <c r="Q2149" s="150">
        <v>46164.0</v>
      </c>
      <c r="R2149" s="103" t="s">
        <v>597</v>
      </c>
      <c r="S2149" s="150">
        <v>46166.0</v>
      </c>
      <c r="T2149" s="103"/>
      <c r="U2149" s="90" t="s">
        <v>31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1">
        <v>2144.0</v>
      </c>
      <c r="B2150" s="180" t="s">
        <v>3734</v>
      </c>
      <c r="C2150" s="82" t="str">
        <f>VLOOKUP($B$7:$B$5000,SUM!$L$6:$L$500,1,FALSE)</f>
        <v>#N/A</v>
      </c>
      <c r="D2150" s="171" t="s">
        <v>3602</v>
      </c>
      <c r="E2150" s="165" t="s">
        <v>58</v>
      </c>
      <c r="F2150" s="81" t="s">
        <v>105</v>
      </c>
      <c r="G2150" s="125" t="s">
        <v>2667</v>
      </c>
      <c r="H2150" s="81" t="s">
        <v>3733</v>
      </c>
      <c r="I2150" s="149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77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1">
        <v>2145.0</v>
      </c>
      <c r="B2151" s="180" t="s">
        <v>3735</v>
      </c>
      <c r="C2151" s="82" t="str">
        <f>VLOOKUP($B$7:$B$5000,SUM!$L$6:$L$500,1,FALSE)</f>
        <v>#N/A</v>
      </c>
      <c r="D2151" s="171" t="s">
        <v>3602</v>
      </c>
      <c r="E2151" s="165" t="s">
        <v>58</v>
      </c>
      <c r="F2151" s="81" t="s">
        <v>105</v>
      </c>
      <c r="G2151" s="125" t="s">
        <v>2667</v>
      </c>
      <c r="H2151" s="81" t="s">
        <v>3733</v>
      </c>
      <c r="I2151" s="149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77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1">
        <v>2146.0</v>
      </c>
      <c r="B2152" s="180" t="s">
        <v>3736</v>
      </c>
      <c r="C2152" s="82" t="str">
        <f>VLOOKUP($B$7:$B$5000,SUM!$L$6:$L$500,1,FALSE)</f>
        <v>#N/A</v>
      </c>
      <c r="D2152" s="187" t="s">
        <v>3737</v>
      </c>
      <c r="E2152" s="165" t="s">
        <v>58</v>
      </c>
      <c r="F2152" s="81" t="s">
        <v>105</v>
      </c>
      <c r="G2152" s="125" t="s">
        <v>3738</v>
      </c>
      <c r="H2152" s="81" t="s">
        <v>3739</v>
      </c>
      <c r="I2152" s="149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77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1">
        <v>2147.0</v>
      </c>
      <c r="B2153" s="180" t="s">
        <v>3741</v>
      </c>
      <c r="C2153" s="82" t="str">
        <f>VLOOKUP($B$7:$B$5000,SUM!$L$6:$L$500,1,FALSE)</f>
        <v>#N/A</v>
      </c>
      <c r="D2153" s="171" t="s">
        <v>3737</v>
      </c>
      <c r="E2153" s="165" t="s">
        <v>58</v>
      </c>
      <c r="F2153" s="81" t="s">
        <v>105</v>
      </c>
      <c r="G2153" s="125" t="s">
        <v>3738</v>
      </c>
      <c r="H2153" s="81" t="s">
        <v>3739</v>
      </c>
      <c r="I2153" s="149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77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1">
        <v>2148.0</v>
      </c>
      <c r="B2154" s="180" t="s">
        <v>3743</v>
      </c>
      <c r="C2154" s="82" t="str">
        <f>VLOOKUP($B$7:$B$5000,SUM!$L$6:$L$500,1,FALSE)</f>
        <v>#N/A</v>
      </c>
      <c r="D2154" s="171" t="s">
        <v>3737</v>
      </c>
      <c r="E2154" s="165" t="s">
        <v>58</v>
      </c>
      <c r="F2154" s="81" t="s">
        <v>105</v>
      </c>
      <c r="G2154" s="125" t="s">
        <v>3738</v>
      </c>
      <c r="H2154" s="81" t="s">
        <v>3739</v>
      </c>
      <c r="I2154" s="149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77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1">
        <v>2149.0</v>
      </c>
      <c r="B2155" s="180" t="s">
        <v>3745</v>
      </c>
      <c r="C2155" s="82" t="str">
        <f>VLOOKUP($B$7:$B$5000,SUM!$L$6:$L$500,1,FALSE)</f>
        <v>#N/A</v>
      </c>
      <c r="D2155" s="171" t="s">
        <v>3737</v>
      </c>
      <c r="E2155" s="165" t="s">
        <v>58</v>
      </c>
      <c r="F2155" s="81" t="s">
        <v>105</v>
      </c>
      <c r="G2155" s="125" t="s">
        <v>3738</v>
      </c>
      <c r="H2155" s="81" t="s">
        <v>3739</v>
      </c>
      <c r="I2155" s="149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77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1">
        <v>2150.0</v>
      </c>
      <c r="B2156" s="180" t="s">
        <v>3747</v>
      </c>
      <c r="C2156" s="82" t="str">
        <f>VLOOKUP($B$7:$B$5000,SUM!$L$6:$L$500,1,FALSE)</f>
        <v>#N/A</v>
      </c>
      <c r="D2156" s="171" t="s">
        <v>3737</v>
      </c>
      <c r="E2156" s="165" t="s">
        <v>58</v>
      </c>
      <c r="F2156" s="81" t="s">
        <v>105</v>
      </c>
      <c r="G2156" s="125" t="s">
        <v>1871</v>
      </c>
      <c r="H2156" s="81" t="s">
        <v>3748</v>
      </c>
      <c r="I2156" s="149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77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31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1">
        <v>2151.0</v>
      </c>
      <c r="B2157" s="180" t="s">
        <v>3751</v>
      </c>
      <c r="C2157" s="82" t="str">
        <f>VLOOKUP($B$7:$B$5000,SUM!$L$6:$L$500,1,FALSE)</f>
        <v>#N/A</v>
      </c>
      <c r="D2157" s="171" t="s">
        <v>3737</v>
      </c>
      <c r="E2157" s="165" t="s">
        <v>58</v>
      </c>
      <c r="F2157" s="81" t="s">
        <v>105</v>
      </c>
      <c r="G2157" s="125" t="s">
        <v>1871</v>
      </c>
      <c r="H2157" s="81" t="s">
        <v>3748</v>
      </c>
      <c r="I2157" s="149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77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1">
        <v>2152.0</v>
      </c>
      <c r="B2158" s="180" t="s">
        <v>3753</v>
      </c>
      <c r="C2158" s="82" t="str">
        <f>VLOOKUP($B$7:$B$5000,SUM!$L$6:$L$500,1,FALSE)</f>
        <v>#N/A</v>
      </c>
      <c r="D2158" s="171" t="s">
        <v>3737</v>
      </c>
      <c r="E2158" s="165" t="s">
        <v>58</v>
      </c>
      <c r="F2158" s="81" t="s">
        <v>105</v>
      </c>
      <c r="G2158" s="125" t="s">
        <v>1871</v>
      </c>
      <c r="H2158" s="81" t="s">
        <v>3748</v>
      </c>
      <c r="I2158" s="149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77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1">
        <v>2153.0</v>
      </c>
      <c r="B2159" s="180" t="s">
        <v>3755</v>
      </c>
      <c r="C2159" s="82" t="str">
        <f>VLOOKUP($B$7:$B$5000,SUM!$L$6:$L$500,1,FALSE)</f>
        <v>#N/A</v>
      </c>
      <c r="D2159" s="171" t="s">
        <v>3737</v>
      </c>
      <c r="E2159" s="165" t="s">
        <v>58</v>
      </c>
      <c r="F2159" s="81" t="s">
        <v>105</v>
      </c>
      <c r="G2159" s="125" t="s">
        <v>1871</v>
      </c>
      <c r="H2159" s="81" t="s">
        <v>3748</v>
      </c>
      <c r="I2159" s="149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77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1">
        <v>2154.0</v>
      </c>
      <c r="B2160" s="180" t="s">
        <v>3757</v>
      </c>
      <c r="C2160" s="82" t="str">
        <f>VLOOKUP($B$7:$B$5000,SUM!$L$6:$L$500,1,FALSE)</f>
        <v>#N/A</v>
      </c>
      <c r="D2160" s="171" t="s">
        <v>3737</v>
      </c>
      <c r="E2160" s="165" t="s">
        <v>58</v>
      </c>
      <c r="F2160" s="81" t="s">
        <v>105</v>
      </c>
      <c r="G2160" s="125" t="s">
        <v>1871</v>
      </c>
      <c r="H2160" s="81" t="s">
        <v>3758</v>
      </c>
      <c r="I2160" s="149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77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31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1">
        <v>2155.0</v>
      </c>
      <c r="B2161" s="180" t="s">
        <v>3760</v>
      </c>
      <c r="C2161" s="82" t="str">
        <f>VLOOKUP($B$7:$B$5000,SUM!$L$6:$L$500,1,FALSE)</f>
        <v>#N/A</v>
      </c>
      <c r="D2161" s="171" t="s">
        <v>3737</v>
      </c>
      <c r="E2161" s="165" t="s">
        <v>58</v>
      </c>
      <c r="F2161" s="81" t="s">
        <v>105</v>
      </c>
      <c r="G2161" s="125" t="s">
        <v>1871</v>
      </c>
      <c r="H2161" s="81" t="s">
        <v>3758</v>
      </c>
      <c r="I2161" s="149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77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1">
        <v>2156.0</v>
      </c>
      <c r="B2162" s="180" t="s">
        <v>3761</v>
      </c>
      <c r="C2162" s="82" t="str">
        <f>VLOOKUP($B$7:$B$5000,SUM!$L$6:$L$500,1,FALSE)</f>
        <v>#N/A</v>
      </c>
      <c r="D2162" s="171" t="s">
        <v>3737</v>
      </c>
      <c r="E2162" s="165" t="s">
        <v>58</v>
      </c>
      <c r="F2162" s="81" t="s">
        <v>105</v>
      </c>
      <c r="G2162" s="125" t="s">
        <v>1871</v>
      </c>
      <c r="H2162" s="81" t="s">
        <v>3758</v>
      </c>
      <c r="I2162" s="149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77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1">
        <v>2157.0</v>
      </c>
      <c r="B2163" s="180" t="s">
        <v>3762</v>
      </c>
      <c r="C2163" s="82" t="str">
        <f>VLOOKUP($B$7:$B$5000,SUM!$L$6:$L$500,1,FALSE)</f>
        <v>#N/A</v>
      </c>
      <c r="D2163" s="171" t="s">
        <v>3737</v>
      </c>
      <c r="E2163" s="165" t="s">
        <v>58</v>
      </c>
      <c r="F2163" s="81" t="s">
        <v>105</v>
      </c>
      <c r="G2163" s="125" t="s">
        <v>1871</v>
      </c>
      <c r="H2163" s="81" t="s">
        <v>3758</v>
      </c>
      <c r="I2163" s="149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77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1">
        <v>2158.0</v>
      </c>
      <c r="B2164" s="180" t="s">
        <v>3764</v>
      </c>
      <c r="C2164" s="82" t="str">
        <f>VLOOKUP($B$7:$B$5000,SUM!$L$6:$L$500,1,FALSE)</f>
        <v>#N/A</v>
      </c>
      <c r="D2164" s="171" t="s">
        <v>3737</v>
      </c>
      <c r="E2164" s="165" t="s">
        <v>58</v>
      </c>
      <c r="F2164" s="81" t="s">
        <v>105</v>
      </c>
      <c r="G2164" s="125" t="s">
        <v>2710</v>
      </c>
      <c r="H2164" s="81" t="s">
        <v>3765</v>
      </c>
      <c r="I2164" s="149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77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31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1">
        <v>2159.0</v>
      </c>
      <c r="B2165" s="180" t="s">
        <v>3768</v>
      </c>
      <c r="C2165" s="82" t="str">
        <f>VLOOKUP($B$7:$B$5000,SUM!$L$6:$L$500,1,FALSE)</f>
        <v>#N/A</v>
      </c>
      <c r="D2165" s="171" t="s">
        <v>3737</v>
      </c>
      <c r="E2165" s="165" t="s">
        <v>58</v>
      </c>
      <c r="F2165" s="81" t="s">
        <v>105</v>
      </c>
      <c r="G2165" s="125" t="s">
        <v>2710</v>
      </c>
      <c r="H2165" s="81" t="s">
        <v>3765</v>
      </c>
      <c r="I2165" s="149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77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1">
        <v>2160.0</v>
      </c>
      <c r="B2166" s="180" t="s">
        <v>3770</v>
      </c>
      <c r="C2166" s="82" t="str">
        <f>VLOOKUP($B$7:$B$5000,SUM!$L$6:$L$500,1,FALSE)</f>
        <v>#N/A</v>
      </c>
      <c r="D2166" s="171" t="s">
        <v>3737</v>
      </c>
      <c r="E2166" s="165" t="s">
        <v>58</v>
      </c>
      <c r="F2166" s="81" t="s">
        <v>105</v>
      </c>
      <c r="G2166" s="125" t="s">
        <v>2710</v>
      </c>
      <c r="H2166" s="81" t="s">
        <v>3765</v>
      </c>
      <c r="I2166" s="149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77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1">
        <v>2161.0</v>
      </c>
      <c r="B2167" s="180" t="s">
        <v>3772</v>
      </c>
      <c r="C2167" s="82" t="str">
        <f>VLOOKUP($B$7:$B$5000,SUM!$L$6:$L$500,1,FALSE)</f>
        <v>#N/A</v>
      </c>
      <c r="D2167" s="171" t="s">
        <v>3737</v>
      </c>
      <c r="E2167" s="165" t="s">
        <v>58</v>
      </c>
      <c r="F2167" s="81" t="s">
        <v>105</v>
      </c>
      <c r="G2167" s="125" t="s">
        <v>2710</v>
      </c>
      <c r="H2167" s="81" t="s">
        <v>3765</v>
      </c>
      <c r="I2167" s="149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77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1">
        <v>2162.0</v>
      </c>
      <c r="B2168" s="180" t="s">
        <v>3774</v>
      </c>
      <c r="C2168" s="82" t="str">
        <f>VLOOKUP($B$7:$B$5000,SUM!$L$6:$L$500,1,FALSE)</f>
        <v>#N/A</v>
      </c>
      <c r="D2168" s="171" t="s">
        <v>3737</v>
      </c>
      <c r="E2168" s="165" t="s">
        <v>58</v>
      </c>
      <c r="F2168" s="81" t="s">
        <v>105</v>
      </c>
      <c r="G2168" s="125" t="s">
        <v>2710</v>
      </c>
      <c r="H2168" s="81" t="s">
        <v>3775</v>
      </c>
      <c r="I2168" s="149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77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31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1">
        <v>2163.0</v>
      </c>
      <c r="B2169" s="180" t="s">
        <v>3777</v>
      </c>
      <c r="C2169" s="82" t="str">
        <f>VLOOKUP($B$7:$B$5000,SUM!$L$6:$L$500,1,FALSE)</f>
        <v>#N/A</v>
      </c>
      <c r="D2169" s="171" t="s">
        <v>3737</v>
      </c>
      <c r="E2169" s="165" t="s">
        <v>58</v>
      </c>
      <c r="F2169" s="81" t="s">
        <v>105</v>
      </c>
      <c r="G2169" s="125" t="s">
        <v>2710</v>
      </c>
      <c r="H2169" s="81" t="s">
        <v>3775</v>
      </c>
      <c r="I2169" s="149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77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1">
        <v>2164.0</v>
      </c>
      <c r="B2170" s="180" t="s">
        <v>3778</v>
      </c>
      <c r="C2170" s="82" t="str">
        <f>VLOOKUP($B$7:$B$5000,SUM!$L$6:$L$500,1,FALSE)</f>
        <v>#N/A</v>
      </c>
      <c r="D2170" s="171" t="s">
        <v>3737</v>
      </c>
      <c r="E2170" s="165" t="s">
        <v>58</v>
      </c>
      <c r="F2170" s="81" t="s">
        <v>105</v>
      </c>
      <c r="G2170" s="125" t="s">
        <v>2710</v>
      </c>
      <c r="H2170" s="81" t="s">
        <v>3775</v>
      </c>
      <c r="I2170" s="149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77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1">
        <v>2165.0</v>
      </c>
      <c r="B2171" s="180" t="s">
        <v>3780</v>
      </c>
      <c r="C2171" s="82" t="str">
        <f>VLOOKUP($B$7:$B$5000,SUM!$L$6:$L$500,1,FALSE)</f>
        <v>#N/A</v>
      </c>
      <c r="D2171" s="171" t="s">
        <v>3737</v>
      </c>
      <c r="E2171" s="165" t="s">
        <v>58</v>
      </c>
      <c r="F2171" s="81" t="s">
        <v>105</v>
      </c>
      <c r="G2171" s="125" t="s">
        <v>2710</v>
      </c>
      <c r="H2171" s="81" t="s">
        <v>3775</v>
      </c>
      <c r="I2171" s="149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77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1">
        <v>2166.0</v>
      </c>
      <c r="B2172" s="180" t="s">
        <v>3782</v>
      </c>
      <c r="C2172" s="82" t="str">
        <f>VLOOKUP($B$7:$B$5000,SUM!$L$6:$L$500,1,FALSE)</f>
        <v>#N/A</v>
      </c>
      <c r="D2172" s="171" t="s">
        <v>3737</v>
      </c>
      <c r="E2172" s="165" t="s">
        <v>58</v>
      </c>
      <c r="F2172" s="81" t="s">
        <v>105</v>
      </c>
      <c r="G2172" s="125" t="s">
        <v>2710</v>
      </c>
      <c r="H2172" s="81" t="s">
        <v>3783</v>
      </c>
      <c r="I2172" s="149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77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31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1">
        <v>2167.0</v>
      </c>
      <c r="B2173" s="180" t="s">
        <v>3786</v>
      </c>
      <c r="C2173" s="82" t="str">
        <f>VLOOKUP($B$7:$B$5000,SUM!$L$6:$L$500,1,FALSE)</f>
        <v>#N/A</v>
      </c>
      <c r="D2173" s="171" t="s">
        <v>3737</v>
      </c>
      <c r="E2173" s="165" t="s">
        <v>58</v>
      </c>
      <c r="F2173" s="81" t="s">
        <v>105</v>
      </c>
      <c r="G2173" s="125" t="s">
        <v>2710</v>
      </c>
      <c r="H2173" s="81" t="s">
        <v>3783</v>
      </c>
      <c r="I2173" s="149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77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1">
        <v>2168.0</v>
      </c>
      <c r="B2174" s="180" t="s">
        <v>3787</v>
      </c>
      <c r="C2174" s="82" t="str">
        <f>VLOOKUP($B$7:$B$5000,SUM!$L$6:$L$500,1,FALSE)</f>
        <v>#N/A</v>
      </c>
      <c r="D2174" s="171" t="s">
        <v>3737</v>
      </c>
      <c r="E2174" s="165" t="s">
        <v>58</v>
      </c>
      <c r="F2174" s="81" t="s">
        <v>105</v>
      </c>
      <c r="G2174" s="125" t="s">
        <v>2710</v>
      </c>
      <c r="H2174" s="81" t="s">
        <v>3783</v>
      </c>
      <c r="I2174" s="149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77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1">
        <v>2169.0</v>
      </c>
      <c r="B2175" s="180" t="s">
        <v>3789</v>
      </c>
      <c r="C2175" s="82" t="str">
        <f>VLOOKUP($B$7:$B$5000,SUM!$L$6:$L$500,1,FALSE)</f>
        <v>#N/A</v>
      </c>
      <c r="D2175" s="171" t="s">
        <v>3737</v>
      </c>
      <c r="E2175" s="165" t="s">
        <v>58</v>
      </c>
      <c r="F2175" s="81" t="s">
        <v>105</v>
      </c>
      <c r="G2175" s="125" t="s">
        <v>2710</v>
      </c>
      <c r="H2175" s="81" t="s">
        <v>3790</v>
      </c>
      <c r="I2175" s="149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77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31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1">
        <v>2170.0</v>
      </c>
      <c r="B2176" s="180" t="s">
        <v>3793</v>
      </c>
      <c r="C2176" s="82" t="str">
        <f>VLOOKUP($B$7:$B$5000,SUM!$L$6:$L$500,1,FALSE)</f>
        <v>#N/A</v>
      </c>
      <c r="D2176" s="171" t="s">
        <v>3737</v>
      </c>
      <c r="E2176" s="165" t="s">
        <v>58</v>
      </c>
      <c r="F2176" s="81" t="s">
        <v>105</v>
      </c>
      <c r="G2176" s="125" t="s">
        <v>2710</v>
      </c>
      <c r="H2176" s="81" t="s">
        <v>3790</v>
      </c>
      <c r="I2176" s="149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77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1">
        <v>2171.0</v>
      </c>
      <c r="B2177" s="180" t="s">
        <v>3795</v>
      </c>
      <c r="C2177" s="82" t="str">
        <f>VLOOKUP($B$7:$B$5000,SUM!$L$6:$L$500,1,FALSE)</f>
        <v>#N/A</v>
      </c>
      <c r="D2177" s="171" t="s">
        <v>3737</v>
      </c>
      <c r="E2177" s="165" t="s">
        <v>58</v>
      </c>
      <c r="F2177" s="81" t="s">
        <v>105</v>
      </c>
      <c r="G2177" s="125" t="s">
        <v>2710</v>
      </c>
      <c r="H2177" s="81" t="s">
        <v>3790</v>
      </c>
      <c r="I2177" s="149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77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1">
        <v>2172.0</v>
      </c>
      <c r="B2178" s="180" t="s">
        <v>3797</v>
      </c>
      <c r="C2178" s="82" t="str">
        <f>VLOOKUP($B$7:$B$5000,SUM!$L$6:$L$500,1,FALSE)</f>
        <v>#N/A</v>
      </c>
      <c r="D2178" s="171" t="s">
        <v>3737</v>
      </c>
      <c r="E2178" s="165" t="s">
        <v>58</v>
      </c>
      <c r="F2178" s="81" t="s">
        <v>105</v>
      </c>
      <c r="G2178" s="125" t="s">
        <v>2640</v>
      </c>
      <c r="H2178" s="81" t="s">
        <v>3798</v>
      </c>
      <c r="I2178" s="149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77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1">
        <v>2173.0</v>
      </c>
      <c r="B2179" s="180" t="s">
        <v>3800</v>
      </c>
      <c r="C2179" s="82" t="str">
        <f>VLOOKUP($B$7:$B$5000,SUM!$L$6:$L$500,1,FALSE)</f>
        <v>#N/A</v>
      </c>
      <c r="D2179" s="171" t="s">
        <v>3737</v>
      </c>
      <c r="E2179" s="165" t="s">
        <v>58</v>
      </c>
      <c r="F2179" s="81" t="s">
        <v>105</v>
      </c>
      <c r="G2179" s="125" t="s">
        <v>2640</v>
      </c>
      <c r="H2179" s="81" t="s">
        <v>3798</v>
      </c>
      <c r="I2179" s="149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77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1">
        <v>2174.0</v>
      </c>
      <c r="B2180" s="180" t="s">
        <v>3802</v>
      </c>
      <c r="C2180" s="82" t="str">
        <f>VLOOKUP($B$7:$B$5000,SUM!$L$6:$L$500,1,FALSE)</f>
        <v>#N/A</v>
      </c>
      <c r="D2180" s="171" t="s">
        <v>3737</v>
      </c>
      <c r="E2180" s="165" t="s">
        <v>58</v>
      </c>
      <c r="F2180" s="81" t="s">
        <v>105</v>
      </c>
      <c r="G2180" s="125" t="s">
        <v>2640</v>
      </c>
      <c r="H2180" s="81" t="s">
        <v>3803</v>
      </c>
      <c r="I2180" s="149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77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1">
        <v>2175.0</v>
      </c>
      <c r="B2181" s="180" t="s">
        <v>3804</v>
      </c>
      <c r="C2181" s="82" t="str">
        <f>VLOOKUP($B$7:$B$5000,SUM!$L$6:$L$500,1,FALSE)</f>
        <v>#N/A</v>
      </c>
      <c r="D2181" s="171" t="s">
        <v>3737</v>
      </c>
      <c r="E2181" s="165" t="s">
        <v>58</v>
      </c>
      <c r="F2181" s="81" t="s">
        <v>105</v>
      </c>
      <c r="G2181" s="125" t="s">
        <v>2640</v>
      </c>
      <c r="H2181" s="81" t="s">
        <v>3803</v>
      </c>
      <c r="I2181" s="149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77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1">
        <v>2176.0</v>
      </c>
      <c r="B2182" s="180" t="s">
        <v>3805</v>
      </c>
      <c r="C2182" s="82" t="str">
        <f>VLOOKUP($B$7:$B$5000,SUM!$L$6:$L$500,1,FALSE)</f>
        <v>#N/A</v>
      </c>
      <c r="D2182" s="171" t="s">
        <v>3737</v>
      </c>
      <c r="E2182" s="165" t="s">
        <v>58</v>
      </c>
      <c r="F2182" s="81" t="s">
        <v>105</v>
      </c>
      <c r="G2182" s="125" t="s">
        <v>1789</v>
      </c>
      <c r="H2182" s="81" t="s">
        <v>3806</v>
      </c>
      <c r="I2182" s="149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77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1">
        <v>2177.0</v>
      </c>
      <c r="B2183" s="180" t="s">
        <v>3808</v>
      </c>
      <c r="C2183" s="82" t="str">
        <f>VLOOKUP($B$7:$B$5000,SUM!$L$6:$L$500,1,FALSE)</f>
        <v>#N/A</v>
      </c>
      <c r="D2183" s="171" t="s">
        <v>3737</v>
      </c>
      <c r="E2183" s="165" t="s">
        <v>58</v>
      </c>
      <c r="F2183" s="81" t="s">
        <v>105</v>
      </c>
      <c r="G2183" s="125" t="s">
        <v>1789</v>
      </c>
      <c r="H2183" s="81" t="s">
        <v>3806</v>
      </c>
      <c r="I2183" s="149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77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1">
        <v>2178.0</v>
      </c>
      <c r="B2184" s="180" t="s">
        <v>3810</v>
      </c>
      <c r="C2184" s="82" t="str">
        <f>VLOOKUP($B$7:$B$5000,SUM!$L$6:$L$500,1,FALSE)</f>
        <v>#N/A</v>
      </c>
      <c r="D2184" s="171" t="s">
        <v>3737</v>
      </c>
      <c r="E2184" s="165" t="s">
        <v>58</v>
      </c>
      <c r="F2184" s="81" t="s">
        <v>105</v>
      </c>
      <c r="G2184" s="125" t="s">
        <v>1789</v>
      </c>
      <c r="H2184" s="81" t="s">
        <v>3806</v>
      </c>
      <c r="I2184" s="149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77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1">
        <v>2179.0</v>
      </c>
      <c r="B2185" s="180" t="s">
        <v>3812</v>
      </c>
      <c r="C2185" s="82" t="str">
        <f>VLOOKUP($B$7:$B$5000,SUM!$L$6:$L$500,1,FALSE)</f>
        <v>#N/A</v>
      </c>
      <c r="D2185" s="171" t="s">
        <v>3737</v>
      </c>
      <c r="E2185" s="165" t="s">
        <v>58</v>
      </c>
      <c r="F2185" s="81" t="s">
        <v>105</v>
      </c>
      <c r="G2185" s="125" t="s">
        <v>3813</v>
      </c>
      <c r="H2185" s="81" t="s">
        <v>3814</v>
      </c>
      <c r="I2185" s="149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77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31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1">
        <v>2180.0</v>
      </c>
      <c r="B2186" s="180" t="s">
        <v>3817</v>
      </c>
      <c r="C2186" s="82" t="str">
        <f>VLOOKUP($B$7:$B$5000,SUM!$L$6:$L$500,1,FALSE)</f>
        <v>#N/A</v>
      </c>
      <c r="D2186" s="171" t="s">
        <v>3737</v>
      </c>
      <c r="E2186" s="165" t="s">
        <v>58</v>
      </c>
      <c r="F2186" s="81" t="s">
        <v>105</v>
      </c>
      <c r="G2186" s="125" t="s">
        <v>3813</v>
      </c>
      <c r="H2186" s="81" t="s">
        <v>3814</v>
      </c>
      <c r="I2186" s="149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77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1">
        <v>2181.0</v>
      </c>
      <c r="B2187" s="180" t="s">
        <v>3819</v>
      </c>
      <c r="C2187" s="82" t="str">
        <f>VLOOKUP($B$7:$B$5000,SUM!$L$6:$L$500,1,FALSE)</f>
        <v>#N/A</v>
      </c>
      <c r="D2187" s="171" t="s">
        <v>3737</v>
      </c>
      <c r="E2187" s="165" t="s">
        <v>58</v>
      </c>
      <c r="F2187" s="81" t="s">
        <v>105</v>
      </c>
      <c r="G2187" s="125" t="s">
        <v>3813</v>
      </c>
      <c r="H2187" s="81" t="s">
        <v>3814</v>
      </c>
      <c r="I2187" s="149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77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1">
        <v>2182.0</v>
      </c>
      <c r="B2188" s="180" t="s">
        <v>3821</v>
      </c>
      <c r="C2188" s="82" t="str">
        <f>VLOOKUP($B$7:$B$5000,SUM!$L$6:$L$500,1,FALSE)</f>
        <v>#N/A</v>
      </c>
      <c r="D2188" s="171" t="s">
        <v>3737</v>
      </c>
      <c r="E2188" s="165" t="s">
        <v>58</v>
      </c>
      <c r="F2188" s="81" t="s">
        <v>105</v>
      </c>
      <c r="G2188" s="125" t="s">
        <v>3813</v>
      </c>
      <c r="H2188" s="81" t="s">
        <v>3814</v>
      </c>
      <c r="I2188" s="149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77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1">
        <v>2183.0</v>
      </c>
      <c r="B2189" s="180" t="s">
        <v>3823</v>
      </c>
      <c r="C2189" s="82" t="str">
        <f>VLOOKUP($B$7:$B$5000,SUM!$L$6:$L$500,1,FALSE)</f>
        <v>#N/A</v>
      </c>
      <c r="D2189" s="171" t="s">
        <v>3737</v>
      </c>
      <c r="E2189" s="165" t="s">
        <v>58</v>
      </c>
      <c r="F2189" s="81" t="s">
        <v>105</v>
      </c>
      <c r="G2189" s="125" t="s">
        <v>3813</v>
      </c>
      <c r="H2189" s="81" t="s">
        <v>3824</v>
      </c>
      <c r="I2189" s="149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77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31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1">
        <v>2184.0</v>
      </c>
      <c r="B2190" s="180" t="s">
        <v>3826</v>
      </c>
      <c r="C2190" s="82" t="str">
        <f>VLOOKUP($B$7:$B$5000,SUM!$L$6:$L$500,1,FALSE)</f>
        <v>#N/A</v>
      </c>
      <c r="D2190" s="171" t="s">
        <v>3737</v>
      </c>
      <c r="E2190" s="165" t="s">
        <v>58</v>
      </c>
      <c r="F2190" s="81" t="s">
        <v>105</v>
      </c>
      <c r="G2190" s="125" t="s">
        <v>3813</v>
      </c>
      <c r="H2190" s="81" t="s">
        <v>3824</v>
      </c>
      <c r="I2190" s="149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77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1">
        <v>2185.0</v>
      </c>
      <c r="B2191" s="180" t="s">
        <v>3827</v>
      </c>
      <c r="C2191" s="82" t="str">
        <f>VLOOKUP($B$7:$B$5000,SUM!$L$6:$L$500,1,FALSE)</f>
        <v>#N/A</v>
      </c>
      <c r="D2191" s="171" t="s">
        <v>3737</v>
      </c>
      <c r="E2191" s="165" t="s">
        <v>58</v>
      </c>
      <c r="F2191" s="81" t="s">
        <v>105</v>
      </c>
      <c r="G2191" s="125" t="s">
        <v>3813</v>
      </c>
      <c r="H2191" s="81" t="s">
        <v>3824</v>
      </c>
      <c r="I2191" s="149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77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1">
        <v>2186.0</v>
      </c>
      <c r="B2192" s="180" t="s">
        <v>3828</v>
      </c>
      <c r="C2192" s="82" t="str">
        <f>VLOOKUP($B$7:$B$5000,SUM!$L$6:$L$500,1,FALSE)</f>
        <v>#N/A</v>
      </c>
      <c r="D2192" s="171" t="s">
        <v>3737</v>
      </c>
      <c r="E2192" s="165" t="s">
        <v>58</v>
      </c>
      <c r="F2192" s="81" t="s">
        <v>105</v>
      </c>
      <c r="G2192" s="125" t="s">
        <v>3813</v>
      </c>
      <c r="H2192" s="81" t="s">
        <v>3824</v>
      </c>
      <c r="I2192" s="149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77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1">
        <v>2187.0</v>
      </c>
      <c r="B2193" s="180" t="s">
        <v>3829</v>
      </c>
      <c r="C2193" s="82" t="str">
        <f>VLOOKUP($B$7:$B$5000,SUM!$L$6:$L$500,1,FALSE)</f>
        <v>#N/A</v>
      </c>
      <c r="D2193" s="171" t="s">
        <v>3737</v>
      </c>
      <c r="E2193" s="165" t="s">
        <v>58</v>
      </c>
      <c r="F2193" s="81" t="s">
        <v>105</v>
      </c>
      <c r="G2193" s="125" t="s">
        <v>2710</v>
      </c>
      <c r="H2193" s="81" t="s">
        <v>3830</v>
      </c>
      <c r="I2193" s="149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77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31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1">
        <v>2188.0</v>
      </c>
      <c r="B2194" s="180" t="s">
        <v>3833</v>
      </c>
      <c r="C2194" s="82" t="str">
        <f>VLOOKUP($B$7:$B$5000,SUM!$L$6:$L$500,1,FALSE)</f>
        <v>#N/A</v>
      </c>
      <c r="D2194" s="171" t="s">
        <v>3737</v>
      </c>
      <c r="E2194" s="165" t="s">
        <v>58</v>
      </c>
      <c r="F2194" s="81" t="s">
        <v>105</v>
      </c>
      <c r="G2194" s="125" t="s">
        <v>2710</v>
      </c>
      <c r="H2194" s="81" t="s">
        <v>3830</v>
      </c>
      <c r="I2194" s="149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77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1">
        <v>2189.0</v>
      </c>
      <c r="B2195" s="180" t="s">
        <v>3835</v>
      </c>
      <c r="C2195" s="82" t="str">
        <f>VLOOKUP($B$7:$B$5000,SUM!$L$6:$L$500,1,FALSE)</f>
        <v>#N/A</v>
      </c>
      <c r="D2195" s="171" t="s">
        <v>3737</v>
      </c>
      <c r="E2195" s="165" t="s">
        <v>58</v>
      </c>
      <c r="F2195" s="81" t="s">
        <v>105</v>
      </c>
      <c r="G2195" s="125" t="s">
        <v>2710</v>
      </c>
      <c r="H2195" s="81" t="s">
        <v>3830</v>
      </c>
      <c r="I2195" s="149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77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1">
        <v>2190.0</v>
      </c>
      <c r="B2196" s="180" t="s">
        <v>3837</v>
      </c>
      <c r="C2196" s="82" t="str">
        <f>VLOOKUP($B$7:$B$5000,SUM!$L$6:$L$500,1,FALSE)</f>
        <v>#N/A</v>
      </c>
      <c r="D2196" s="171" t="s">
        <v>3737</v>
      </c>
      <c r="E2196" s="165" t="s">
        <v>58</v>
      </c>
      <c r="F2196" s="81" t="s">
        <v>105</v>
      </c>
      <c r="G2196" s="125" t="s">
        <v>2710</v>
      </c>
      <c r="H2196" s="81" t="s">
        <v>3830</v>
      </c>
      <c r="I2196" s="149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77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31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1">
        <v>2191.0</v>
      </c>
      <c r="B2197" s="180" t="s">
        <v>3839</v>
      </c>
      <c r="C2197" s="82" t="str">
        <f>VLOOKUP($B$7:$B$5000,SUM!$L$6:$L$500,1,FALSE)</f>
        <v>#N/A</v>
      </c>
      <c r="D2197" s="171" t="s">
        <v>3737</v>
      </c>
      <c r="E2197" s="165" t="s">
        <v>58</v>
      </c>
      <c r="F2197" s="81" t="s">
        <v>105</v>
      </c>
      <c r="G2197" s="125" t="s">
        <v>2710</v>
      </c>
      <c r="H2197" s="81" t="s">
        <v>3840</v>
      </c>
      <c r="I2197" s="149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77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1">
        <v>2192.0</v>
      </c>
      <c r="B2198" s="180" t="s">
        <v>3841</v>
      </c>
      <c r="C2198" s="82" t="str">
        <f>VLOOKUP($B$7:$B$5000,SUM!$L$6:$L$500,1,FALSE)</f>
        <v>#N/A</v>
      </c>
      <c r="D2198" s="171" t="s">
        <v>3737</v>
      </c>
      <c r="E2198" s="165" t="s">
        <v>58</v>
      </c>
      <c r="F2198" s="81" t="s">
        <v>105</v>
      </c>
      <c r="G2198" s="125" t="s">
        <v>2710</v>
      </c>
      <c r="H2198" s="81" t="s">
        <v>3840</v>
      </c>
      <c r="I2198" s="149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77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1">
        <v>2193.0</v>
      </c>
      <c r="B2199" s="180" t="s">
        <v>3842</v>
      </c>
      <c r="C2199" s="82" t="str">
        <f>VLOOKUP($B$7:$B$5000,SUM!$L$6:$L$500,1,FALSE)</f>
        <v>#N/A</v>
      </c>
      <c r="D2199" s="171" t="s">
        <v>3737</v>
      </c>
      <c r="E2199" s="165" t="s">
        <v>58</v>
      </c>
      <c r="F2199" s="81" t="s">
        <v>105</v>
      </c>
      <c r="G2199" s="125" t="s">
        <v>2710</v>
      </c>
      <c r="H2199" s="81" t="s">
        <v>3840</v>
      </c>
      <c r="I2199" s="149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77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1">
        <v>2194.0</v>
      </c>
      <c r="B2200" s="180" t="s">
        <v>3843</v>
      </c>
      <c r="C2200" s="82" t="str">
        <f>VLOOKUP($B$7:$B$5000,SUM!$L$6:$L$500,1,FALSE)</f>
        <v>#N/A</v>
      </c>
      <c r="D2200" s="171" t="s">
        <v>3737</v>
      </c>
      <c r="E2200" s="165" t="s">
        <v>58</v>
      </c>
      <c r="F2200" s="81" t="s">
        <v>105</v>
      </c>
      <c r="G2200" s="125" t="s">
        <v>2710</v>
      </c>
      <c r="H2200" s="81" t="s">
        <v>3840</v>
      </c>
      <c r="I2200" s="149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77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31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1">
        <v>2195.0</v>
      </c>
      <c r="B2201" s="180" t="s">
        <v>3844</v>
      </c>
      <c r="C2201" s="82" t="str">
        <f>VLOOKUP($B$7:$B$5000,SUM!$L$6:$L$500,1,FALSE)</f>
        <v>#N/A</v>
      </c>
      <c r="D2201" s="171" t="s">
        <v>3737</v>
      </c>
      <c r="E2201" s="165" t="s">
        <v>58</v>
      </c>
      <c r="F2201" s="81" t="s">
        <v>105</v>
      </c>
      <c r="G2201" s="125" t="s">
        <v>2710</v>
      </c>
      <c r="H2201" s="81" t="s">
        <v>3845</v>
      </c>
      <c r="I2201" s="149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77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1">
        <v>2196.0</v>
      </c>
      <c r="B2202" s="180" t="s">
        <v>3846</v>
      </c>
      <c r="C2202" s="82" t="str">
        <f>VLOOKUP($B$7:$B$5000,SUM!$L$6:$L$500,1,FALSE)</f>
        <v>#N/A</v>
      </c>
      <c r="D2202" s="171" t="s">
        <v>3737</v>
      </c>
      <c r="E2202" s="165" t="s">
        <v>58</v>
      </c>
      <c r="F2202" s="81" t="s">
        <v>105</v>
      </c>
      <c r="G2202" s="125" t="s">
        <v>2710</v>
      </c>
      <c r="H2202" s="81" t="s">
        <v>3845</v>
      </c>
      <c r="I2202" s="149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77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1">
        <v>2197.0</v>
      </c>
      <c r="B2203" s="180" t="s">
        <v>3847</v>
      </c>
      <c r="C2203" s="82" t="str">
        <f>VLOOKUP($B$7:$B$5000,SUM!$L$6:$L$500,1,FALSE)</f>
        <v>#N/A</v>
      </c>
      <c r="D2203" s="171" t="s">
        <v>3737</v>
      </c>
      <c r="E2203" s="165" t="s">
        <v>58</v>
      </c>
      <c r="F2203" s="81" t="s">
        <v>105</v>
      </c>
      <c r="G2203" s="125" t="s">
        <v>2710</v>
      </c>
      <c r="H2203" s="81" t="s">
        <v>3845</v>
      </c>
      <c r="I2203" s="149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77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31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1">
        <v>2198.0</v>
      </c>
      <c r="B2204" s="180" t="s">
        <v>3849</v>
      </c>
      <c r="C2204" s="82" t="str">
        <f>VLOOKUP($B$7:$B$5000,SUM!$L$6:$L$500,1,FALSE)</f>
        <v>#N/A</v>
      </c>
      <c r="D2204" s="171" t="s">
        <v>3737</v>
      </c>
      <c r="E2204" s="165" t="s">
        <v>58</v>
      </c>
      <c r="F2204" s="81" t="s">
        <v>105</v>
      </c>
      <c r="G2204" s="125" t="s">
        <v>2710</v>
      </c>
      <c r="H2204" s="81" t="s">
        <v>3845</v>
      </c>
      <c r="I2204" s="149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77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1">
        <v>2199.0</v>
      </c>
      <c r="B2205" s="180" t="s">
        <v>3850</v>
      </c>
      <c r="C2205" s="82" t="str">
        <f>VLOOKUP($B$7:$B$5000,SUM!$L$6:$L$500,1,FALSE)</f>
        <v>#N/A</v>
      </c>
      <c r="D2205" s="171" t="s">
        <v>3737</v>
      </c>
      <c r="E2205" s="165" t="s">
        <v>58</v>
      </c>
      <c r="F2205" s="81" t="s">
        <v>105</v>
      </c>
      <c r="G2205" s="125" t="s">
        <v>2710</v>
      </c>
      <c r="H2205" s="81" t="s">
        <v>3851</v>
      </c>
      <c r="I2205" s="149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77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1">
        <v>2200.0</v>
      </c>
      <c r="B2206" s="180" t="s">
        <v>3852</v>
      </c>
      <c r="C2206" s="82" t="str">
        <f>VLOOKUP($B$7:$B$5000,SUM!$L$6:$L$500,1,FALSE)</f>
        <v>#N/A</v>
      </c>
      <c r="D2206" s="171" t="s">
        <v>3737</v>
      </c>
      <c r="E2206" s="165" t="s">
        <v>58</v>
      </c>
      <c r="F2206" s="81" t="s">
        <v>105</v>
      </c>
      <c r="G2206" s="125" t="s">
        <v>2710</v>
      </c>
      <c r="H2206" s="81" t="s">
        <v>3851</v>
      </c>
      <c r="I2206" s="149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77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1">
        <v>2201.0</v>
      </c>
      <c r="B2207" s="180" t="s">
        <v>3853</v>
      </c>
      <c r="C2207" s="82" t="str">
        <f>VLOOKUP($B$7:$B$5000,SUM!$L$6:$L$500,1,FALSE)</f>
        <v>#N/A</v>
      </c>
      <c r="D2207" s="171" t="s">
        <v>3737</v>
      </c>
      <c r="E2207" s="165" t="s">
        <v>58</v>
      </c>
      <c r="F2207" s="81" t="s">
        <v>105</v>
      </c>
      <c r="G2207" s="125" t="s">
        <v>2710</v>
      </c>
      <c r="H2207" s="81" t="s">
        <v>3851</v>
      </c>
      <c r="I2207" s="149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77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31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1">
        <v>2202.0</v>
      </c>
      <c r="B2208" s="180" t="s">
        <v>3854</v>
      </c>
      <c r="C2208" s="82" t="str">
        <f>VLOOKUP($B$7:$B$5000,SUM!$L$6:$L$500,1,FALSE)</f>
        <v>#N/A</v>
      </c>
      <c r="D2208" s="171" t="s">
        <v>3737</v>
      </c>
      <c r="E2208" s="165" t="s">
        <v>58</v>
      </c>
      <c r="F2208" s="81" t="s">
        <v>105</v>
      </c>
      <c r="G2208" s="125" t="s">
        <v>1871</v>
      </c>
      <c r="H2208" s="81" t="s">
        <v>3851</v>
      </c>
      <c r="I2208" s="149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77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1">
        <v>2203.0</v>
      </c>
      <c r="B2209" s="180" t="s">
        <v>3855</v>
      </c>
      <c r="C2209" s="82" t="str">
        <f>VLOOKUP($B$7:$B$5000,SUM!$L$6:$L$500,1,FALSE)</f>
        <v>#N/A</v>
      </c>
      <c r="D2209" s="171" t="s">
        <v>3737</v>
      </c>
      <c r="E2209" s="165" t="s">
        <v>58</v>
      </c>
      <c r="F2209" s="81" t="s">
        <v>105</v>
      </c>
      <c r="G2209" s="125" t="s">
        <v>1871</v>
      </c>
      <c r="H2209" s="81" t="s">
        <v>3856</v>
      </c>
      <c r="I2209" s="149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77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31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1">
        <v>2204.0</v>
      </c>
      <c r="B2210" s="180" t="s">
        <v>3859</v>
      </c>
      <c r="C2210" s="82" t="str">
        <f>VLOOKUP($B$7:$B$5000,SUM!$L$6:$L$500,1,FALSE)</f>
        <v>#N/A</v>
      </c>
      <c r="D2210" s="171" t="s">
        <v>3737</v>
      </c>
      <c r="E2210" s="165" t="s">
        <v>58</v>
      </c>
      <c r="F2210" s="81" t="s">
        <v>105</v>
      </c>
      <c r="G2210" s="125" t="s">
        <v>1871</v>
      </c>
      <c r="H2210" s="81" t="s">
        <v>3856</v>
      </c>
      <c r="I2210" s="149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77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1">
        <v>2205.0</v>
      </c>
      <c r="B2211" s="180" t="s">
        <v>3861</v>
      </c>
      <c r="C2211" s="82" t="str">
        <f>VLOOKUP($B$7:$B$5000,SUM!$L$6:$L$500,1,FALSE)</f>
        <v>#N/A</v>
      </c>
      <c r="D2211" s="171" t="s">
        <v>3737</v>
      </c>
      <c r="E2211" s="165" t="s">
        <v>58</v>
      </c>
      <c r="F2211" s="81" t="s">
        <v>105</v>
      </c>
      <c r="G2211" s="125" t="s">
        <v>1871</v>
      </c>
      <c r="H2211" s="81" t="s">
        <v>3856</v>
      </c>
      <c r="I2211" s="149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77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1">
        <v>2206.0</v>
      </c>
      <c r="B2212" s="180" t="s">
        <v>3863</v>
      </c>
      <c r="C2212" s="82" t="str">
        <f>VLOOKUP($B$7:$B$5000,SUM!$L$6:$L$500,1,FALSE)</f>
        <v>#N/A</v>
      </c>
      <c r="D2212" s="171" t="s">
        <v>3737</v>
      </c>
      <c r="E2212" s="165" t="s">
        <v>58</v>
      </c>
      <c r="F2212" s="81" t="s">
        <v>105</v>
      </c>
      <c r="G2212" s="125" t="s">
        <v>1871</v>
      </c>
      <c r="H2212" s="81" t="s">
        <v>3864</v>
      </c>
      <c r="I2212" s="149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77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31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1">
        <v>2207.0</v>
      </c>
      <c r="B2213" s="180" t="s">
        <v>3867</v>
      </c>
      <c r="C2213" s="82" t="str">
        <f>VLOOKUP($B$7:$B$5000,SUM!$L$6:$L$500,1,FALSE)</f>
        <v>#N/A</v>
      </c>
      <c r="D2213" s="171" t="s">
        <v>3737</v>
      </c>
      <c r="E2213" s="165" t="s">
        <v>58</v>
      </c>
      <c r="F2213" s="81" t="s">
        <v>105</v>
      </c>
      <c r="G2213" s="125" t="s">
        <v>1871</v>
      </c>
      <c r="H2213" s="81" t="s">
        <v>3864</v>
      </c>
      <c r="I2213" s="149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77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1">
        <v>2208.0</v>
      </c>
      <c r="B2214" s="180" t="s">
        <v>3869</v>
      </c>
      <c r="C2214" s="82" t="str">
        <f>VLOOKUP($B$7:$B$5000,SUM!$L$6:$L$500,1,FALSE)</f>
        <v>#N/A</v>
      </c>
      <c r="D2214" s="171" t="s">
        <v>3737</v>
      </c>
      <c r="E2214" s="165" t="s">
        <v>58</v>
      </c>
      <c r="F2214" s="81" t="s">
        <v>105</v>
      </c>
      <c r="G2214" s="125" t="s">
        <v>1871</v>
      </c>
      <c r="H2214" s="81" t="s">
        <v>3864</v>
      </c>
      <c r="I2214" s="149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77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1">
        <v>2209.0</v>
      </c>
      <c r="B2215" s="180" t="s">
        <v>3871</v>
      </c>
      <c r="C2215" s="82" t="str">
        <f>VLOOKUP($B$7:$B$5000,SUM!$L$6:$L$500,1,FALSE)</f>
        <v>#N/A</v>
      </c>
      <c r="D2215" s="171" t="s">
        <v>3737</v>
      </c>
      <c r="E2215" s="165" t="s">
        <v>58</v>
      </c>
      <c r="F2215" s="81" t="s">
        <v>105</v>
      </c>
      <c r="G2215" s="125" t="s">
        <v>1996</v>
      </c>
      <c r="H2215" s="81" t="s">
        <v>3872</v>
      </c>
      <c r="I2215" s="149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77">
        <v>46152.0</v>
      </c>
      <c r="O2215" s="103" t="s">
        <v>67</v>
      </c>
      <c r="P2215" s="103" t="s">
        <v>68</v>
      </c>
      <c r="Q2215" s="154" t="s">
        <v>2132</v>
      </c>
      <c r="R2215" s="154" t="s">
        <v>66</v>
      </c>
      <c r="S2215" s="173">
        <v>46189.0</v>
      </c>
      <c r="T2215" s="156"/>
      <c r="U2215" s="154" t="s">
        <v>31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1">
        <v>2210.0</v>
      </c>
      <c r="B2216" s="180" t="s">
        <v>3874</v>
      </c>
      <c r="C2216" s="82" t="str">
        <f>VLOOKUP($B$7:$B$5000,SUM!$L$6:$L$500,1,FALSE)</f>
        <v>#N/A</v>
      </c>
      <c r="D2216" s="171" t="s">
        <v>3737</v>
      </c>
      <c r="E2216" s="165" t="s">
        <v>58</v>
      </c>
      <c r="F2216" s="81" t="s">
        <v>105</v>
      </c>
      <c r="G2216" s="125" t="s">
        <v>1996</v>
      </c>
      <c r="H2216" s="81" t="s">
        <v>3872</v>
      </c>
      <c r="I2216" s="149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77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1">
        <v>2211.0</v>
      </c>
      <c r="B2217" s="180" t="s">
        <v>3876</v>
      </c>
      <c r="C2217" s="82" t="str">
        <f>VLOOKUP($B$7:$B$5000,SUM!$L$6:$L$500,1,FALSE)</f>
        <v>#N/A</v>
      </c>
      <c r="D2217" s="171" t="s">
        <v>3737</v>
      </c>
      <c r="E2217" s="165" t="s">
        <v>58</v>
      </c>
      <c r="F2217" s="81" t="s">
        <v>105</v>
      </c>
      <c r="G2217" s="125" t="s">
        <v>1996</v>
      </c>
      <c r="H2217" s="81" t="s">
        <v>3872</v>
      </c>
      <c r="I2217" s="149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77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1">
        <v>2212.0</v>
      </c>
      <c r="B2218" s="180" t="s">
        <v>3878</v>
      </c>
      <c r="C2218" s="82" t="str">
        <f>VLOOKUP($B$7:$B$5000,SUM!$L$6:$L$500,1,FALSE)</f>
        <v>#N/A</v>
      </c>
      <c r="D2218" s="171" t="s">
        <v>3737</v>
      </c>
      <c r="E2218" s="165" t="s">
        <v>58</v>
      </c>
      <c r="F2218" s="81" t="s">
        <v>105</v>
      </c>
      <c r="G2218" s="125" t="s">
        <v>2710</v>
      </c>
      <c r="H2218" s="81" t="s">
        <v>3879</v>
      </c>
      <c r="I2218" s="149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77">
        <v>46152.0</v>
      </c>
      <c r="O2218" s="103" t="s">
        <v>67</v>
      </c>
      <c r="P2218" s="103" t="s">
        <v>68</v>
      </c>
      <c r="Q2218" s="154" t="s">
        <v>2132</v>
      </c>
      <c r="R2218" s="154" t="s">
        <v>66</v>
      </c>
      <c r="S2218" s="173">
        <v>46189.0</v>
      </c>
      <c r="T2218" s="156"/>
      <c r="U2218" s="154" t="s">
        <v>31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1">
        <v>2213.0</v>
      </c>
      <c r="B2219" s="180" t="s">
        <v>3880</v>
      </c>
      <c r="C2219" s="82" t="str">
        <f>VLOOKUP($B$7:$B$5000,SUM!$L$6:$L$500,1,FALSE)</f>
        <v>#N/A</v>
      </c>
      <c r="D2219" s="171" t="s">
        <v>3737</v>
      </c>
      <c r="E2219" s="165" t="s">
        <v>58</v>
      </c>
      <c r="F2219" s="81" t="s">
        <v>105</v>
      </c>
      <c r="G2219" s="125" t="s">
        <v>2710</v>
      </c>
      <c r="H2219" s="81" t="s">
        <v>3879</v>
      </c>
      <c r="I2219" s="149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77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1">
        <v>2214.0</v>
      </c>
      <c r="B2220" s="180" t="s">
        <v>3881</v>
      </c>
      <c r="C2220" s="82" t="str">
        <f>VLOOKUP($B$7:$B$5000,SUM!$L$6:$L$500,1,FALSE)</f>
        <v>#N/A</v>
      </c>
      <c r="D2220" s="171" t="s">
        <v>3737</v>
      </c>
      <c r="E2220" s="165" t="s">
        <v>58</v>
      </c>
      <c r="F2220" s="81" t="s">
        <v>105</v>
      </c>
      <c r="G2220" s="125" t="s">
        <v>2710</v>
      </c>
      <c r="H2220" s="81" t="s">
        <v>3879</v>
      </c>
      <c r="I2220" s="149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77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31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1">
        <v>2215.0</v>
      </c>
      <c r="B2221" s="180" t="s">
        <v>3882</v>
      </c>
      <c r="C2221" s="82" t="str">
        <f>VLOOKUP($B$7:$B$5000,SUM!$L$6:$L$500,1,FALSE)</f>
        <v>#N/A</v>
      </c>
      <c r="D2221" s="171" t="s">
        <v>3737</v>
      </c>
      <c r="E2221" s="165" t="s">
        <v>58</v>
      </c>
      <c r="F2221" s="81" t="s">
        <v>105</v>
      </c>
      <c r="G2221" s="125" t="s">
        <v>2710</v>
      </c>
      <c r="H2221" s="81" t="s">
        <v>3879</v>
      </c>
      <c r="I2221" s="149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77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1">
        <v>2216.0</v>
      </c>
      <c r="B2222" s="180" t="s">
        <v>3883</v>
      </c>
      <c r="C2222" s="82" t="str">
        <f>VLOOKUP($B$7:$B$5000,SUM!$L$6:$L$500,1,FALSE)</f>
        <v>#N/A</v>
      </c>
      <c r="D2222" s="171" t="s">
        <v>3737</v>
      </c>
      <c r="E2222" s="165" t="s">
        <v>58</v>
      </c>
      <c r="F2222" s="81" t="s">
        <v>105</v>
      </c>
      <c r="G2222" s="125" t="s">
        <v>2710</v>
      </c>
      <c r="H2222" s="81" t="s">
        <v>3884</v>
      </c>
      <c r="I2222" s="149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77">
        <v>46152.0</v>
      </c>
      <c r="O2222" s="103" t="s">
        <v>67</v>
      </c>
      <c r="P2222" s="103" t="s">
        <v>68</v>
      </c>
      <c r="Q2222" s="154" t="s">
        <v>2132</v>
      </c>
      <c r="R2222" s="154" t="s">
        <v>66</v>
      </c>
      <c r="S2222" s="173">
        <v>46189.0</v>
      </c>
      <c r="T2222" s="156"/>
      <c r="U2222" s="154" t="s">
        <v>31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1">
        <v>2217.0</v>
      </c>
      <c r="B2223" s="180" t="s">
        <v>3885</v>
      </c>
      <c r="C2223" s="82" t="str">
        <f>VLOOKUP($B$7:$B$5000,SUM!$L$6:$L$500,1,FALSE)</f>
        <v>#N/A</v>
      </c>
      <c r="D2223" s="171" t="s">
        <v>3737</v>
      </c>
      <c r="E2223" s="165" t="s">
        <v>58</v>
      </c>
      <c r="F2223" s="81" t="s">
        <v>105</v>
      </c>
      <c r="G2223" s="125" t="s">
        <v>2710</v>
      </c>
      <c r="H2223" s="81" t="s">
        <v>3884</v>
      </c>
      <c r="I2223" s="149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77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1">
        <v>2218.0</v>
      </c>
      <c r="B2224" s="180" t="s">
        <v>3886</v>
      </c>
      <c r="C2224" s="82" t="str">
        <f>VLOOKUP($B$7:$B$5000,SUM!$L$6:$L$500,1,FALSE)</f>
        <v>#N/A</v>
      </c>
      <c r="D2224" s="171" t="s">
        <v>3737</v>
      </c>
      <c r="E2224" s="165" t="s">
        <v>58</v>
      </c>
      <c r="F2224" s="81" t="s">
        <v>105</v>
      </c>
      <c r="G2224" s="125" t="s">
        <v>2710</v>
      </c>
      <c r="H2224" s="81" t="s">
        <v>3884</v>
      </c>
      <c r="I2224" s="149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77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31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1">
        <v>2219.0</v>
      </c>
      <c r="B2225" s="180" t="s">
        <v>3887</v>
      </c>
      <c r="C2225" s="82" t="str">
        <f>VLOOKUP($B$7:$B$5000,SUM!$L$6:$L$500,1,FALSE)</f>
        <v>#N/A</v>
      </c>
      <c r="D2225" s="171" t="s">
        <v>3737</v>
      </c>
      <c r="E2225" s="165" t="s">
        <v>58</v>
      </c>
      <c r="F2225" s="81" t="s">
        <v>105</v>
      </c>
      <c r="G2225" s="125" t="s">
        <v>2710</v>
      </c>
      <c r="H2225" s="81" t="s">
        <v>3884</v>
      </c>
      <c r="I2225" s="149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77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1">
        <v>2220.0</v>
      </c>
      <c r="B2226" s="180" t="s">
        <v>3888</v>
      </c>
      <c r="C2226" s="82" t="str">
        <f>VLOOKUP($B$7:$B$5000,SUM!$L$6:$L$500,1,FALSE)</f>
        <v>#N/A</v>
      </c>
      <c r="D2226" s="171" t="s">
        <v>3737</v>
      </c>
      <c r="E2226" s="165" t="s">
        <v>58</v>
      </c>
      <c r="F2226" s="81" t="s">
        <v>105</v>
      </c>
      <c r="G2226" s="125" t="s">
        <v>2062</v>
      </c>
      <c r="H2226" s="81" t="s">
        <v>3889</v>
      </c>
      <c r="I2226" s="149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77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1">
        <v>2221.0</v>
      </c>
      <c r="B2227" s="180" t="s">
        <v>3891</v>
      </c>
      <c r="C2227" s="82" t="str">
        <f>VLOOKUP($B$7:$B$5000,SUM!$L$6:$L$500,1,FALSE)</f>
        <v>#N/A</v>
      </c>
      <c r="D2227" s="171" t="s">
        <v>3737</v>
      </c>
      <c r="E2227" s="165" t="s">
        <v>58</v>
      </c>
      <c r="F2227" s="81" t="s">
        <v>105</v>
      </c>
      <c r="G2227" s="125" t="s">
        <v>2062</v>
      </c>
      <c r="H2227" s="81" t="s">
        <v>3889</v>
      </c>
      <c r="I2227" s="149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77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1">
        <v>2222.0</v>
      </c>
      <c r="B2228" s="180" t="s">
        <v>3893</v>
      </c>
      <c r="C2228" s="82" t="str">
        <f>VLOOKUP($B$7:$B$5000,SUM!$L$6:$L$500,1,FALSE)</f>
        <v>#N/A</v>
      </c>
      <c r="D2228" s="171" t="s">
        <v>3737</v>
      </c>
      <c r="E2228" s="165" t="s">
        <v>58</v>
      </c>
      <c r="F2228" s="81" t="s">
        <v>105</v>
      </c>
      <c r="G2228" s="125" t="s">
        <v>2062</v>
      </c>
      <c r="H2228" s="81" t="s">
        <v>3889</v>
      </c>
      <c r="I2228" s="149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77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1">
        <v>2223.0</v>
      </c>
      <c r="B2229" s="180" t="s">
        <v>3895</v>
      </c>
      <c r="C2229" s="82" t="str">
        <f>VLOOKUP($B$7:$B$5000,SUM!$L$6:$L$500,1,FALSE)</f>
        <v>#N/A</v>
      </c>
      <c r="D2229" s="171" t="s">
        <v>3896</v>
      </c>
      <c r="E2229" s="165" t="s">
        <v>58</v>
      </c>
      <c r="F2229" s="81" t="s">
        <v>2543</v>
      </c>
      <c r="G2229" s="125" t="s">
        <v>3897</v>
      </c>
      <c r="H2229" s="81" t="s">
        <v>3898</v>
      </c>
      <c r="I2229" s="149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88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1">
        <v>2224.0</v>
      </c>
      <c r="B2230" s="180" t="s">
        <v>3900</v>
      </c>
      <c r="C2230" s="82" t="str">
        <f>VLOOKUP($B$7:$B$5000,SUM!$L$6:$L$500,1,FALSE)</f>
        <v>#N/A</v>
      </c>
      <c r="D2230" s="171" t="s">
        <v>3896</v>
      </c>
      <c r="E2230" s="165" t="s">
        <v>58</v>
      </c>
      <c r="F2230" s="81" t="s">
        <v>2543</v>
      </c>
      <c r="G2230" s="125" t="s">
        <v>3897</v>
      </c>
      <c r="H2230" s="81" t="s">
        <v>3898</v>
      </c>
      <c r="I2230" s="149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88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1">
        <v>2225.0</v>
      </c>
      <c r="B2231" s="180" t="s">
        <v>3902</v>
      </c>
      <c r="C2231" s="82" t="str">
        <f>VLOOKUP($B$7:$B$5000,SUM!$L$6:$L$500,1,FALSE)</f>
        <v>#N/A</v>
      </c>
      <c r="D2231" s="171" t="s">
        <v>3896</v>
      </c>
      <c r="E2231" s="165" t="s">
        <v>58</v>
      </c>
      <c r="F2231" s="81" t="s">
        <v>2543</v>
      </c>
      <c r="G2231" s="125" t="s">
        <v>3903</v>
      </c>
      <c r="H2231" s="81" t="s">
        <v>3904</v>
      </c>
      <c r="I2231" s="149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88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1">
        <v>2226.0</v>
      </c>
      <c r="B2232" s="180" t="s">
        <v>3906</v>
      </c>
      <c r="C2232" s="82" t="str">
        <f>VLOOKUP($B$7:$B$5000,SUM!$L$6:$L$500,1,FALSE)</f>
        <v>#N/A</v>
      </c>
      <c r="D2232" s="171" t="s">
        <v>3896</v>
      </c>
      <c r="E2232" s="165" t="s">
        <v>58</v>
      </c>
      <c r="F2232" s="81" t="s">
        <v>2543</v>
      </c>
      <c r="G2232" s="125" t="s">
        <v>3903</v>
      </c>
      <c r="H2232" s="81" t="s">
        <v>3904</v>
      </c>
      <c r="I2232" s="149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88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1">
        <v>2227.0</v>
      </c>
      <c r="B2233" s="180" t="s">
        <v>3907</v>
      </c>
      <c r="C2233" s="82" t="str">
        <f>VLOOKUP($B$7:$B$5000,SUM!$L$6:$L$500,1,FALSE)</f>
        <v>#N/A</v>
      </c>
      <c r="D2233" s="171" t="s">
        <v>3896</v>
      </c>
      <c r="E2233" s="165" t="s">
        <v>58</v>
      </c>
      <c r="F2233" s="81" t="s">
        <v>2543</v>
      </c>
      <c r="G2233" s="125" t="s">
        <v>3903</v>
      </c>
      <c r="H2233" s="81" t="s">
        <v>3904</v>
      </c>
      <c r="I2233" s="149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88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1">
        <v>2228.0</v>
      </c>
      <c r="B2234" s="180" t="s">
        <v>3909</v>
      </c>
      <c r="C2234" s="82" t="str">
        <f>VLOOKUP($B$7:$B$5000,SUM!$L$6:$L$500,1,FALSE)</f>
        <v>#N/A</v>
      </c>
      <c r="D2234" s="171" t="s">
        <v>3910</v>
      </c>
      <c r="E2234" s="165" t="s">
        <v>58</v>
      </c>
      <c r="F2234" s="81" t="s">
        <v>105</v>
      </c>
      <c r="G2234" s="125" t="s">
        <v>3279</v>
      </c>
      <c r="H2234" s="81" t="s">
        <v>3911</v>
      </c>
      <c r="I2234" s="149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77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1">
        <v>2229.0</v>
      </c>
      <c r="B2235" s="180" t="s">
        <v>3913</v>
      </c>
      <c r="C2235" s="82" t="str">
        <f>VLOOKUP($B$7:$B$5000,SUM!$L$6:$L$500,1,FALSE)</f>
        <v>#N/A</v>
      </c>
      <c r="D2235" s="171" t="s">
        <v>3910</v>
      </c>
      <c r="E2235" s="165" t="s">
        <v>58</v>
      </c>
      <c r="F2235" s="81" t="s">
        <v>105</v>
      </c>
      <c r="G2235" s="125" t="s">
        <v>3279</v>
      </c>
      <c r="H2235" s="81" t="s">
        <v>3911</v>
      </c>
      <c r="I2235" s="149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77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1">
        <v>2230.0</v>
      </c>
      <c r="B2236" s="180" t="s">
        <v>3915</v>
      </c>
      <c r="C2236" s="82" t="str">
        <f>VLOOKUP($B$7:$B$5000,SUM!$L$6:$L$500,1,FALSE)</f>
        <v>#N/A</v>
      </c>
      <c r="D2236" s="171" t="s">
        <v>3910</v>
      </c>
      <c r="E2236" s="165" t="s">
        <v>58</v>
      </c>
      <c r="F2236" s="81" t="s">
        <v>105</v>
      </c>
      <c r="G2236" s="125" t="s">
        <v>3279</v>
      </c>
      <c r="H2236" s="81" t="s">
        <v>3911</v>
      </c>
      <c r="I2236" s="149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77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1">
        <v>2231.0</v>
      </c>
      <c r="B2237" s="180" t="s">
        <v>3917</v>
      </c>
      <c r="C2237" s="82" t="str">
        <f>VLOOKUP($B$7:$B$5000,SUM!$L$6:$L$500,1,FALSE)</f>
        <v>#N/A</v>
      </c>
      <c r="D2237" s="171" t="s">
        <v>3910</v>
      </c>
      <c r="E2237" s="165" t="s">
        <v>58</v>
      </c>
      <c r="F2237" s="81" t="s">
        <v>105</v>
      </c>
      <c r="G2237" s="125" t="s">
        <v>3279</v>
      </c>
      <c r="H2237" s="81" t="s">
        <v>3918</v>
      </c>
      <c r="I2237" s="149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77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1">
        <v>2232.0</v>
      </c>
      <c r="B2238" s="180" t="s">
        <v>3919</v>
      </c>
      <c r="C2238" s="82" t="str">
        <f>VLOOKUP($B$7:$B$5000,SUM!$L$6:$L$500,1,FALSE)</f>
        <v>#N/A</v>
      </c>
      <c r="D2238" s="171" t="s">
        <v>3910</v>
      </c>
      <c r="E2238" s="165" t="s">
        <v>58</v>
      </c>
      <c r="F2238" s="81" t="s">
        <v>105</v>
      </c>
      <c r="G2238" s="125" t="s">
        <v>3279</v>
      </c>
      <c r="H2238" s="81" t="s">
        <v>3918</v>
      </c>
      <c r="I2238" s="149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77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1">
        <v>2233.0</v>
      </c>
      <c r="B2239" s="180" t="s">
        <v>3920</v>
      </c>
      <c r="C2239" s="82" t="str">
        <f>VLOOKUP($B$7:$B$5000,SUM!$L$6:$L$500,1,FALSE)</f>
        <v>#N/A</v>
      </c>
      <c r="D2239" s="171" t="s">
        <v>3910</v>
      </c>
      <c r="E2239" s="165" t="s">
        <v>58</v>
      </c>
      <c r="F2239" s="81" t="s">
        <v>105</v>
      </c>
      <c r="G2239" s="125" t="s">
        <v>3279</v>
      </c>
      <c r="H2239" s="81" t="s">
        <v>3918</v>
      </c>
      <c r="I2239" s="149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77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1">
        <v>2234.0</v>
      </c>
      <c r="B2240" s="180" t="s">
        <v>3921</v>
      </c>
      <c r="C2240" s="82" t="str">
        <f>VLOOKUP($B$7:$B$5000,SUM!$L$6:$L$500,1,FALSE)</f>
        <v>#N/A</v>
      </c>
      <c r="D2240" s="171" t="s">
        <v>3910</v>
      </c>
      <c r="E2240" s="165" t="s">
        <v>58</v>
      </c>
      <c r="F2240" s="81" t="s">
        <v>105</v>
      </c>
      <c r="G2240" s="125" t="s">
        <v>3279</v>
      </c>
      <c r="H2240" s="81" t="s">
        <v>3922</v>
      </c>
      <c r="I2240" s="149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77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1">
        <v>2235.0</v>
      </c>
      <c r="B2241" s="180" t="s">
        <v>3923</v>
      </c>
      <c r="C2241" s="82" t="str">
        <f>VLOOKUP($B$7:$B$5000,SUM!$L$6:$L$500,1,FALSE)</f>
        <v>#N/A</v>
      </c>
      <c r="D2241" s="171" t="s">
        <v>3910</v>
      </c>
      <c r="E2241" s="165" t="s">
        <v>58</v>
      </c>
      <c r="F2241" s="81" t="s">
        <v>105</v>
      </c>
      <c r="G2241" s="125" t="s">
        <v>3279</v>
      </c>
      <c r="H2241" s="81" t="s">
        <v>3922</v>
      </c>
      <c r="I2241" s="149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77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1">
        <v>2236.0</v>
      </c>
      <c r="B2242" s="180" t="s">
        <v>3924</v>
      </c>
      <c r="C2242" s="82" t="str">
        <f>VLOOKUP($B$7:$B$5000,SUM!$L$6:$L$500,1,FALSE)</f>
        <v>#N/A</v>
      </c>
      <c r="D2242" s="171" t="s">
        <v>3910</v>
      </c>
      <c r="E2242" s="165" t="s">
        <v>58</v>
      </c>
      <c r="F2242" s="81" t="s">
        <v>105</v>
      </c>
      <c r="G2242" s="125" t="s">
        <v>3279</v>
      </c>
      <c r="H2242" s="81" t="s">
        <v>3922</v>
      </c>
      <c r="I2242" s="149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77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1">
        <v>2237.0</v>
      </c>
      <c r="B2243" s="180" t="s">
        <v>3925</v>
      </c>
      <c r="C2243" s="82" t="str">
        <f>VLOOKUP($B$7:$B$5000,SUM!$L$6:$L$500,1,FALSE)</f>
        <v>#N/A</v>
      </c>
      <c r="D2243" s="171" t="s">
        <v>3910</v>
      </c>
      <c r="E2243" s="165" t="s">
        <v>58</v>
      </c>
      <c r="F2243" s="81" t="s">
        <v>105</v>
      </c>
      <c r="G2243" s="125" t="s">
        <v>3279</v>
      </c>
      <c r="H2243" s="81" t="s">
        <v>3926</v>
      </c>
      <c r="I2243" s="149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77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1">
        <v>2238.0</v>
      </c>
      <c r="B2244" s="180" t="s">
        <v>3927</v>
      </c>
      <c r="C2244" s="82" t="str">
        <f>VLOOKUP($B$7:$B$5000,SUM!$L$6:$L$500,1,FALSE)</f>
        <v>#N/A</v>
      </c>
      <c r="D2244" s="171" t="s">
        <v>3910</v>
      </c>
      <c r="E2244" s="165" t="s">
        <v>58</v>
      </c>
      <c r="F2244" s="81" t="s">
        <v>105</v>
      </c>
      <c r="G2244" s="125" t="s">
        <v>3279</v>
      </c>
      <c r="H2244" s="81" t="s">
        <v>3926</v>
      </c>
      <c r="I2244" s="149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77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1">
        <v>2239.0</v>
      </c>
      <c r="B2245" s="180" t="s">
        <v>3928</v>
      </c>
      <c r="C2245" s="82" t="str">
        <f>VLOOKUP($B$7:$B$5000,SUM!$L$6:$L$500,1,FALSE)</f>
        <v>#N/A</v>
      </c>
      <c r="D2245" s="171" t="s">
        <v>3910</v>
      </c>
      <c r="E2245" s="165" t="s">
        <v>58</v>
      </c>
      <c r="F2245" s="81" t="s">
        <v>105</v>
      </c>
      <c r="G2245" s="125" t="s">
        <v>3279</v>
      </c>
      <c r="H2245" s="81" t="s">
        <v>3926</v>
      </c>
      <c r="I2245" s="149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77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1">
        <v>2240.0</v>
      </c>
      <c r="B2246" s="180" t="s">
        <v>3929</v>
      </c>
      <c r="C2246" s="82" t="str">
        <f>VLOOKUP($B$7:$B$5000,SUM!$L$6:$L$500,1,FALSE)</f>
        <v>#N/A</v>
      </c>
      <c r="D2246" s="171" t="s">
        <v>3910</v>
      </c>
      <c r="E2246" s="165" t="s">
        <v>58</v>
      </c>
      <c r="F2246" s="81" t="s">
        <v>105</v>
      </c>
      <c r="G2246" s="125" t="s">
        <v>3279</v>
      </c>
      <c r="H2246" s="81" t="s">
        <v>3930</v>
      </c>
      <c r="I2246" s="149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77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1">
        <v>2241.0</v>
      </c>
      <c r="B2247" s="180" t="s">
        <v>3931</v>
      </c>
      <c r="C2247" s="82" t="str">
        <f>VLOOKUP($B$7:$B$5000,SUM!$L$6:$L$500,1,FALSE)</f>
        <v>#N/A</v>
      </c>
      <c r="D2247" s="171" t="s">
        <v>3910</v>
      </c>
      <c r="E2247" s="165" t="s">
        <v>58</v>
      </c>
      <c r="F2247" s="81" t="s">
        <v>105</v>
      </c>
      <c r="G2247" s="125" t="s">
        <v>3279</v>
      </c>
      <c r="H2247" s="81" t="s">
        <v>3930</v>
      </c>
      <c r="I2247" s="149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77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1">
        <v>2242.0</v>
      </c>
      <c r="B2248" s="180" t="s">
        <v>3932</v>
      </c>
      <c r="C2248" s="82" t="str">
        <f>VLOOKUP($B$7:$B$5000,SUM!$L$6:$L$500,1,FALSE)</f>
        <v>#N/A</v>
      </c>
      <c r="D2248" s="171" t="s">
        <v>3910</v>
      </c>
      <c r="E2248" s="165" t="s">
        <v>58</v>
      </c>
      <c r="F2248" s="81" t="s">
        <v>105</v>
      </c>
      <c r="G2248" s="125" t="s">
        <v>3279</v>
      </c>
      <c r="H2248" s="81" t="s">
        <v>3930</v>
      </c>
      <c r="I2248" s="149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77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1">
        <v>2243.0</v>
      </c>
      <c r="B2249" s="180" t="s">
        <v>3933</v>
      </c>
      <c r="C2249" s="82" t="str">
        <f>VLOOKUP($B$7:$B$5000,SUM!$L$6:$L$500,1,FALSE)</f>
        <v>#N/A</v>
      </c>
      <c r="D2249" s="171" t="s">
        <v>3910</v>
      </c>
      <c r="E2249" s="165" t="s">
        <v>58</v>
      </c>
      <c r="F2249" s="81" t="s">
        <v>105</v>
      </c>
      <c r="G2249" s="125" t="s">
        <v>3279</v>
      </c>
      <c r="H2249" s="81" t="s">
        <v>3934</v>
      </c>
      <c r="I2249" s="149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77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1">
        <v>2244.0</v>
      </c>
      <c r="B2250" s="180" t="s">
        <v>3935</v>
      </c>
      <c r="C2250" s="82" t="str">
        <f>VLOOKUP($B$7:$B$5000,SUM!$L$6:$L$500,1,FALSE)</f>
        <v>#N/A</v>
      </c>
      <c r="D2250" s="171" t="s">
        <v>3910</v>
      </c>
      <c r="E2250" s="165" t="s">
        <v>58</v>
      </c>
      <c r="F2250" s="81" t="s">
        <v>105</v>
      </c>
      <c r="G2250" s="125" t="s">
        <v>3279</v>
      </c>
      <c r="H2250" s="81" t="s">
        <v>3934</v>
      </c>
      <c r="I2250" s="149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77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1">
        <v>2245.0</v>
      </c>
      <c r="B2251" s="180" t="s">
        <v>3936</v>
      </c>
      <c r="C2251" s="82" t="str">
        <f>VLOOKUP($B$7:$B$5000,SUM!$L$6:$L$500,1,FALSE)</f>
        <v>#N/A</v>
      </c>
      <c r="D2251" s="171" t="s">
        <v>3910</v>
      </c>
      <c r="E2251" s="165" t="s">
        <v>58</v>
      </c>
      <c r="F2251" s="81" t="s">
        <v>105</v>
      </c>
      <c r="G2251" s="125" t="s">
        <v>3279</v>
      </c>
      <c r="H2251" s="81" t="s">
        <v>3934</v>
      </c>
      <c r="I2251" s="149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77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1">
        <v>2246.0</v>
      </c>
      <c r="B2252" s="180" t="s">
        <v>3937</v>
      </c>
      <c r="C2252" s="82" t="str">
        <f>VLOOKUP($B$7:$B$5000,SUM!$L$6:$L$500,1,FALSE)</f>
        <v>#N/A</v>
      </c>
      <c r="D2252" s="171" t="s">
        <v>3910</v>
      </c>
      <c r="E2252" s="165" t="s">
        <v>58</v>
      </c>
      <c r="F2252" s="81" t="s">
        <v>105</v>
      </c>
      <c r="G2252" s="125" t="s">
        <v>3279</v>
      </c>
      <c r="H2252" s="81" t="s">
        <v>3938</v>
      </c>
      <c r="I2252" s="149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77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1">
        <v>2247.0</v>
      </c>
      <c r="B2253" s="180" t="s">
        <v>3939</v>
      </c>
      <c r="C2253" s="82" t="str">
        <f>VLOOKUP($B$7:$B$5000,SUM!$L$6:$L$500,1,FALSE)</f>
        <v>#N/A</v>
      </c>
      <c r="D2253" s="171" t="s">
        <v>3910</v>
      </c>
      <c r="E2253" s="165" t="s">
        <v>58</v>
      </c>
      <c r="F2253" s="81" t="s">
        <v>105</v>
      </c>
      <c r="G2253" s="125" t="s">
        <v>3279</v>
      </c>
      <c r="H2253" s="81" t="s">
        <v>3938</v>
      </c>
      <c r="I2253" s="149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77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1">
        <v>2248.0</v>
      </c>
      <c r="B2254" s="180" t="s">
        <v>3940</v>
      </c>
      <c r="C2254" s="82" t="str">
        <f>VLOOKUP($B$7:$B$5000,SUM!$L$6:$L$500,1,FALSE)</f>
        <v>#N/A</v>
      </c>
      <c r="D2254" s="171" t="s">
        <v>3910</v>
      </c>
      <c r="E2254" s="165" t="s">
        <v>58</v>
      </c>
      <c r="F2254" s="81" t="s">
        <v>105</v>
      </c>
      <c r="G2254" s="125" t="s">
        <v>3279</v>
      </c>
      <c r="H2254" s="81" t="s">
        <v>3938</v>
      </c>
      <c r="I2254" s="149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77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1">
        <v>2249.0</v>
      </c>
      <c r="B2255" s="180" t="s">
        <v>3941</v>
      </c>
      <c r="C2255" s="82" t="str">
        <f>VLOOKUP($B$7:$B$5000,SUM!$L$6:$L$500,1,FALSE)</f>
        <v>#N/A</v>
      </c>
      <c r="D2255" s="171" t="s">
        <v>3910</v>
      </c>
      <c r="E2255" s="165" t="s">
        <v>58</v>
      </c>
      <c r="F2255" s="81" t="s">
        <v>105</v>
      </c>
      <c r="G2255" s="125" t="s">
        <v>3279</v>
      </c>
      <c r="H2255" s="81" t="s">
        <v>3942</v>
      </c>
      <c r="I2255" s="149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77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1">
        <v>2250.0</v>
      </c>
      <c r="B2256" s="180" t="s">
        <v>3943</v>
      </c>
      <c r="C2256" s="82" t="str">
        <f>VLOOKUP($B$7:$B$5000,SUM!$L$6:$L$500,1,FALSE)</f>
        <v>#N/A</v>
      </c>
      <c r="D2256" s="171" t="s">
        <v>3910</v>
      </c>
      <c r="E2256" s="165" t="s">
        <v>58</v>
      </c>
      <c r="F2256" s="81" t="s">
        <v>105</v>
      </c>
      <c r="G2256" s="125" t="s">
        <v>3279</v>
      </c>
      <c r="H2256" s="81" t="s">
        <v>3942</v>
      </c>
      <c r="I2256" s="149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77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1">
        <v>2251.0</v>
      </c>
      <c r="B2257" s="180" t="s">
        <v>3944</v>
      </c>
      <c r="C2257" s="82" t="str">
        <f>VLOOKUP($B$7:$B$5000,SUM!$L$6:$L$500,1,FALSE)</f>
        <v>#N/A</v>
      </c>
      <c r="D2257" s="171" t="s">
        <v>3910</v>
      </c>
      <c r="E2257" s="165" t="s">
        <v>58</v>
      </c>
      <c r="F2257" s="81" t="s">
        <v>105</v>
      </c>
      <c r="G2257" s="125" t="s">
        <v>3279</v>
      </c>
      <c r="H2257" s="81" t="s">
        <v>3942</v>
      </c>
      <c r="I2257" s="149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77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1">
        <v>2252.0</v>
      </c>
      <c r="B2258" s="180" t="s">
        <v>3945</v>
      </c>
      <c r="C2258" s="82" t="str">
        <f>VLOOKUP($B$7:$B$5000,SUM!$L$6:$L$500,1,FALSE)</f>
        <v>#N/A</v>
      </c>
      <c r="D2258" s="171" t="s">
        <v>3910</v>
      </c>
      <c r="E2258" s="165" t="s">
        <v>58</v>
      </c>
      <c r="F2258" s="81" t="s">
        <v>105</v>
      </c>
      <c r="G2258" s="125" t="s">
        <v>3279</v>
      </c>
      <c r="H2258" s="81" t="s">
        <v>3946</v>
      </c>
      <c r="I2258" s="149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77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1">
        <v>2253.0</v>
      </c>
      <c r="B2259" s="180" t="s">
        <v>3947</v>
      </c>
      <c r="C2259" s="82" t="str">
        <f>VLOOKUP($B$7:$B$5000,SUM!$L$6:$L$500,1,FALSE)</f>
        <v>#N/A</v>
      </c>
      <c r="D2259" s="171" t="s">
        <v>3910</v>
      </c>
      <c r="E2259" s="165" t="s">
        <v>58</v>
      </c>
      <c r="F2259" s="81" t="s">
        <v>105</v>
      </c>
      <c r="G2259" s="125" t="s">
        <v>3279</v>
      </c>
      <c r="H2259" s="81" t="s">
        <v>3946</v>
      </c>
      <c r="I2259" s="149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77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1">
        <v>2254.0</v>
      </c>
      <c r="B2260" s="180" t="s">
        <v>3948</v>
      </c>
      <c r="C2260" s="82" t="str">
        <f>VLOOKUP($B$7:$B$5000,SUM!$L$6:$L$500,1,FALSE)</f>
        <v>#N/A</v>
      </c>
      <c r="D2260" s="171" t="s">
        <v>3910</v>
      </c>
      <c r="E2260" s="165" t="s">
        <v>58</v>
      </c>
      <c r="F2260" s="81" t="s">
        <v>105</v>
      </c>
      <c r="G2260" s="125" t="s">
        <v>3279</v>
      </c>
      <c r="H2260" s="81" t="s">
        <v>3946</v>
      </c>
      <c r="I2260" s="149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77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1">
        <v>2255.0</v>
      </c>
      <c r="B2261" s="180" t="s">
        <v>3949</v>
      </c>
      <c r="C2261" s="82" t="str">
        <f>VLOOKUP($B$7:$B$5000,SUM!$L$6:$L$500,1,FALSE)</f>
        <v>#N/A</v>
      </c>
      <c r="D2261" s="171" t="s">
        <v>3910</v>
      </c>
      <c r="E2261" s="165" t="s">
        <v>58</v>
      </c>
      <c r="F2261" s="81" t="s">
        <v>105</v>
      </c>
      <c r="G2261" s="125" t="s">
        <v>3279</v>
      </c>
      <c r="H2261" s="81" t="s">
        <v>3950</v>
      </c>
      <c r="I2261" s="149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77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1">
        <v>2256.0</v>
      </c>
      <c r="B2262" s="180" t="s">
        <v>3951</v>
      </c>
      <c r="C2262" s="82" t="str">
        <f>VLOOKUP($B$7:$B$5000,SUM!$L$6:$L$500,1,FALSE)</f>
        <v>#N/A</v>
      </c>
      <c r="D2262" s="171" t="s">
        <v>3910</v>
      </c>
      <c r="E2262" s="165" t="s">
        <v>58</v>
      </c>
      <c r="F2262" s="81" t="s">
        <v>105</v>
      </c>
      <c r="G2262" s="125" t="s">
        <v>3279</v>
      </c>
      <c r="H2262" s="81" t="s">
        <v>3950</v>
      </c>
      <c r="I2262" s="149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77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1">
        <v>2257.0</v>
      </c>
      <c r="B2263" s="180" t="s">
        <v>3952</v>
      </c>
      <c r="C2263" s="82" t="str">
        <f>VLOOKUP($B$7:$B$5000,SUM!$L$6:$L$500,1,FALSE)</f>
        <v>#N/A</v>
      </c>
      <c r="D2263" s="171" t="s">
        <v>3910</v>
      </c>
      <c r="E2263" s="165" t="s">
        <v>58</v>
      </c>
      <c r="F2263" s="81" t="s">
        <v>105</v>
      </c>
      <c r="G2263" s="125" t="s">
        <v>3279</v>
      </c>
      <c r="H2263" s="81" t="s">
        <v>3950</v>
      </c>
      <c r="I2263" s="149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77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1">
        <v>2258.0</v>
      </c>
      <c r="B2264" s="180" t="s">
        <v>3953</v>
      </c>
      <c r="C2264" s="82" t="str">
        <f>VLOOKUP($B$7:$B$5000,SUM!$L$6:$L$500,1,FALSE)</f>
        <v>#N/A</v>
      </c>
      <c r="D2264" s="171" t="s">
        <v>3910</v>
      </c>
      <c r="E2264" s="165" t="s">
        <v>58</v>
      </c>
      <c r="F2264" s="81" t="s">
        <v>105</v>
      </c>
      <c r="G2264" s="125" t="s">
        <v>3279</v>
      </c>
      <c r="H2264" s="81" t="s">
        <v>3954</v>
      </c>
      <c r="I2264" s="149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77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1">
        <v>2259.0</v>
      </c>
      <c r="B2265" s="180" t="s">
        <v>3955</v>
      </c>
      <c r="C2265" s="82" t="str">
        <f>VLOOKUP($B$7:$B$5000,SUM!$L$6:$L$500,1,FALSE)</f>
        <v>#N/A</v>
      </c>
      <c r="D2265" s="171" t="s">
        <v>3910</v>
      </c>
      <c r="E2265" s="165" t="s">
        <v>58</v>
      </c>
      <c r="F2265" s="81" t="s">
        <v>105</v>
      </c>
      <c r="G2265" s="125" t="s">
        <v>3279</v>
      </c>
      <c r="H2265" s="81" t="s">
        <v>3954</v>
      </c>
      <c r="I2265" s="149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77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1">
        <v>2260.0</v>
      </c>
      <c r="B2266" s="180" t="s">
        <v>3956</v>
      </c>
      <c r="C2266" s="82" t="str">
        <f>VLOOKUP($B$7:$B$5000,SUM!$L$6:$L$500,1,FALSE)</f>
        <v>#N/A</v>
      </c>
      <c r="D2266" s="171" t="s">
        <v>3910</v>
      </c>
      <c r="E2266" s="165" t="s">
        <v>58</v>
      </c>
      <c r="F2266" s="81" t="s">
        <v>105</v>
      </c>
      <c r="G2266" s="125" t="s">
        <v>3279</v>
      </c>
      <c r="H2266" s="81" t="s">
        <v>3954</v>
      </c>
      <c r="I2266" s="149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77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1">
        <v>2261.0</v>
      </c>
      <c r="B2267" s="180" t="s">
        <v>3957</v>
      </c>
      <c r="C2267" s="82" t="str">
        <f>VLOOKUP($B$7:$B$5000,SUM!$L$6:$L$500,1,FALSE)</f>
        <v>#N/A</v>
      </c>
      <c r="D2267" s="171" t="s">
        <v>3910</v>
      </c>
      <c r="E2267" s="165" t="s">
        <v>58</v>
      </c>
      <c r="F2267" s="81" t="s">
        <v>105</v>
      </c>
      <c r="G2267" s="125" t="s">
        <v>3958</v>
      </c>
      <c r="H2267" s="81" t="s">
        <v>3959</v>
      </c>
      <c r="I2267" s="149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77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31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1">
        <v>2262.0</v>
      </c>
      <c r="B2268" s="180" t="s">
        <v>3961</v>
      </c>
      <c r="C2268" s="82" t="str">
        <f>VLOOKUP($B$7:$B$5000,SUM!$L$6:$L$500,1,FALSE)</f>
        <v>#N/A</v>
      </c>
      <c r="D2268" s="171" t="s">
        <v>3910</v>
      </c>
      <c r="E2268" s="165" t="s">
        <v>58</v>
      </c>
      <c r="F2268" s="81" t="s">
        <v>105</v>
      </c>
      <c r="G2268" s="125" t="s">
        <v>3958</v>
      </c>
      <c r="H2268" s="81" t="s">
        <v>3959</v>
      </c>
      <c r="I2268" s="149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77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1">
        <v>2263.0</v>
      </c>
      <c r="B2269" s="180" t="s">
        <v>3962</v>
      </c>
      <c r="C2269" s="82" t="str">
        <f>VLOOKUP($B$7:$B$5000,SUM!$L$6:$L$500,1,FALSE)</f>
        <v>#N/A</v>
      </c>
      <c r="D2269" s="171" t="s">
        <v>3910</v>
      </c>
      <c r="E2269" s="165" t="s">
        <v>58</v>
      </c>
      <c r="F2269" s="81" t="s">
        <v>105</v>
      </c>
      <c r="G2269" s="125" t="s">
        <v>3958</v>
      </c>
      <c r="H2269" s="81" t="s">
        <v>3959</v>
      </c>
      <c r="I2269" s="149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77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1">
        <v>2264.0</v>
      </c>
      <c r="B2270" s="180" t="s">
        <v>3964</v>
      </c>
      <c r="C2270" s="82" t="str">
        <f>VLOOKUP($B$7:$B$5000,SUM!$L$6:$L$500,1,FALSE)</f>
        <v>#N/A</v>
      </c>
      <c r="D2270" s="171" t="s">
        <v>3910</v>
      </c>
      <c r="E2270" s="165" t="s">
        <v>58</v>
      </c>
      <c r="F2270" s="81" t="s">
        <v>105</v>
      </c>
      <c r="G2270" s="125" t="s">
        <v>3958</v>
      </c>
      <c r="H2270" s="81" t="s">
        <v>3959</v>
      </c>
      <c r="I2270" s="149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77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1">
        <v>2265.0</v>
      </c>
      <c r="B2271" s="180" t="s">
        <v>3966</v>
      </c>
      <c r="C2271" s="82" t="str">
        <f>VLOOKUP($B$7:$B$5000,SUM!$L$6:$L$500,1,FALSE)</f>
        <v>#N/A</v>
      </c>
      <c r="D2271" s="171" t="s">
        <v>3910</v>
      </c>
      <c r="E2271" s="165" t="s">
        <v>58</v>
      </c>
      <c r="F2271" s="81" t="s">
        <v>105</v>
      </c>
      <c r="G2271" s="125" t="s">
        <v>3967</v>
      </c>
      <c r="H2271" s="81" t="s">
        <v>3968</v>
      </c>
      <c r="I2271" s="149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77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1">
        <v>2266.0</v>
      </c>
      <c r="B2272" s="180" t="s">
        <v>3970</v>
      </c>
      <c r="C2272" s="82" t="str">
        <f>VLOOKUP($B$7:$B$5000,SUM!$L$6:$L$500,1,FALSE)</f>
        <v>#N/A</v>
      </c>
      <c r="D2272" s="171" t="s">
        <v>3910</v>
      </c>
      <c r="E2272" s="165" t="s">
        <v>58</v>
      </c>
      <c r="F2272" s="81" t="s">
        <v>105</v>
      </c>
      <c r="G2272" s="125" t="s">
        <v>3967</v>
      </c>
      <c r="H2272" s="81" t="s">
        <v>3968</v>
      </c>
      <c r="I2272" s="149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77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1">
        <v>2267.0</v>
      </c>
      <c r="B2273" s="180" t="s">
        <v>3971</v>
      </c>
      <c r="C2273" s="82" t="str">
        <f>VLOOKUP($B$7:$B$5000,SUM!$L$6:$L$500,1,FALSE)</f>
        <v>#N/A</v>
      </c>
      <c r="D2273" s="171" t="s">
        <v>3910</v>
      </c>
      <c r="E2273" s="165" t="s">
        <v>58</v>
      </c>
      <c r="F2273" s="81" t="s">
        <v>105</v>
      </c>
      <c r="G2273" s="125" t="s">
        <v>3967</v>
      </c>
      <c r="H2273" s="81" t="s">
        <v>3968</v>
      </c>
      <c r="I2273" s="149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77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1">
        <v>2268.0</v>
      </c>
      <c r="B2274" s="180" t="s">
        <v>3973</v>
      </c>
      <c r="C2274" s="82" t="str">
        <f>VLOOKUP($B$7:$B$5000,SUM!$L$6:$L$500,1,FALSE)</f>
        <v>#N/A</v>
      </c>
      <c r="D2274" s="171" t="s">
        <v>3910</v>
      </c>
      <c r="E2274" s="165" t="s">
        <v>58</v>
      </c>
      <c r="F2274" s="81" t="s">
        <v>105</v>
      </c>
      <c r="G2274" s="125" t="s">
        <v>3967</v>
      </c>
      <c r="H2274" s="81" t="s">
        <v>3968</v>
      </c>
      <c r="I2274" s="149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77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1">
        <v>2269.0</v>
      </c>
      <c r="B2275" s="180" t="s">
        <v>3975</v>
      </c>
      <c r="C2275" s="82" t="str">
        <f>VLOOKUP($B$7:$B$5000,SUM!$L$6:$L$500,1,FALSE)</f>
        <v>#N/A</v>
      </c>
      <c r="D2275" s="171" t="s">
        <v>3910</v>
      </c>
      <c r="E2275" s="165" t="s">
        <v>58</v>
      </c>
      <c r="F2275" s="81" t="s">
        <v>105</v>
      </c>
      <c r="G2275" s="125" t="s">
        <v>1362</v>
      </c>
      <c r="H2275" s="81" t="s">
        <v>3976</v>
      </c>
      <c r="I2275" s="149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77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31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1">
        <v>2270.0</v>
      </c>
      <c r="B2276" s="180" t="s">
        <v>3978</v>
      </c>
      <c r="C2276" s="82" t="str">
        <f>VLOOKUP($B$7:$B$5000,SUM!$L$6:$L$500,1,FALSE)</f>
        <v>#N/A</v>
      </c>
      <c r="D2276" s="171" t="s">
        <v>3910</v>
      </c>
      <c r="E2276" s="165" t="s">
        <v>58</v>
      </c>
      <c r="F2276" s="81" t="s">
        <v>105</v>
      </c>
      <c r="G2276" s="125" t="s">
        <v>1362</v>
      </c>
      <c r="H2276" s="81" t="s">
        <v>3976</v>
      </c>
      <c r="I2276" s="149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77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1">
        <v>2271.0</v>
      </c>
      <c r="B2277" s="180" t="s">
        <v>3979</v>
      </c>
      <c r="C2277" s="82" t="str">
        <f>VLOOKUP($B$7:$B$5000,SUM!$L$6:$L$500,1,FALSE)</f>
        <v>#N/A</v>
      </c>
      <c r="D2277" s="171" t="s">
        <v>3910</v>
      </c>
      <c r="E2277" s="165" t="s">
        <v>58</v>
      </c>
      <c r="F2277" s="81" t="s">
        <v>105</v>
      </c>
      <c r="G2277" s="125" t="s">
        <v>1362</v>
      </c>
      <c r="H2277" s="81" t="s">
        <v>3976</v>
      </c>
      <c r="I2277" s="149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77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1">
        <v>2272.0</v>
      </c>
      <c r="B2278" s="180" t="s">
        <v>3981</v>
      </c>
      <c r="C2278" s="82" t="str">
        <f>VLOOKUP($B$7:$B$5000,SUM!$L$6:$L$500,1,FALSE)</f>
        <v>#N/A</v>
      </c>
      <c r="D2278" s="171" t="s">
        <v>3910</v>
      </c>
      <c r="E2278" s="165" t="s">
        <v>58</v>
      </c>
      <c r="F2278" s="81" t="s">
        <v>105</v>
      </c>
      <c r="G2278" s="125" t="s">
        <v>1362</v>
      </c>
      <c r="H2278" s="81" t="s">
        <v>3976</v>
      </c>
      <c r="I2278" s="149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77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1">
        <v>2273.0</v>
      </c>
      <c r="B2279" s="180" t="s">
        <v>3983</v>
      </c>
      <c r="C2279" s="82" t="str">
        <f>VLOOKUP($B$7:$B$5000,SUM!$L$6:$L$500,1,FALSE)</f>
        <v>#N/A</v>
      </c>
      <c r="D2279" s="171" t="s">
        <v>3910</v>
      </c>
      <c r="E2279" s="165" t="s">
        <v>58</v>
      </c>
      <c r="F2279" s="81" t="s">
        <v>105</v>
      </c>
      <c r="G2279" s="125" t="s">
        <v>3967</v>
      </c>
      <c r="H2279" s="81" t="s">
        <v>3984</v>
      </c>
      <c r="I2279" s="149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77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1">
        <v>2274.0</v>
      </c>
      <c r="B2280" s="180" t="s">
        <v>3985</v>
      </c>
      <c r="C2280" s="82" t="str">
        <f>VLOOKUP($B$7:$B$5000,SUM!$L$6:$L$500,1,FALSE)</f>
        <v>#N/A</v>
      </c>
      <c r="D2280" s="171" t="s">
        <v>3910</v>
      </c>
      <c r="E2280" s="165" t="s">
        <v>58</v>
      </c>
      <c r="F2280" s="81" t="s">
        <v>105</v>
      </c>
      <c r="G2280" s="125" t="s">
        <v>3967</v>
      </c>
      <c r="H2280" s="81" t="s">
        <v>3984</v>
      </c>
      <c r="I2280" s="149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77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1">
        <v>2275.0</v>
      </c>
      <c r="B2281" s="180" t="s">
        <v>3986</v>
      </c>
      <c r="C2281" s="82" t="str">
        <f>VLOOKUP($B$7:$B$5000,SUM!$L$6:$L$500,1,FALSE)</f>
        <v>#N/A</v>
      </c>
      <c r="D2281" s="171" t="s">
        <v>3910</v>
      </c>
      <c r="E2281" s="165" t="s">
        <v>58</v>
      </c>
      <c r="F2281" s="81" t="s">
        <v>105</v>
      </c>
      <c r="G2281" s="125" t="s">
        <v>3967</v>
      </c>
      <c r="H2281" s="81" t="s">
        <v>3984</v>
      </c>
      <c r="I2281" s="149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77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1">
        <v>2276.0</v>
      </c>
      <c r="B2282" s="180" t="s">
        <v>3988</v>
      </c>
      <c r="C2282" s="82" t="str">
        <f>VLOOKUP($B$7:$B$5000,SUM!$L$6:$L$500,1,FALSE)</f>
        <v>#N/A</v>
      </c>
      <c r="D2282" s="171" t="s">
        <v>3910</v>
      </c>
      <c r="E2282" s="165" t="s">
        <v>58</v>
      </c>
      <c r="F2282" s="81" t="s">
        <v>105</v>
      </c>
      <c r="G2282" s="125" t="s">
        <v>3967</v>
      </c>
      <c r="H2282" s="81" t="s">
        <v>3984</v>
      </c>
      <c r="I2282" s="149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77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1">
        <v>2277.0</v>
      </c>
      <c r="B2283" s="180" t="s">
        <v>3990</v>
      </c>
      <c r="C2283" s="82" t="str">
        <f>VLOOKUP($B$7:$B$5000,SUM!$L$6:$L$500,1,FALSE)</f>
        <v>#N/A</v>
      </c>
      <c r="D2283" s="171" t="s">
        <v>3910</v>
      </c>
      <c r="E2283" s="165" t="s">
        <v>58</v>
      </c>
      <c r="F2283" s="81" t="s">
        <v>105</v>
      </c>
      <c r="G2283" s="125" t="s">
        <v>3967</v>
      </c>
      <c r="H2283" s="81" t="s">
        <v>3991</v>
      </c>
      <c r="I2283" s="149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77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1">
        <v>2278.0</v>
      </c>
      <c r="B2284" s="180" t="s">
        <v>3992</v>
      </c>
      <c r="C2284" s="82" t="str">
        <f>VLOOKUP($B$7:$B$5000,SUM!$L$6:$L$500,1,FALSE)</f>
        <v>#N/A</v>
      </c>
      <c r="D2284" s="171" t="s">
        <v>3910</v>
      </c>
      <c r="E2284" s="165" t="s">
        <v>58</v>
      </c>
      <c r="F2284" s="81" t="s">
        <v>105</v>
      </c>
      <c r="G2284" s="125" t="s">
        <v>3967</v>
      </c>
      <c r="H2284" s="81" t="s">
        <v>3991</v>
      </c>
      <c r="I2284" s="149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77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1">
        <v>2279.0</v>
      </c>
      <c r="B2285" s="180" t="s">
        <v>3993</v>
      </c>
      <c r="C2285" s="82" t="str">
        <f>VLOOKUP($B$7:$B$5000,SUM!$L$6:$L$500,1,FALSE)</f>
        <v>#N/A</v>
      </c>
      <c r="D2285" s="171" t="s">
        <v>3910</v>
      </c>
      <c r="E2285" s="165" t="s">
        <v>58</v>
      </c>
      <c r="F2285" s="81" t="s">
        <v>105</v>
      </c>
      <c r="G2285" s="125" t="s">
        <v>3967</v>
      </c>
      <c r="H2285" s="81" t="s">
        <v>3991</v>
      </c>
      <c r="I2285" s="149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77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1">
        <v>2280.0</v>
      </c>
      <c r="B2286" s="180" t="s">
        <v>3994</v>
      </c>
      <c r="C2286" s="82" t="str">
        <f>VLOOKUP($B$7:$B$5000,SUM!$L$6:$L$500,1,FALSE)</f>
        <v>#N/A</v>
      </c>
      <c r="D2286" s="171" t="s">
        <v>3910</v>
      </c>
      <c r="E2286" s="165" t="s">
        <v>58</v>
      </c>
      <c r="F2286" s="81" t="s">
        <v>105</v>
      </c>
      <c r="G2286" s="125" t="s">
        <v>3967</v>
      </c>
      <c r="H2286" s="81" t="s">
        <v>3991</v>
      </c>
      <c r="I2286" s="149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77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1">
        <v>2281.0</v>
      </c>
      <c r="B2287" s="180" t="s">
        <v>3995</v>
      </c>
      <c r="C2287" s="82" t="str">
        <f>VLOOKUP($B$7:$B$5000,SUM!$L$6:$L$500,1,FALSE)</f>
        <v>#N/A</v>
      </c>
      <c r="D2287" s="171" t="s">
        <v>3910</v>
      </c>
      <c r="E2287" s="165" t="s">
        <v>58</v>
      </c>
      <c r="F2287" s="81" t="s">
        <v>105</v>
      </c>
      <c r="G2287" s="125" t="s">
        <v>3967</v>
      </c>
      <c r="H2287" s="81" t="s">
        <v>3996</v>
      </c>
      <c r="I2287" s="149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77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1">
        <v>2282.0</v>
      </c>
      <c r="B2288" s="180" t="s">
        <v>3997</v>
      </c>
      <c r="C2288" s="82" t="str">
        <f>VLOOKUP($B$7:$B$5000,SUM!$L$6:$L$500,1,FALSE)</f>
        <v>#N/A</v>
      </c>
      <c r="D2288" s="171" t="s">
        <v>3910</v>
      </c>
      <c r="E2288" s="165" t="s">
        <v>58</v>
      </c>
      <c r="F2288" s="81" t="s">
        <v>105</v>
      </c>
      <c r="G2288" s="125" t="s">
        <v>3967</v>
      </c>
      <c r="H2288" s="81" t="s">
        <v>3996</v>
      </c>
      <c r="I2288" s="149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77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1">
        <v>2283.0</v>
      </c>
      <c r="B2289" s="180" t="s">
        <v>3998</v>
      </c>
      <c r="C2289" s="82" t="str">
        <f>VLOOKUP($B$7:$B$5000,SUM!$L$6:$L$500,1,FALSE)</f>
        <v>#N/A</v>
      </c>
      <c r="D2289" s="171" t="s">
        <v>3910</v>
      </c>
      <c r="E2289" s="165" t="s">
        <v>58</v>
      </c>
      <c r="F2289" s="81" t="s">
        <v>105</v>
      </c>
      <c r="G2289" s="125" t="s">
        <v>3967</v>
      </c>
      <c r="H2289" s="81" t="s">
        <v>3996</v>
      </c>
      <c r="I2289" s="149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77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1">
        <v>2284.0</v>
      </c>
      <c r="B2290" s="180" t="s">
        <v>4000</v>
      </c>
      <c r="C2290" s="82" t="str">
        <f>VLOOKUP($B$7:$B$5000,SUM!$L$6:$L$500,1,FALSE)</f>
        <v>#N/A</v>
      </c>
      <c r="D2290" s="171" t="s">
        <v>3910</v>
      </c>
      <c r="E2290" s="165" t="s">
        <v>58</v>
      </c>
      <c r="F2290" s="81" t="s">
        <v>105</v>
      </c>
      <c r="G2290" s="125" t="s">
        <v>3967</v>
      </c>
      <c r="H2290" s="81" t="s">
        <v>3996</v>
      </c>
      <c r="I2290" s="149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77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1">
        <v>2285.0</v>
      </c>
      <c r="B2291" s="180" t="s">
        <v>4002</v>
      </c>
      <c r="C2291" s="82" t="str">
        <f>VLOOKUP($B$7:$B$5000,SUM!$L$6:$L$500,1,FALSE)</f>
        <v>#N/A</v>
      </c>
      <c r="D2291" s="171" t="s">
        <v>3910</v>
      </c>
      <c r="E2291" s="165" t="s">
        <v>58</v>
      </c>
      <c r="F2291" s="81" t="s">
        <v>105</v>
      </c>
      <c r="G2291" s="125" t="s">
        <v>3967</v>
      </c>
      <c r="H2291" s="81" t="s">
        <v>4003</v>
      </c>
      <c r="I2291" s="149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77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1">
        <v>2286.0</v>
      </c>
      <c r="B2292" s="180" t="s">
        <v>4004</v>
      </c>
      <c r="C2292" s="82" t="str">
        <f>VLOOKUP($B$7:$B$5000,SUM!$L$6:$L$500,1,FALSE)</f>
        <v>#N/A</v>
      </c>
      <c r="D2292" s="171" t="s">
        <v>3910</v>
      </c>
      <c r="E2292" s="165" t="s">
        <v>58</v>
      </c>
      <c r="F2292" s="81" t="s">
        <v>105</v>
      </c>
      <c r="G2292" s="125" t="s">
        <v>3967</v>
      </c>
      <c r="H2292" s="81" t="s">
        <v>4003</v>
      </c>
      <c r="I2292" s="149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77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1">
        <v>2287.0</v>
      </c>
      <c r="B2293" s="180" t="s">
        <v>4005</v>
      </c>
      <c r="C2293" s="82" t="str">
        <f>VLOOKUP($B$7:$B$5000,SUM!$L$6:$L$500,1,FALSE)</f>
        <v>#N/A</v>
      </c>
      <c r="D2293" s="171" t="s">
        <v>3910</v>
      </c>
      <c r="E2293" s="165" t="s">
        <v>58</v>
      </c>
      <c r="F2293" s="81" t="s">
        <v>105</v>
      </c>
      <c r="G2293" s="125" t="s">
        <v>3967</v>
      </c>
      <c r="H2293" s="81" t="s">
        <v>4003</v>
      </c>
      <c r="I2293" s="149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77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1">
        <v>2288.0</v>
      </c>
      <c r="B2294" s="180" t="s">
        <v>4006</v>
      </c>
      <c r="C2294" s="82" t="str">
        <f>VLOOKUP($B$7:$B$5000,SUM!$L$6:$L$500,1,FALSE)</f>
        <v>#N/A</v>
      </c>
      <c r="D2294" s="171" t="s">
        <v>3910</v>
      </c>
      <c r="E2294" s="165" t="s">
        <v>58</v>
      </c>
      <c r="F2294" s="81" t="s">
        <v>105</v>
      </c>
      <c r="G2294" s="125" t="s">
        <v>3967</v>
      </c>
      <c r="H2294" s="81" t="s">
        <v>4003</v>
      </c>
      <c r="I2294" s="149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77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1">
        <v>2289.0</v>
      </c>
      <c r="B2295" s="180" t="s">
        <v>4007</v>
      </c>
      <c r="C2295" s="82" t="str">
        <f>VLOOKUP($B$7:$B$5000,SUM!$L$6:$L$500,1,FALSE)</f>
        <v>#N/A</v>
      </c>
      <c r="D2295" s="171" t="s">
        <v>3910</v>
      </c>
      <c r="E2295" s="165" t="s">
        <v>58</v>
      </c>
      <c r="F2295" s="81" t="s">
        <v>105</v>
      </c>
      <c r="G2295" s="125" t="s">
        <v>3967</v>
      </c>
      <c r="H2295" s="81" t="s">
        <v>4008</v>
      </c>
      <c r="I2295" s="149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77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1">
        <v>2290.0</v>
      </c>
      <c r="B2296" s="180" t="s">
        <v>4009</v>
      </c>
      <c r="C2296" s="82" t="str">
        <f>VLOOKUP($B$7:$B$5000,SUM!$L$6:$L$500,1,FALSE)</f>
        <v>#N/A</v>
      </c>
      <c r="D2296" s="171" t="s">
        <v>3910</v>
      </c>
      <c r="E2296" s="165" t="s">
        <v>58</v>
      </c>
      <c r="F2296" s="81" t="s">
        <v>105</v>
      </c>
      <c r="G2296" s="125" t="s">
        <v>3967</v>
      </c>
      <c r="H2296" s="81" t="s">
        <v>4008</v>
      </c>
      <c r="I2296" s="149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77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1">
        <v>2291.0</v>
      </c>
      <c r="B2297" s="180" t="s">
        <v>4010</v>
      </c>
      <c r="C2297" s="82" t="str">
        <f>VLOOKUP($B$7:$B$5000,SUM!$L$6:$L$500,1,FALSE)</f>
        <v>#N/A</v>
      </c>
      <c r="D2297" s="171" t="s">
        <v>3910</v>
      </c>
      <c r="E2297" s="165" t="s">
        <v>58</v>
      </c>
      <c r="F2297" s="81" t="s">
        <v>105</v>
      </c>
      <c r="G2297" s="125" t="s">
        <v>3967</v>
      </c>
      <c r="H2297" s="81" t="s">
        <v>4008</v>
      </c>
      <c r="I2297" s="149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77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1">
        <v>2292.0</v>
      </c>
      <c r="B2298" s="180" t="s">
        <v>4011</v>
      </c>
      <c r="C2298" s="82" t="str">
        <f>VLOOKUP($B$7:$B$5000,SUM!$L$6:$L$500,1,FALSE)</f>
        <v>#N/A</v>
      </c>
      <c r="D2298" s="171" t="s">
        <v>3910</v>
      </c>
      <c r="E2298" s="165" t="s">
        <v>58</v>
      </c>
      <c r="F2298" s="81" t="s">
        <v>105</v>
      </c>
      <c r="G2298" s="125" t="s">
        <v>3967</v>
      </c>
      <c r="H2298" s="81" t="s">
        <v>4008</v>
      </c>
      <c r="I2298" s="149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77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1">
        <v>2293.0</v>
      </c>
      <c r="B2299" s="180" t="s">
        <v>4012</v>
      </c>
      <c r="C2299" s="82" t="str">
        <f>VLOOKUP($B$7:$B$5000,SUM!$L$6:$L$500,1,FALSE)</f>
        <v>#N/A</v>
      </c>
      <c r="D2299" s="171" t="s">
        <v>4013</v>
      </c>
      <c r="E2299" s="165" t="s">
        <v>58</v>
      </c>
      <c r="F2299" s="81" t="s">
        <v>105</v>
      </c>
      <c r="G2299" s="125" t="s">
        <v>1319</v>
      </c>
      <c r="H2299" s="81" t="s">
        <v>4014</v>
      </c>
      <c r="I2299" s="149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77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1">
        <v>2294.0</v>
      </c>
      <c r="B2300" s="180" t="s">
        <v>4016</v>
      </c>
      <c r="C2300" s="82" t="str">
        <f>VLOOKUP($B$7:$B$5000,SUM!$L$6:$L$500,1,FALSE)</f>
        <v>#N/A</v>
      </c>
      <c r="D2300" s="171" t="s">
        <v>4013</v>
      </c>
      <c r="E2300" s="165" t="s">
        <v>58</v>
      </c>
      <c r="F2300" s="81" t="s">
        <v>105</v>
      </c>
      <c r="G2300" s="125" t="s">
        <v>1319</v>
      </c>
      <c r="H2300" s="81" t="s">
        <v>4014</v>
      </c>
      <c r="I2300" s="149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77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1">
        <v>2295.0</v>
      </c>
      <c r="B2301" s="180" t="s">
        <v>4018</v>
      </c>
      <c r="C2301" s="82" t="str">
        <f>VLOOKUP($B$7:$B$5000,SUM!$L$6:$L$500,1,FALSE)</f>
        <v>#N/A</v>
      </c>
      <c r="D2301" s="171" t="s">
        <v>4013</v>
      </c>
      <c r="E2301" s="165" t="s">
        <v>58</v>
      </c>
      <c r="F2301" s="81" t="s">
        <v>105</v>
      </c>
      <c r="G2301" s="125" t="s">
        <v>1319</v>
      </c>
      <c r="H2301" s="81" t="s">
        <v>4014</v>
      </c>
      <c r="I2301" s="149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77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1">
        <v>2296.0</v>
      </c>
      <c r="B2302" s="180" t="s">
        <v>4020</v>
      </c>
      <c r="C2302" s="82" t="str">
        <f>VLOOKUP($B$7:$B$5000,SUM!$L$6:$L$500,1,FALSE)</f>
        <v>#N/A</v>
      </c>
      <c r="D2302" s="171" t="s">
        <v>4013</v>
      </c>
      <c r="E2302" s="165" t="s">
        <v>58</v>
      </c>
      <c r="F2302" s="81" t="s">
        <v>105</v>
      </c>
      <c r="G2302" s="125" t="s">
        <v>4021</v>
      </c>
      <c r="H2302" s="81" t="s">
        <v>4022</v>
      </c>
      <c r="I2302" s="149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77">
        <v>46157.0</v>
      </c>
      <c r="O2302" s="103" t="s">
        <v>67</v>
      </c>
      <c r="P2302" s="103" t="s">
        <v>68</v>
      </c>
      <c r="Q2302" s="154" t="s">
        <v>2132</v>
      </c>
      <c r="R2302" s="154" t="s">
        <v>66</v>
      </c>
      <c r="S2302" s="173">
        <v>46189.0</v>
      </c>
      <c r="T2302" s="156"/>
      <c r="U2302" s="154" t="s">
        <v>31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1">
        <v>2297.0</v>
      </c>
      <c r="B2303" s="180" t="s">
        <v>4024</v>
      </c>
      <c r="C2303" s="82" t="str">
        <f>VLOOKUP($B$7:$B$5000,SUM!$L$6:$L$500,1,FALSE)</f>
        <v>#N/A</v>
      </c>
      <c r="D2303" s="171" t="s">
        <v>4013</v>
      </c>
      <c r="E2303" s="165" t="s">
        <v>58</v>
      </c>
      <c r="F2303" s="81" t="s">
        <v>105</v>
      </c>
      <c r="G2303" s="125" t="s">
        <v>4021</v>
      </c>
      <c r="H2303" s="81" t="s">
        <v>4022</v>
      </c>
      <c r="I2303" s="149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77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1">
        <v>2298.0</v>
      </c>
      <c r="B2304" s="180" t="s">
        <v>4026</v>
      </c>
      <c r="C2304" s="82" t="str">
        <f>VLOOKUP($B$7:$B$5000,SUM!$L$6:$L$500,1,FALSE)</f>
        <v>#N/A</v>
      </c>
      <c r="D2304" s="171" t="s">
        <v>4013</v>
      </c>
      <c r="E2304" s="165" t="s">
        <v>58</v>
      </c>
      <c r="F2304" s="81" t="s">
        <v>105</v>
      </c>
      <c r="G2304" s="125" t="s">
        <v>4021</v>
      </c>
      <c r="H2304" s="81" t="s">
        <v>4022</v>
      </c>
      <c r="I2304" s="149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77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1">
        <v>2299.0</v>
      </c>
      <c r="B2305" s="180" t="s">
        <v>4028</v>
      </c>
      <c r="C2305" s="82" t="str">
        <f>VLOOKUP($B$7:$B$5000,SUM!$L$6:$L$500,1,FALSE)</f>
        <v>#N/A</v>
      </c>
      <c r="D2305" s="171" t="s">
        <v>4013</v>
      </c>
      <c r="E2305" s="165" t="s">
        <v>58</v>
      </c>
      <c r="F2305" s="81" t="s">
        <v>105</v>
      </c>
      <c r="G2305" s="125" t="s">
        <v>4021</v>
      </c>
      <c r="H2305" s="81" t="s">
        <v>4022</v>
      </c>
      <c r="I2305" s="149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77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1">
        <v>2300.0</v>
      </c>
      <c r="B2306" s="180" t="s">
        <v>4030</v>
      </c>
      <c r="C2306" s="82" t="str">
        <f>VLOOKUP($B$7:$B$5000,SUM!$L$6:$L$500,1,FALSE)</f>
        <v>#N/A</v>
      </c>
      <c r="D2306" s="171" t="s">
        <v>4013</v>
      </c>
      <c r="E2306" s="165" t="s">
        <v>58</v>
      </c>
      <c r="F2306" s="81" t="s">
        <v>105</v>
      </c>
      <c r="G2306" s="125" t="s">
        <v>4021</v>
      </c>
      <c r="H2306" s="81" t="s">
        <v>4031</v>
      </c>
      <c r="I2306" s="149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77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1">
        <v>2301.0</v>
      </c>
      <c r="B2307" s="180" t="s">
        <v>4032</v>
      </c>
      <c r="C2307" s="82" t="str">
        <f>VLOOKUP($B$7:$B$5000,SUM!$L$6:$L$500,1,FALSE)</f>
        <v>#N/A</v>
      </c>
      <c r="D2307" s="171" t="s">
        <v>4013</v>
      </c>
      <c r="E2307" s="165" t="s">
        <v>58</v>
      </c>
      <c r="F2307" s="81" t="s">
        <v>105</v>
      </c>
      <c r="G2307" s="125" t="s">
        <v>4021</v>
      </c>
      <c r="H2307" s="81" t="s">
        <v>4031</v>
      </c>
      <c r="I2307" s="149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77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1">
        <v>2302.0</v>
      </c>
      <c r="B2308" s="180" t="s">
        <v>4033</v>
      </c>
      <c r="C2308" s="82" t="str">
        <f>VLOOKUP($B$7:$B$5000,SUM!$L$6:$L$500,1,FALSE)</f>
        <v>#N/A</v>
      </c>
      <c r="D2308" s="171" t="s">
        <v>4013</v>
      </c>
      <c r="E2308" s="165" t="s">
        <v>58</v>
      </c>
      <c r="F2308" s="81" t="s">
        <v>105</v>
      </c>
      <c r="G2308" s="125" t="s">
        <v>4021</v>
      </c>
      <c r="H2308" s="81" t="s">
        <v>4031</v>
      </c>
      <c r="I2308" s="149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77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1">
        <v>2303.0</v>
      </c>
      <c r="B2309" s="180" t="s">
        <v>4034</v>
      </c>
      <c r="C2309" s="82" t="str">
        <f>VLOOKUP($B$7:$B$5000,SUM!$L$6:$L$500,1,FALSE)</f>
        <v>#N/A</v>
      </c>
      <c r="D2309" s="171" t="s">
        <v>4013</v>
      </c>
      <c r="E2309" s="165" t="s">
        <v>58</v>
      </c>
      <c r="F2309" s="81" t="s">
        <v>105</v>
      </c>
      <c r="G2309" s="125" t="s">
        <v>4021</v>
      </c>
      <c r="H2309" s="81" t="s">
        <v>4031</v>
      </c>
      <c r="I2309" s="149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77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1">
        <v>2304.0</v>
      </c>
      <c r="B2310" s="180" t="s">
        <v>4035</v>
      </c>
      <c r="C2310" s="82" t="str">
        <f>VLOOKUP($B$7:$B$5000,SUM!$L$6:$L$500,1,FALSE)</f>
        <v>#N/A</v>
      </c>
      <c r="D2310" s="171" t="s">
        <v>4013</v>
      </c>
      <c r="E2310" s="165" t="s">
        <v>58</v>
      </c>
      <c r="F2310" s="81" t="s">
        <v>105</v>
      </c>
      <c r="G2310" s="125" t="s">
        <v>3272</v>
      </c>
      <c r="H2310" s="81" t="s">
        <v>4036</v>
      </c>
      <c r="I2310" s="149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77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1">
        <v>2305.0</v>
      </c>
      <c r="B2311" s="180" t="s">
        <v>4038</v>
      </c>
      <c r="C2311" s="82" t="str">
        <f>VLOOKUP($B$7:$B$5000,SUM!$L$6:$L$500,1,FALSE)</f>
        <v>#N/A</v>
      </c>
      <c r="D2311" s="171" t="s">
        <v>4013</v>
      </c>
      <c r="E2311" s="165" t="s">
        <v>58</v>
      </c>
      <c r="F2311" s="81" t="s">
        <v>105</v>
      </c>
      <c r="G2311" s="125" t="s">
        <v>3272</v>
      </c>
      <c r="H2311" s="81" t="s">
        <v>4036</v>
      </c>
      <c r="I2311" s="149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77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1">
        <v>2306.0</v>
      </c>
      <c r="B2312" s="180" t="s">
        <v>4040</v>
      </c>
      <c r="C2312" s="82" t="str">
        <f>VLOOKUP($B$7:$B$5000,SUM!$L$6:$L$500,1,FALSE)</f>
        <v>#N/A</v>
      </c>
      <c r="D2312" s="171" t="s">
        <v>4013</v>
      </c>
      <c r="E2312" s="165" t="s">
        <v>58</v>
      </c>
      <c r="F2312" s="81" t="s">
        <v>105</v>
      </c>
      <c r="G2312" s="125" t="s">
        <v>3272</v>
      </c>
      <c r="H2312" s="81" t="s">
        <v>4036</v>
      </c>
      <c r="I2312" s="149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77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1">
        <v>2307.0</v>
      </c>
      <c r="B2313" s="180" t="s">
        <v>4042</v>
      </c>
      <c r="C2313" s="82" t="str">
        <f>VLOOKUP($B$7:$B$5000,SUM!$L$6:$L$500,1,FALSE)</f>
        <v>#N/A</v>
      </c>
      <c r="D2313" s="171" t="s">
        <v>4013</v>
      </c>
      <c r="E2313" s="165" t="s">
        <v>58</v>
      </c>
      <c r="F2313" s="81" t="s">
        <v>105</v>
      </c>
      <c r="G2313" s="125" t="s">
        <v>3272</v>
      </c>
      <c r="H2313" s="81" t="s">
        <v>4036</v>
      </c>
      <c r="I2313" s="149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77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1">
        <v>2308.0</v>
      </c>
      <c r="B2314" s="180" t="s">
        <v>4044</v>
      </c>
      <c r="C2314" s="82" t="str">
        <f>VLOOKUP($B$7:$B$5000,SUM!$L$6:$L$500,1,FALSE)</f>
        <v>#N/A</v>
      </c>
      <c r="D2314" s="171" t="s">
        <v>4013</v>
      </c>
      <c r="E2314" s="165" t="s">
        <v>58</v>
      </c>
      <c r="F2314" s="81" t="s">
        <v>105</v>
      </c>
      <c r="G2314" s="125" t="s">
        <v>3272</v>
      </c>
      <c r="H2314" s="81" t="s">
        <v>4045</v>
      </c>
      <c r="I2314" s="149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77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1">
        <v>2309.0</v>
      </c>
      <c r="B2315" s="180" t="s">
        <v>4046</v>
      </c>
      <c r="C2315" s="82" t="str">
        <f>VLOOKUP($B$7:$B$5000,SUM!$L$6:$L$500,1,FALSE)</f>
        <v>#N/A</v>
      </c>
      <c r="D2315" s="171" t="s">
        <v>4013</v>
      </c>
      <c r="E2315" s="165" t="s">
        <v>58</v>
      </c>
      <c r="F2315" s="81" t="s">
        <v>105</v>
      </c>
      <c r="G2315" s="125" t="s">
        <v>3272</v>
      </c>
      <c r="H2315" s="81" t="s">
        <v>4045</v>
      </c>
      <c r="I2315" s="149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77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1">
        <v>2310.0</v>
      </c>
      <c r="B2316" s="180" t="s">
        <v>4047</v>
      </c>
      <c r="C2316" s="82" t="str">
        <f>VLOOKUP($B$7:$B$5000,SUM!$L$6:$L$500,1,FALSE)</f>
        <v>#N/A</v>
      </c>
      <c r="D2316" s="171" t="s">
        <v>4013</v>
      </c>
      <c r="E2316" s="165" t="s">
        <v>58</v>
      </c>
      <c r="F2316" s="81" t="s">
        <v>105</v>
      </c>
      <c r="G2316" s="125" t="s">
        <v>3272</v>
      </c>
      <c r="H2316" s="81" t="s">
        <v>4045</v>
      </c>
      <c r="I2316" s="149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77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1">
        <v>2311.0</v>
      </c>
      <c r="B2317" s="180" t="s">
        <v>4048</v>
      </c>
      <c r="C2317" s="82" t="str">
        <f>VLOOKUP($B$7:$B$5000,SUM!$L$6:$L$500,1,FALSE)</f>
        <v>#N/A</v>
      </c>
      <c r="D2317" s="171" t="s">
        <v>4013</v>
      </c>
      <c r="E2317" s="165" t="s">
        <v>58</v>
      </c>
      <c r="F2317" s="81" t="s">
        <v>105</v>
      </c>
      <c r="G2317" s="125" t="s">
        <v>3272</v>
      </c>
      <c r="H2317" s="81" t="s">
        <v>4045</v>
      </c>
      <c r="I2317" s="149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77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1">
        <v>2312.0</v>
      </c>
      <c r="B2318" s="180" t="s">
        <v>4050</v>
      </c>
      <c r="C2318" s="82" t="str">
        <f>VLOOKUP($B$7:$B$5000,SUM!$L$6:$L$500,1,FALSE)</f>
        <v>#N/A</v>
      </c>
      <c r="D2318" s="171" t="s">
        <v>4013</v>
      </c>
      <c r="E2318" s="165" t="s">
        <v>58</v>
      </c>
      <c r="F2318" s="81" t="s">
        <v>105</v>
      </c>
      <c r="G2318" s="125" t="s">
        <v>3272</v>
      </c>
      <c r="H2318" s="81" t="s">
        <v>4051</v>
      </c>
      <c r="I2318" s="149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77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1">
        <v>2313.0</v>
      </c>
      <c r="B2319" s="180" t="s">
        <v>4052</v>
      </c>
      <c r="C2319" s="82" t="str">
        <f>VLOOKUP($B$7:$B$5000,SUM!$L$6:$L$500,1,FALSE)</f>
        <v>#N/A</v>
      </c>
      <c r="D2319" s="171" t="s">
        <v>4013</v>
      </c>
      <c r="E2319" s="165" t="s">
        <v>58</v>
      </c>
      <c r="F2319" s="81" t="s">
        <v>105</v>
      </c>
      <c r="G2319" s="125" t="s">
        <v>3272</v>
      </c>
      <c r="H2319" s="81" t="s">
        <v>4051</v>
      </c>
      <c r="I2319" s="149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77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1">
        <v>2314.0</v>
      </c>
      <c r="B2320" s="180" t="s">
        <v>4053</v>
      </c>
      <c r="C2320" s="82" t="str">
        <f>VLOOKUP($B$7:$B$5000,SUM!$L$6:$L$500,1,FALSE)</f>
        <v>#N/A</v>
      </c>
      <c r="D2320" s="171" t="s">
        <v>4013</v>
      </c>
      <c r="E2320" s="165" t="s">
        <v>58</v>
      </c>
      <c r="F2320" s="81" t="s">
        <v>105</v>
      </c>
      <c r="G2320" s="125" t="s">
        <v>3272</v>
      </c>
      <c r="H2320" s="81" t="s">
        <v>4051</v>
      </c>
      <c r="I2320" s="149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77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1">
        <v>2315.0</v>
      </c>
      <c r="B2321" s="180" t="s">
        <v>4054</v>
      </c>
      <c r="C2321" s="82" t="str">
        <f>VLOOKUP($B$7:$B$5000,SUM!$L$6:$L$500,1,FALSE)</f>
        <v>#N/A</v>
      </c>
      <c r="D2321" s="171" t="s">
        <v>4013</v>
      </c>
      <c r="E2321" s="165" t="s">
        <v>58</v>
      </c>
      <c r="F2321" s="81" t="s">
        <v>105</v>
      </c>
      <c r="G2321" s="125" t="s">
        <v>3272</v>
      </c>
      <c r="H2321" s="81" t="s">
        <v>4051</v>
      </c>
      <c r="I2321" s="149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77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1">
        <v>2316.0</v>
      </c>
      <c r="B2322" s="180" t="s">
        <v>4055</v>
      </c>
      <c r="C2322" s="82" t="str">
        <f>VLOOKUP($B$7:$B$5000,SUM!$L$6:$L$500,1,FALSE)</f>
        <v>#N/A</v>
      </c>
      <c r="D2322" s="171" t="s">
        <v>4013</v>
      </c>
      <c r="E2322" s="165" t="s">
        <v>58</v>
      </c>
      <c r="F2322" s="81" t="s">
        <v>105</v>
      </c>
      <c r="G2322" s="125" t="s">
        <v>3272</v>
      </c>
      <c r="H2322" s="81" t="s">
        <v>4056</v>
      </c>
      <c r="I2322" s="149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77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1">
        <v>2317.0</v>
      </c>
      <c r="B2323" s="180" t="s">
        <v>4057</v>
      </c>
      <c r="C2323" s="82" t="str">
        <f>VLOOKUP($B$7:$B$5000,SUM!$L$6:$L$500,1,FALSE)</f>
        <v>#N/A</v>
      </c>
      <c r="D2323" s="171" t="s">
        <v>4013</v>
      </c>
      <c r="E2323" s="165" t="s">
        <v>58</v>
      </c>
      <c r="F2323" s="81" t="s">
        <v>105</v>
      </c>
      <c r="G2323" s="125" t="s">
        <v>3272</v>
      </c>
      <c r="H2323" s="81" t="s">
        <v>4056</v>
      </c>
      <c r="I2323" s="149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77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1">
        <v>2318.0</v>
      </c>
      <c r="B2324" s="180" t="s">
        <v>4058</v>
      </c>
      <c r="C2324" s="82" t="str">
        <f>VLOOKUP($B$7:$B$5000,SUM!$L$6:$L$500,1,FALSE)</f>
        <v>#N/A</v>
      </c>
      <c r="D2324" s="171" t="s">
        <v>4013</v>
      </c>
      <c r="E2324" s="165" t="s">
        <v>58</v>
      </c>
      <c r="F2324" s="81" t="s">
        <v>105</v>
      </c>
      <c r="G2324" s="125" t="s">
        <v>3272</v>
      </c>
      <c r="H2324" s="81" t="s">
        <v>4056</v>
      </c>
      <c r="I2324" s="149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77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1">
        <v>2319.0</v>
      </c>
      <c r="B2325" s="180" t="s">
        <v>4059</v>
      </c>
      <c r="C2325" s="82" t="str">
        <f>VLOOKUP($B$7:$B$5000,SUM!$L$6:$L$500,1,FALSE)</f>
        <v>#N/A</v>
      </c>
      <c r="D2325" s="171" t="s">
        <v>4013</v>
      </c>
      <c r="E2325" s="165" t="s">
        <v>58</v>
      </c>
      <c r="F2325" s="81" t="s">
        <v>105</v>
      </c>
      <c r="G2325" s="189" t="s">
        <v>3272</v>
      </c>
      <c r="H2325" s="81" t="s">
        <v>4056</v>
      </c>
      <c r="I2325" s="149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77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1">
        <v>2320.0</v>
      </c>
      <c r="B2326" s="180" t="s">
        <v>4060</v>
      </c>
      <c r="C2326" s="82" t="str">
        <f>VLOOKUP($B$7:$B$5000,SUM!$L$6:$L$500,1,FALSE)</f>
        <v>#N/A</v>
      </c>
      <c r="D2326" s="171" t="s">
        <v>4013</v>
      </c>
      <c r="E2326" s="165" t="s">
        <v>58</v>
      </c>
      <c r="F2326" s="81" t="s">
        <v>105</v>
      </c>
      <c r="G2326" s="125" t="s">
        <v>4061</v>
      </c>
      <c r="H2326" s="81" t="s">
        <v>4062</v>
      </c>
      <c r="I2326" s="149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77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1">
        <v>2321.0</v>
      </c>
      <c r="B2327" s="180" t="s">
        <v>4064</v>
      </c>
      <c r="C2327" s="82" t="str">
        <f>VLOOKUP($B$7:$B$5000,SUM!$L$6:$L$500,1,FALSE)</f>
        <v>#N/A</v>
      </c>
      <c r="D2327" s="171" t="s">
        <v>4013</v>
      </c>
      <c r="E2327" s="165" t="s">
        <v>58</v>
      </c>
      <c r="F2327" s="81" t="s">
        <v>105</v>
      </c>
      <c r="G2327" s="125" t="s">
        <v>4061</v>
      </c>
      <c r="H2327" s="81" t="s">
        <v>4062</v>
      </c>
      <c r="I2327" s="149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77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1">
        <v>2322.0</v>
      </c>
      <c r="B2328" s="180" t="s">
        <v>4066</v>
      </c>
      <c r="C2328" s="82" t="str">
        <f>VLOOKUP($B$7:$B$5000,SUM!$L$6:$L$500,1,FALSE)</f>
        <v>#N/A</v>
      </c>
      <c r="D2328" s="171" t="s">
        <v>4013</v>
      </c>
      <c r="E2328" s="165" t="s">
        <v>58</v>
      </c>
      <c r="F2328" s="81" t="s">
        <v>105</v>
      </c>
      <c r="G2328" s="125" t="s">
        <v>4061</v>
      </c>
      <c r="H2328" s="81" t="s">
        <v>4062</v>
      </c>
      <c r="I2328" s="149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77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1">
        <v>2323.0</v>
      </c>
      <c r="B2329" s="180" t="s">
        <v>4068</v>
      </c>
      <c r="C2329" s="82" t="str">
        <f>VLOOKUP($B$7:$B$5000,SUM!$L$6:$L$500,1,FALSE)</f>
        <v>#N/A</v>
      </c>
      <c r="D2329" s="171" t="s">
        <v>4013</v>
      </c>
      <c r="E2329" s="165" t="s">
        <v>58</v>
      </c>
      <c r="F2329" s="81" t="s">
        <v>105</v>
      </c>
      <c r="G2329" s="125" t="s">
        <v>4061</v>
      </c>
      <c r="H2329" s="81" t="s">
        <v>4062</v>
      </c>
      <c r="I2329" s="149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77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1">
        <v>2324.0</v>
      </c>
      <c r="B2330" s="180" t="s">
        <v>4070</v>
      </c>
      <c r="C2330" s="82" t="str">
        <f>VLOOKUP($B$7:$B$5000,SUM!$L$6:$L$500,1,FALSE)</f>
        <v>#N/A</v>
      </c>
      <c r="D2330" s="171" t="s">
        <v>4013</v>
      </c>
      <c r="E2330" s="165" t="s">
        <v>58</v>
      </c>
      <c r="F2330" s="81" t="s">
        <v>105</v>
      </c>
      <c r="G2330" s="125" t="s">
        <v>1991</v>
      </c>
      <c r="H2330" s="81" t="s">
        <v>4071</v>
      </c>
      <c r="I2330" s="149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77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1">
        <v>2325.0</v>
      </c>
      <c r="B2331" s="180" t="s">
        <v>4072</v>
      </c>
      <c r="C2331" s="82" t="str">
        <f>VLOOKUP($B$7:$B$5000,SUM!$L$6:$L$500,1,FALSE)</f>
        <v>#N/A</v>
      </c>
      <c r="D2331" s="171" t="s">
        <v>4013</v>
      </c>
      <c r="E2331" s="165" t="s">
        <v>58</v>
      </c>
      <c r="F2331" s="81" t="s">
        <v>105</v>
      </c>
      <c r="G2331" s="125" t="s">
        <v>1991</v>
      </c>
      <c r="H2331" s="81" t="s">
        <v>4071</v>
      </c>
      <c r="I2331" s="149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77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1">
        <v>2326.0</v>
      </c>
      <c r="B2332" s="180" t="s">
        <v>4073</v>
      </c>
      <c r="C2332" s="82" t="str">
        <f>VLOOKUP($B$7:$B$5000,SUM!$L$6:$L$500,1,FALSE)</f>
        <v>#N/A</v>
      </c>
      <c r="D2332" s="171" t="s">
        <v>4013</v>
      </c>
      <c r="E2332" s="165" t="s">
        <v>58</v>
      </c>
      <c r="F2332" s="81" t="s">
        <v>105</v>
      </c>
      <c r="G2332" s="125" t="s">
        <v>1991</v>
      </c>
      <c r="H2332" s="81" t="s">
        <v>4071</v>
      </c>
      <c r="I2332" s="149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77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1">
        <v>2327.0</v>
      </c>
      <c r="B2333" s="180" t="s">
        <v>4074</v>
      </c>
      <c r="C2333" s="82" t="str">
        <f>VLOOKUP($B$7:$B$5000,SUM!$L$6:$L$500,1,FALSE)</f>
        <v>#N/A</v>
      </c>
      <c r="D2333" s="171" t="s">
        <v>4013</v>
      </c>
      <c r="E2333" s="165" t="s">
        <v>58</v>
      </c>
      <c r="F2333" s="81" t="s">
        <v>105</v>
      </c>
      <c r="G2333" s="125" t="s">
        <v>1991</v>
      </c>
      <c r="H2333" s="81" t="s">
        <v>4071</v>
      </c>
      <c r="I2333" s="149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77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1">
        <v>2328.0</v>
      </c>
      <c r="B2334" s="180" t="s">
        <v>4075</v>
      </c>
      <c r="C2334" s="82" t="str">
        <f>VLOOKUP($B$7:$B$5000,SUM!$L$6:$L$500,1,FALSE)</f>
        <v>#N/A</v>
      </c>
      <c r="D2334" s="171" t="s">
        <v>4013</v>
      </c>
      <c r="E2334" s="165" t="s">
        <v>58</v>
      </c>
      <c r="F2334" s="81" t="s">
        <v>105</v>
      </c>
      <c r="G2334" s="125" t="s">
        <v>1991</v>
      </c>
      <c r="H2334" s="81" t="s">
        <v>4076</v>
      </c>
      <c r="I2334" s="149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77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31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1">
        <v>2329.0</v>
      </c>
      <c r="B2335" s="180" t="s">
        <v>4078</v>
      </c>
      <c r="C2335" s="82" t="str">
        <f>VLOOKUP($B$7:$B$5000,SUM!$L$6:$L$500,1,FALSE)</f>
        <v>#N/A</v>
      </c>
      <c r="D2335" s="171" t="s">
        <v>4013</v>
      </c>
      <c r="E2335" s="165" t="s">
        <v>58</v>
      </c>
      <c r="F2335" s="81" t="s">
        <v>105</v>
      </c>
      <c r="G2335" s="125" t="s">
        <v>1991</v>
      </c>
      <c r="H2335" s="81" t="s">
        <v>4076</v>
      </c>
      <c r="I2335" s="149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77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1">
        <v>2330.0</v>
      </c>
      <c r="B2336" s="180" t="s">
        <v>4079</v>
      </c>
      <c r="C2336" s="82" t="str">
        <f>VLOOKUP($B$7:$B$5000,SUM!$L$6:$L$500,1,FALSE)</f>
        <v>#N/A</v>
      </c>
      <c r="D2336" s="171" t="s">
        <v>4013</v>
      </c>
      <c r="E2336" s="165" t="s">
        <v>58</v>
      </c>
      <c r="F2336" s="81" t="s">
        <v>105</v>
      </c>
      <c r="G2336" s="125" t="s">
        <v>1991</v>
      </c>
      <c r="H2336" s="81" t="s">
        <v>4076</v>
      </c>
      <c r="I2336" s="149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77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1">
        <v>2331.0</v>
      </c>
      <c r="B2337" s="180" t="s">
        <v>4080</v>
      </c>
      <c r="C2337" s="82" t="str">
        <f>VLOOKUP($B$7:$B$5000,SUM!$L$6:$L$500,1,FALSE)</f>
        <v>#N/A</v>
      </c>
      <c r="D2337" s="171" t="s">
        <v>4013</v>
      </c>
      <c r="E2337" s="165" t="s">
        <v>58</v>
      </c>
      <c r="F2337" s="81" t="s">
        <v>105</v>
      </c>
      <c r="G2337" s="125" t="s">
        <v>1991</v>
      </c>
      <c r="H2337" s="81" t="s">
        <v>4076</v>
      </c>
      <c r="I2337" s="149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77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1">
        <v>2332.0</v>
      </c>
      <c r="B2338" s="180" t="s">
        <v>4081</v>
      </c>
      <c r="C2338" s="82" t="str">
        <f>VLOOKUP($B$7:$B$5000,SUM!$L$6:$L$500,1,FALSE)</f>
        <v>#N/A</v>
      </c>
      <c r="D2338" s="171" t="s">
        <v>4013</v>
      </c>
      <c r="E2338" s="165" t="s">
        <v>58</v>
      </c>
      <c r="F2338" s="81" t="s">
        <v>105</v>
      </c>
      <c r="G2338" s="125" t="s">
        <v>1329</v>
      </c>
      <c r="H2338" s="81" t="s">
        <v>4082</v>
      </c>
      <c r="I2338" s="149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77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31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1">
        <v>2333.0</v>
      </c>
      <c r="B2339" s="180" t="s">
        <v>4085</v>
      </c>
      <c r="C2339" s="82" t="str">
        <f>VLOOKUP($B$7:$B$5000,SUM!$L$6:$L$500,1,FALSE)</f>
        <v>#N/A</v>
      </c>
      <c r="D2339" s="171" t="s">
        <v>4013</v>
      </c>
      <c r="E2339" s="165" t="s">
        <v>58</v>
      </c>
      <c r="F2339" s="81" t="s">
        <v>105</v>
      </c>
      <c r="G2339" s="125" t="s">
        <v>1329</v>
      </c>
      <c r="H2339" s="81" t="s">
        <v>4082</v>
      </c>
      <c r="I2339" s="149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77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1">
        <v>2334.0</v>
      </c>
      <c r="B2340" s="180" t="s">
        <v>4087</v>
      </c>
      <c r="C2340" s="82" t="str">
        <f>VLOOKUP($B$7:$B$5000,SUM!$L$6:$L$500,1,FALSE)</f>
        <v>#N/A</v>
      </c>
      <c r="D2340" s="171" t="s">
        <v>4013</v>
      </c>
      <c r="E2340" s="165" t="s">
        <v>58</v>
      </c>
      <c r="F2340" s="81" t="s">
        <v>105</v>
      </c>
      <c r="G2340" s="125" t="s">
        <v>1329</v>
      </c>
      <c r="H2340" s="81" t="s">
        <v>4082</v>
      </c>
      <c r="I2340" s="149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77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1">
        <v>2335.0</v>
      </c>
      <c r="B2341" s="180" t="s">
        <v>4089</v>
      </c>
      <c r="C2341" s="82" t="str">
        <f>VLOOKUP($B$7:$B$5000,SUM!$L$6:$L$500,1,FALSE)</f>
        <v>#N/A</v>
      </c>
      <c r="D2341" s="171" t="s">
        <v>4013</v>
      </c>
      <c r="E2341" s="165" t="s">
        <v>58</v>
      </c>
      <c r="F2341" s="81" t="s">
        <v>105</v>
      </c>
      <c r="G2341" s="125" t="s">
        <v>4090</v>
      </c>
      <c r="H2341" s="81" t="s">
        <v>4091</v>
      </c>
      <c r="I2341" s="149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77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1">
        <v>2336.0</v>
      </c>
      <c r="B2342" s="180" t="s">
        <v>4093</v>
      </c>
      <c r="C2342" s="82" t="str">
        <f>VLOOKUP($B$7:$B$5000,SUM!$L$6:$L$500,1,FALSE)</f>
        <v>#N/A</v>
      </c>
      <c r="D2342" s="171" t="s">
        <v>4013</v>
      </c>
      <c r="E2342" s="165" t="s">
        <v>58</v>
      </c>
      <c r="F2342" s="81" t="s">
        <v>105</v>
      </c>
      <c r="G2342" s="125" t="s">
        <v>4090</v>
      </c>
      <c r="H2342" s="81" t="s">
        <v>4091</v>
      </c>
      <c r="I2342" s="149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77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1">
        <v>2337.0</v>
      </c>
      <c r="B2343" s="180" t="s">
        <v>4095</v>
      </c>
      <c r="C2343" s="82" t="str">
        <f>VLOOKUP($B$7:$B$5000,SUM!$L$6:$L$500,1,FALSE)</f>
        <v>#N/A</v>
      </c>
      <c r="D2343" s="171" t="s">
        <v>4013</v>
      </c>
      <c r="E2343" s="165" t="s">
        <v>58</v>
      </c>
      <c r="F2343" s="81" t="s">
        <v>105</v>
      </c>
      <c r="G2343" s="125" t="s">
        <v>4090</v>
      </c>
      <c r="H2343" s="81" t="s">
        <v>4091</v>
      </c>
      <c r="I2343" s="149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77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1">
        <v>2338.0</v>
      </c>
      <c r="B2344" s="180" t="s">
        <v>4097</v>
      </c>
      <c r="C2344" s="82" t="str">
        <f>VLOOKUP($B$7:$B$5000,SUM!$L$6:$L$500,1,FALSE)</f>
        <v>#N/A</v>
      </c>
      <c r="D2344" s="171" t="s">
        <v>4098</v>
      </c>
      <c r="E2344" s="165" t="s">
        <v>58</v>
      </c>
      <c r="F2344" s="81" t="s">
        <v>4099</v>
      </c>
      <c r="G2344" s="125" t="s">
        <v>4100</v>
      </c>
      <c r="H2344" s="81" t="s">
        <v>4101</v>
      </c>
      <c r="I2344" s="149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77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31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1">
        <v>2339.0</v>
      </c>
      <c r="B2345" s="180" t="s">
        <v>4103</v>
      </c>
      <c r="C2345" s="82" t="str">
        <f>VLOOKUP($B$7:$B$5000,SUM!$L$6:$L$500,1,FALSE)</f>
        <v>#N/A</v>
      </c>
      <c r="D2345" s="171" t="s">
        <v>4098</v>
      </c>
      <c r="E2345" s="165" t="s">
        <v>58</v>
      </c>
      <c r="F2345" s="81" t="s">
        <v>4099</v>
      </c>
      <c r="G2345" s="125" t="s">
        <v>4100</v>
      </c>
      <c r="H2345" s="81" t="s">
        <v>4104</v>
      </c>
      <c r="I2345" s="149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77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1">
        <v>2340.0</v>
      </c>
      <c r="B2346" s="180" t="s">
        <v>4105</v>
      </c>
      <c r="C2346" s="82" t="str">
        <f>VLOOKUP($B$7:$B$5000,SUM!$L$6:$L$500,1,FALSE)</f>
        <v>#N/A</v>
      </c>
      <c r="D2346" s="171" t="s">
        <v>4098</v>
      </c>
      <c r="E2346" s="165" t="s">
        <v>58</v>
      </c>
      <c r="F2346" s="81" t="s">
        <v>4099</v>
      </c>
      <c r="G2346" s="125" t="s">
        <v>4100</v>
      </c>
      <c r="H2346" s="81" t="s">
        <v>4106</v>
      </c>
      <c r="I2346" s="149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77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1">
        <v>2341.0</v>
      </c>
      <c r="B2347" s="180" t="s">
        <v>4107</v>
      </c>
      <c r="C2347" s="82" t="str">
        <f>VLOOKUP($B$7:$B$5000,SUM!$L$6:$L$500,1,FALSE)</f>
        <v>#N/A</v>
      </c>
      <c r="D2347" s="171" t="s">
        <v>4098</v>
      </c>
      <c r="E2347" s="165" t="s">
        <v>58</v>
      </c>
      <c r="F2347" s="81" t="s">
        <v>4099</v>
      </c>
      <c r="G2347" s="125" t="s">
        <v>4100</v>
      </c>
      <c r="H2347" s="81" t="s">
        <v>4108</v>
      </c>
      <c r="I2347" s="149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77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1">
        <v>2342.0</v>
      </c>
      <c r="B2348" s="180" t="s">
        <v>4109</v>
      </c>
      <c r="C2348" s="82" t="str">
        <f>VLOOKUP($B$7:$B$5000,SUM!$L$6:$L$500,1,FALSE)</f>
        <v>#N/A</v>
      </c>
      <c r="D2348" s="171" t="s">
        <v>4098</v>
      </c>
      <c r="E2348" s="165" t="s">
        <v>58</v>
      </c>
      <c r="F2348" s="81" t="s">
        <v>4099</v>
      </c>
      <c r="G2348" s="125" t="s">
        <v>4100</v>
      </c>
      <c r="H2348" s="81" t="s">
        <v>4110</v>
      </c>
      <c r="I2348" s="149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77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31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1">
        <v>2343.0</v>
      </c>
      <c r="B2349" s="180" t="s">
        <v>4111</v>
      </c>
      <c r="C2349" s="82" t="str">
        <f>VLOOKUP($B$7:$B$5000,SUM!$L$6:$L$500,1,FALSE)</f>
        <v>#N/A</v>
      </c>
      <c r="D2349" s="171" t="s">
        <v>4098</v>
      </c>
      <c r="E2349" s="165" t="s">
        <v>58</v>
      </c>
      <c r="F2349" s="81" t="s">
        <v>4099</v>
      </c>
      <c r="G2349" s="125" t="s">
        <v>4100</v>
      </c>
      <c r="H2349" s="81" t="s">
        <v>4112</v>
      </c>
      <c r="I2349" s="149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77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1">
        <v>2344.0</v>
      </c>
      <c r="B2350" s="180" t="s">
        <v>4113</v>
      </c>
      <c r="C2350" s="82" t="str">
        <f>VLOOKUP($B$7:$B$5000,SUM!$L$6:$L$500,1,FALSE)</f>
        <v>#N/A</v>
      </c>
      <c r="D2350" s="171" t="s">
        <v>4098</v>
      </c>
      <c r="E2350" s="165" t="s">
        <v>58</v>
      </c>
      <c r="F2350" s="81" t="s">
        <v>4099</v>
      </c>
      <c r="G2350" s="125" t="s">
        <v>4100</v>
      </c>
      <c r="H2350" s="81" t="s">
        <v>4114</v>
      </c>
      <c r="I2350" s="149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77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1">
        <v>2345.0</v>
      </c>
      <c r="B2351" s="180" t="s">
        <v>4115</v>
      </c>
      <c r="C2351" s="82" t="str">
        <f>VLOOKUP($B$7:$B$5000,SUM!$L$6:$L$500,1,FALSE)</f>
        <v>#N/A</v>
      </c>
      <c r="D2351" s="171" t="s">
        <v>4098</v>
      </c>
      <c r="E2351" s="165" t="s">
        <v>58</v>
      </c>
      <c r="F2351" s="81" t="s">
        <v>4099</v>
      </c>
      <c r="G2351" s="125" t="s">
        <v>4100</v>
      </c>
      <c r="H2351" s="81" t="s">
        <v>4116</v>
      </c>
      <c r="I2351" s="149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77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31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1">
        <v>2346.0</v>
      </c>
      <c r="B2352" s="180" t="s">
        <v>4117</v>
      </c>
      <c r="C2352" s="82" t="str">
        <f>VLOOKUP($B$7:$B$5000,SUM!$L$6:$L$500,1,FALSE)</f>
        <v>#N/A</v>
      </c>
      <c r="D2352" s="171" t="s">
        <v>4098</v>
      </c>
      <c r="E2352" s="165" t="s">
        <v>58</v>
      </c>
      <c r="F2352" s="81" t="s">
        <v>4099</v>
      </c>
      <c r="G2352" s="125" t="s">
        <v>4100</v>
      </c>
      <c r="H2352" s="81" t="s">
        <v>4118</v>
      </c>
      <c r="I2352" s="149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77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1">
        <v>2347.0</v>
      </c>
      <c r="B2353" s="180" t="s">
        <v>4119</v>
      </c>
      <c r="C2353" s="82" t="str">
        <f>VLOOKUP($B$7:$B$5000,SUM!$L$6:$L$500,1,FALSE)</f>
        <v>#N/A</v>
      </c>
      <c r="D2353" s="171" t="s">
        <v>4098</v>
      </c>
      <c r="E2353" s="165" t="s">
        <v>58</v>
      </c>
      <c r="F2353" s="81" t="s">
        <v>4099</v>
      </c>
      <c r="G2353" s="125" t="s">
        <v>4100</v>
      </c>
      <c r="H2353" s="81" t="s">
        <v>4120</v>
      </c>
      <c r="I2353" s="149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77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1">
        <v>2348.0</v>
      </c>
      <c r="B2354" s="180" t="s">
        <v>4121</v>
      </c>
      <c r="C2354" s="82" t="str">
        <f>VLOOKUP($B$7:$B$5000,SUM!$L$6:$L$500,1,FALSE)</f>
        <v>#N/A</v>
      </c>
      <c r="D2354" s="171" t="s">
        <v>4098</v>
      </c>
      <c r="E2354" s="165" t="s">
        <v>58</v>
      </c>
      <c r="F2354" s="81" t="s">
        <v>4099</v>
      </c>
      <c r="G2354" s="125" t="s">
        <v>4100</v>
      </c>
      <c r="H2354" s="81" t="s">
        <v>4122</v>
      </c>
      <c r="I2354" s="149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77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1">
        <v>2349.0</v>
      </c>
      <c r="B2355" s="180" t="s">
        <v>4123</v>
      </c>
      <c r="C2355" s="82" t="str">
        <f>VLOOKUP($B$7:$B$5000,SUM!$L$6:$L$500,1,FALSE)</f>
        <v>#N/A</v>
      </c>
      <c r="D2355" s="171" t="s">
        <v>4098</v>
      </c>
      <c r="E2355" s="165" t="s">
        <v>58</v>
      </c>
      <c r="F2355" s="81" t="s">
        <v>4099</v>
      </c>
      <c r="G2355" s="125" t="s">
        <v>4100</v>
      </c>
      <c r="H2355" s="81" t="s">
        <v>4124</v>
      </c>
      <c r="I2355" s="149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77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1">
        <v>2350.0</v>
      </c>
      <c r="B2356" s="180" t="s">
        <v>4125</v>
      </c>
      <c r="C2356" s="82" t="str">
        <f>VLOOKUP($B$7:$B$5000,SUM!$L$6:$L$500,1,FALSE)</f>
        <v>#N/A</v>
      </c>
      <c r="D2356" s="171" t="s">
        <v>4098</v>
      </c>
      <c r="E2356" s="165" t="s">
        <v>58</v>
      </c>
      <c r="F2356" s="81" t="s">
        <v>4099</v>
      </c>
      <c r="G2356" s="125" t="s">
        <v>4100</v>
      </c>
      <c r="H2356" s="81" t="s">
        <v>4126</v>
      </c>
      <c r="I2356" s="149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77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1">
        <v>2351.0</v>
      </c>
      <c r="B2357" s="180" t="s">
        <v>4127</v>
      </c>
      <c r="C2357" s="82" t="str">
        <f>VLOOKUP($B$7:$B$5000,SUM!$L$6:$L$500,1,FALSE)</f>
        <v>#N/A</v>
      </c>
      <c r="D2357" s="171" t="s">
        <v>4098</v>
      </c>
      <c r="E2357" s="165" t="s">
        <v>58</v>
      </c>
      <c r="F2357" s="81" t="s">
        <v>4099</v>
      </c>
      <c r="G2357" s="125" t="s">
        <v>4100</v>
      </c>
      <c r="H2357" s="81" t="s">
        <v>4128</v>
      </c>
      <c r="I2357" s="149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77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31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1">
        <v>2352.0</v>
      </c>
      <c r="B2358" s="180" t="s">
        <v>4129</v>
      </c>
      <c r="C2358" s="82" t="str">
        <f>VLOOKUP($B$7:$B$5000,SUM!$L$6:$L$500,1,FALSE)</f>
        <v>#N/A</v>
      </c>
      <c r="D2358" s="171" t="s">
        <v>4098</v>
      </c>
      <c r="E2358" s="165" t="s">
        <v>58</v>
      </c>
      <c r="F2358" s="81" t="s">
        <v>4099</v>
      </c>
      <c r="G2358" s="125" t="s">
        <v>4100</v>
      </c>
      <c r="H2358" s="81" t="s">
        <v>4130</v>
      </c>
      <c r="I2358" s="149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77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1">
        <v>2353.0</v>
      </c>
      <c r="B2359" s="180" t="s">
        <v>4131</v>
      </c>
      <c r="C2359" s="82" t="str">
        <f>VLOOKUP($B$7:$B$5000,SUM!$L$6:$L$500,1,FALSE)</f>
        <v>#N/A</v>
      </c>
      <c r="D2359" s="171" t="s">
        <v>4098</v>
      </c>
      <c r="E2359" s="165" t="s">
        <v>58</v>
      </c>
      <c r="F2359" s="81" t="s">
        <v>4099</v>
      </c>
      <c r="G2359" s="125" t="s">
        <v>4100</v>
      </c>
      <c r="H2359" s="81" t="s">
        <v>4132</v>
      </c>
      <c r="I2359" s="149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77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1">
        <v>2354.0</v>
      </c>
      <c r="B2360" s="180" t="s">
        <v>4133</v>
      </c>
      <c r="C2360" s="82" t="str">
        <f>VLOOKUP($B$7:$B$5000,SUM!$L$6:$L$500,1,FALSE)</f>
        <v>#N/A</v>
      </c>
      <c r="D2360" s="171" t="s">
        <v>4098</v>
      </c>
      <c r="E2360" s="165" t="s">
        <v>58</v>
      </c>
      <c r="F2360" s="81" t="s">
        <v>4099</v>
      </c>
      <c r="G2360" s="125" t="s">
        <v>4100</v>
      </c>
      <c r="H2360" s="81" t="s">
        <v>4134</v>
      </c>
      <c r="I2360" s="149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77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1">
        <v>2355.0</v>
      </c>
      <c r="B2361" s="180" t="s">
        <v>4135</v>
      </c>
      <c r="C2361" s="82" t="str">
        <f>VLOOKUP($B$7:$B$5000,SUM!$L$6:$L$500,1,FALSE)</f>
        <v>#N/A</v>
      </c>
      <c r="D2361" s="171" t="s">
        <v>4098</v>
      </c>
      <c r="E2361" s="165" t="s">
        <v>58</v>
      </c>
      <c r="F2361" s="81" t="s">
        <v>4099</v>
      </c>
      <c r="G2361" s="125" t="s">
        <v>4100</v>
      </c>
      <c r="H2361" s="81" t="s">
        <v>4136</v>
      </c>
      <c r="I2361" s="149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77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1">
        <v>2356.0</v>
      </c>
      <c r="B2362" s="180" t="s">
        <v>4137</v>
      </c>
      <c r="C2362" s="82" t="str">
        <f>VLOOKUP($B$7:$B$5000,SUM!$L$6:$L$500,1,FALSE)</f>
        <v>#N/A</v>
      </c>
      <c r="D2362" s="171" t="s">
        <v>4098</v>
      </c>
      <c r="E2362" s="165" t="s">
        <v>58</v>
      </c>
      <c r="F2362" s="81" t="s">
        <v>4099</v>
      </c>
      <c r="G2362" s="125" t="s">
        <v>4100</v>
      </c>
      <c r="H2362" s="81" t="s">
        <v>4138</v>
      </c>
      <c r="I2362" s="149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77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31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1">
        <v>2357.0</v>
      </c>
      <c r="B2363" s="180" t="s">
        <v>4140</v>
      </c>
      <c r="C2363" s="82" t="str">
        <f>VLOOKUP($B$7:$B$5000,SUM!$L$6:$L$500,1,FALSE)</f>
        <v>#N/A</v>
      </c>
      <c r="D2363" s="171" t="s">
        <v>4098</v>
      </c>
      <c r="E2363" s="165" t="s">
        <v>58</v>
      </c>
      <c r="F2363" s="81" t="s">
        <v>4099</v>
      </c>
      <c r="G2363" s="125" t="s">
        <v>4100</v>
      </c>
      <c r="H2363" s="81" t="s">
        <v>4141</v>
      </c>
      <c r="I2363" s="149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77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1">
        <v>2358.0</v>
      </c>
      <c r="B2364" s="180" t="s">
        <v>4142</v>
      </c>
      <c r="C2364" s="82" t="str">
        <f>VLOOKUP($B$7:$B$5000,SUM!$L$6:$L$500,1,FALSE)</f>
        <v>#N/A</v>
      </c>
      <c r="D2364" s="171" t="s">
        <v>4098</v>
      </c>
      <c r="E2364" s="165" t="s">
        <v>58</v>
      </c>
      <c r="F2364" s="81" t="s">
        <v>4099</v>
      </c>
      <c r="G2364" s="125" t="s">
        <v>4100</v>
      </c>
      <c r="H2364" s="81" t="s">
        <v>4143</v>
      </c>
      <c r="I2364" s="149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77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31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1">
        <v>2359.0</v>
      </c>
      <c r="B2365" s="180" t="s">
        <v>4144</v>
      </c>
      <c r="C2365" s="82" t="str">
        <f>VLOOKUP($B$7:$B$5000,SUM!$L$6:$L$500,1,FALSE)</f>
        <v>#N/A</v>
      </c>
      <c r="D2365" s="171" t="s">
        <v>4098</v>
      </c>
      <c r="E2365" s="165" t="s">
        <v>58</v>
      </c>
      <c r="F2365" s="81" t="s">
        <v>4099</v>
      </c>
      <c r="G2365" s="125" t="s">
        <v>4100</v>
      </c>
      <c r="H2365" s="81" t="s">
        <v>4145</v>
      </c>
      <c r="I2365" s="149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77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1">
        <v>2360.0</v>
      </c>
      <c r="B2366" s="180" t="s">
        <v>4146</v>
      </c>
      <c r="C2366" s="82" t="str">
        <f>VLOOKUP($B$7:$B$5000,SUM!$L$6:$L$500,1,FALSE)</f>
        <v>#N/A</v>
      </c>
      <c r="D2366" s="171" t="s">
        <v>4098</v>
      </c>
      <c r="E2366" s="165" t="s">
        <v>58</v>
      </c>
      <c r="F2366" s="81" t="s">
        <v>4099</v>
      </c>
      <c r="G2366" s="125" t="s">
        <v>4100</v>
      </c>
      <c r="H2366" s="81" t="s">
        <v>4147</v>
      </c>
      <c r="I2366" s="149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77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1">
        <v>2361.0</v>
      </c>
      <c r="B2367" s="180" t="s">
        <v>4148</v>
      </c>
      <c r="C2367" s="82" t="str">
        <f>VLOOKUP($B$7:$B$5000,SUM!$L$6:$L$500,1,FALSE)</f>
        <v>#N/A</v>
      </c>
      <c r="D2367" s="171" t="s">
        <v>4098</v>
      </c>
      <c r="E2367" s="165" t="s">
        <v>58</v>
      </c>
      <c r="F2367" s="81" t="s">
        <v>4099</v>
      </c>
      <c r="G2367" s="125" t="s">
        <v>4100</v>
      </c>
      <c r="H2367" s="81" t="s">
        <v>4149</v>
      </c>
      <c r="I2367" s="149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77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31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1">
        <v>2362.0</v>
      </c>
      <c r="B2368" s="180" t="s">
        <v>4150</v>
      </c>
      <c r="C2368" s="82" t="str">
        <f>VLOOKUP($B$7:$B$5000,SUM!$L$6:$L$500,1,FALSE)</f>
        <v>#N/A</v>
      </c>
      <c r="D2368" s="171" t="s">
        <v>4098</v>
      </c>
      <c r="E2368" s="165" t="s">
        <v>58</v>
      </c>
      <c r="F2368" s="81" t="s">
        <v>4099</v>
      </c>
      <c r="G2368" s="125" t="s">
        <v>4100</v>
      </c>
      <c r="H2368" s="81" t="s">
        <v>4151</v>
      </c>
      <c r="I2368" s="149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77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1">
        <v>2363.0</v>
      </c>
      <c r="B2369" s="180" t="s">
        <v>4152</v>
      </c>
      <c r="C2369" s="82" t="str">
        <f>VLOOKUP($B$7:$B$5000,SUM!$L$6:$L$500,1,FALSE)</f>
        <v>#N/A</v>
      </c>
      <c r="D2369" s="171" t="s">
        <v>4098</v>
      </c>
      <c r="E2369" s="165" t="s">
        <v>58</v>
      </c>
      <c r="F2369" s="81" t="s">
        <v>4099</v>
      </c>
      <c r="G2369" s="125" t="s">
        <v>4100</v>
      </c>
      <c r="H2369" s="81" t="s">
        <v>4153</v>
      </c>
      <c r="I2369" s="149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77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1">
        <v>2364.0</v>
      </c>
      <c r="B2370" s="180" t="s">
        <v>4154</v>
      </c>
      <c r="C2370" s="82" t="str">
        <f>VLOOKUP($B$7:$B$5000,SUM!$L$6:$L$500,1,FALSE)</f>
        <v>#N/A</v>
      </c>
      <c r="D2370" s="171" t="s">
        <v>4098</v>
      </c>
      <c r="E2370" s="165" t="s">
        <v>58</v>
      </c>
      <c r="F2370" s="81" t="s">
        <v>4099</v>
      </c>
      <c r="G2370" s="125" t="s">
        <v>4100</v>
      </c>
      <c r="H2370" s="81" t="s">
        <v>4155</v>
      </c>
      <c r="I2370" s="149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77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1">
        <v>2365.0</v>
      </c>
      <c r="B2371" s="180" t="s">
        <v>4156</v>
      </c>
      <c r="C2371" s="82" t="str">
        <f>VLOOKUP($B$7:$B$5000,SUM!$L$6:$L$500,1,FALSE)</f>
        <v>#N/A</v>
      </c>
      <c r="D2371" s="171" t="s">
        <v>4098</v>
      </c>
      <c r="E2371" s="165" t="s">
        <v>58</v>
      </c>
      <c r="F2371" s="81" t="s">
        <v>4099</v>
      </c>
      <c r="G2371" s="125" t="s">
        <v>4100</v>
      </c>
      <c r="H2371" s="81" t="s">
        <v>4157</v>
      </c>
      <c r="I2371" s="149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77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1">
        <v>2366.0</v>
      </c>
      <c r="B2372" s="180" t="s">
        <v>4158</v>
      </c>
      <c r="C2372" s="82" t="str">
        <f>VLOOKUP($B$7:$B$5000,SUM!$L$6:$L$500,1,FALSE)</f>
        <v>#N/A</v>
      </c>
      <c r="D2372" s="171" t="s">
        <v>4098</v>
      </c>
      <c r="E2372" s="165" t="s">
        <v>58</v>
      </c>
      <c r="F2372" s="81" t="s">
        <v>4099</v>
      </c>
      <c r="G2372" s="125" t="s">
        <v>4100</v>
      </c>
      <c r="H2372" s="81" t="s">
        <v>4159</v>
      </c>
      <c r="I2372" s="149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77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1">
        <v>2367.0</v>
      </c>
      <c r="B2373" s="180" t="s">
        <v>4160</v>
      </c>
      <c r="C2373" s="82" t="str">
        <f>VLOOKUP($B$7:$B$5000,SUM!$L$6:$L$500,1,FALSE)</f>
        <v>#N/A</v>
      </c>
      <c r="D2373" s="171" t="s">
        <v>4098</v>
      </c>
      <c r="E2373" s="165" t="s">
        <v>58</v>
      </c>
      <c r="F2373" s="81" t="s">
        <v>4099</v>
      </c>
      <c r="G2373" s="125" t="s">
        <v>4100</v>
      </c>
      <c r="H2373" s="81" t="s">
        <v>4161</v>
      </c>
      <c r="I2373" s="149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77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31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1">
        <v>2368.0</v>
      </c>
      <c r="B2374" s="180" t="s">
        <v>4162</v>
      </c>
      <c r="C2374" s="82" t="str">
        <f>VLOOKUP($B$7:$B$5000,SUM!$L$6:$L$500,1,FALSE)</f>
        <v>#N/A</v>
      </c>
      <c r="D2374" s="171" t="s">
        <v>4098</v>
      </c>
      <c r="E2374" s="165" t="s">
        <v>58</v>
      </c>
      <c r="F2374" s="81" t="s">
        <v>4099</v>
      </c>
      <c r="G2374" s="125" t="s">
        <v>4100</v>
      </c>
      <c r="H2374" s="81" t="s">
        <v>4163</v>
      </c>
      <c r="I2374" s="149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77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1">
        <v>2369.0</v>
      </c>
      <c r="B2375" s="180" t="s">
        <v>4164</v>
      </c>
      <c r="C2375" s="82" t="str">
        <f>VLOOKUP($B$7:$B$5000,SUM!$L$6:$L$500,1,FALSE)</f>
        <v>#N/A</v>
      </c>
      <c r="D2375" s="171" t="s">
        <v>4098</v>
      </c>
      <c r="E2375" s="165" t="s">
        <v>58</v>
      </c>
      <c r="F2375" s="81" t="s">
        <v>4099</v>
      </c>
      <c r="G2375" s="125" t="s">
        <v>4100</v>
      </c>
      <c r="H2375" s="81" t="s">
        <v>4165</v>
      </c>
      <c r="I2375" s="149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77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1">
        <v>2370.0</v>
      </c>
      <c r="B2376" s="180" t="s">
        <v>4166</v>
      </c>
      <c r="C2376" s="82" t="str">
        <f>VLOOKUP($B$7:$B$5000,SUM!$L$6:$L$500,1,FALSE)</f>
        <v>#N/A</v>
      </c>
      <c r="D2376" s="171" t="s">
        <v>4098</v>
      </c>
      <c r="E2376" s="165" t="s">
        <v>58</v>
      </c>
      <c r="F2376" s="81" t="s">
        <v>4099</v>
      </c>
      <c r="G2376" s="125" t="s">
        <v>4100</v>
      </c>
      <c r="H2376" s="81" t="s">
        <v>4167</v>
      </c>
      <c r="I2376" s="149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77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1">
        <v>2371.0</v>
      </c>
      <c r="B2377" s="180" t="s">
        <v>4168</v>
      </c>
      <c r="C2377" s="82" t="str">
        <f>VLOOKUP($B$7:$B$5000,SUM!$L$6:$L$500,1,FALSE)</f>
        <v>#N/A</v>
      </c>
      <c r="D2377" s="171" t="s">
        <v>4098</v>
      </c>
      <c r="E2377" s="165" t="s">
        <v>58</v>
      </c>
      <c r="F2377" s="81" t="s">
        <v>4099</v>
      </c>
      <c r="G2377" s="125" t="s">
        <v>4100</v>
      </c>
      <c r="H2377" s="81" t="s">
        <v>4169</v>
      </c>
      <c r="I2377" s="149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77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1">
        <v>2372.0</v>
      </c>
      <c r="B2378" s="180" t="s">
        <v>4170</v>
      </c>
      <c r="C2378" s="82" t="str">
        <f>VLOOKUP($B$7:$B$5000,SUM!$L$6:$L$500,1,FALSE)</f>
        <v>#N/A</v>
      </c>
      <c r="D2378" s="171" t="s">
        <v>4098</v>
      </c>
      <c r="E2378" s="165" t="s">
        <v>58</v>
      </c>
      <c r="F2378" s="81" t="s">
        <v>4099</v>
      </c>
      <c r="G2378" s="125" t="s">
        <v>4100</v>
      </c>
      <c r="H2378" s="81" t="s">
        <v>4101</v>
      </c>
      <c r="I2378" s="149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77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1">
        <v>2373.0</v>
      </c>
      <c r="B2379" s="180" t="s">
        <v>4172</v>
      </c>
      <c r="C2379" s="82" t="str">
        <f>VLOOKUP($B$7:$B$5000,SUM!$L$6:$L$500,1,FALSE)</f>
        <v>#N/A</v>
      </c>
      <c r="D2379" s="171" t="s">
        <v>4098</v>
      </c>
      <c r="E2379" s="165" t="s">
        <v>58</v>
      </c>
      <c r="F2379" s="81" t="s">
        <v>4099</v>
      </c>
      <c r="G2379" s="125" t="s">
        <v>4100</v>
      </c>
      <c r="H2379" s="81" t="s">
        <v>4104</v>
      </c>
      <c r="I2379" s="149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77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1">
        <v>2374.0</v>
      </c>
      <c r="B2380" s="180" t="s">
        <v>4173</v>
      </c>
      <c r="C2380" s="82" t="str">
        <f>VLOOKUP($B$7:$B$5000,SUM!$L$6:$L$500,1,FALSE)</f>
        <v>#N/A</v>
      </c>
      <c r="D2380" s="171" t="s">
        <v>4098</v>
      </c>
      <c r="E2380" s="165" t="s">
        <v>58</v>
      </c>
      <c r="F2380" s="81" t="s">
        <v>4099</v>
      </c>
      <c r="G2380" s="125" t="s">
        <v>4100</v>
      </c>
      <c r="H2380" s="81" t="s">
        <v>4106</v>
      </c>
      <c r="I2380" s="149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77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1">
        <v>2375.0</v>
      </c>
      <c r="B2381" s="180" t="s">
        <v>4174</v>
      </c>
      <c r="C2381" s="82" t="str">
        <f>VLOOKUP($B$7:$B$5000,SUM!$L$6:$L$500,1,FALSE)</f>
        <v>#N/A</v>
      </c>
      <c r="D2381" s="171" t="s">
        <v>4098</v>
      </c>
      <c r="E2381" s="165" t="s">
        <v>58</v>
      </c>
      <c r="F2381" s="81" t="s">
        <v>4099</v>
      </c>
      <c r="G2381" s="125" t="s">
        <v>4100</v>
      </c>
      <c r="H2381" s="81" t="s">
        <v>4108</v>
      </c>
      <c r="I2381" s="149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77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1">
        <v>2376.0</v>
      </c>
      <c r="B2382" s="180" t="s">
        <v>4175</v>
      </c>
      <c r="C2382" s="82" t="str">
        <f>VLOOKUP($B$7:$B$5000,SUM!$L$6:$L$500,1,FALSE)</f>
        <v>#N/A</v>
      </c>
      <c r="D2382" s="171" t="s">
        <v>4098</v>
      </c>
      <c r="E2382" s="165" t="s">
        <v>58</v>
      </c>
      <c r="F2382" s="81" t="s">
        <v>4099</v>
      </c>
      <c r="G2382" s="125" t="s">
        <v>4100</v>
      </c>
      <c r="H2382" s="81" t="s">
        <v>4110</v>
      </c>
      <c r="I2382" s="149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77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1">
        <v>2377.0</v>
      </c>
      <c r="B2383" s="180" t="s">
        <v>4176</v>
      </c>
      <c r="C2383" s="82" t="str">
        <f>VLOOKUP($B$7:$B$5000,SUM!$L$6:$L$500,1,FALSE)</f>
        <v>#N/A</v>
      </c>
      <c r="D2383" s="171" t="s">
        <v>4098</v>
      </c>
      <c r="E2383" s="165" t="s">
        <v>58</v>
      </c>
      <c r="F2383" s="81" t="s">
        <v>4099</v>
      </c>
      <c r="G2383" s="125" t="s">
        <v>4100</v>
      </c>
      <c r="H2383" s="81" t="s">
        <v>4112</v>
      </c>
      <c r="I2383" s="149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77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1">
        <v>2378.0</v>
      </c>
      <c r="B2384" s="180" t="s">
        <v>4177</v>
      </c>
      <c r="C2384" s="82" t="str">
        <f>VLOOKUP($B$7:$B$5000,SUM!$L$6:$L$500,1,FALSE)</f>
        <v>#N/A</v>
      </c>
      <c r="D2384" s="171" t="s">
        <v>4098</v>
      </c>
      <c r="E2384" s="165" t="s">
        <v>58</v>
      </c>
      <c r="F2384" s="81" t="s">
        <v>4099</v>
      </c>
      <c r="G2384" s="125" t="s">
        <v>4100</v>
      </c>
      <c r="H2384" s="81" t="s">
        <v>4114</v>
      </c>
      <c r="I2384" s="149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77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1">
        <v>2379.0</v>
      </c>
      <c r="B2385" s="180" t="s">
        <v>4178</v>
      </c>
      <c r="C2385" s="82" t="str">
        <f>VLOOKUP($B$7:$B$5000,SUM!$L$6:$L$500,1,FALSE)</f>
        <v>#N/A</v>
      </c>
      <c r="D2385" s="171" t="s">
        <v>4098</v>
      </c>
      <c r="E2385" s="165" t="s">
        <v>58</v>
      </c>
      <c r="F2385" s="81" t="s">
        <v>4099</v>
      </c>
      <c r="G2385" s="125" t="s">
        <v>4100</v>
      </c>
      <c r="H2385" s="81" t="s">
        <v>4116</v>
      </c>
      <c r="I2385" s="149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77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1">
        <v>2380.0</v>
      </c>
      <c r="B2386" s="180" t="s">
        <v>4179</v>
      </c>
      <c r="C2386" s="82" t="str">
        <f>VLOOKUP($B$7:$B$5000,SUM!$L$6:$L$500,1,FALSE)</f>
        <v>#N/A</v>
      </c>
      <c r="D2386" s="171" t="s">
        <v>4098</v>
      </c>
      <c r="E2386" s="165" t="s">
        <v>58</v>
      </c>
      <c r="F2386" s="81" t="s">
        <v>4099</v>
      </c>
      <c r="G2386" s="125" t="s">
        <v>4100</v>
      </c>
      <c r="H2386" s="81" t="s">
        <v>4118</v>
      </c>
      <c r="I2386" s="149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77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1">
        <v>2381.0</v>
      </c>
      <c r="B2387" s="180" t="s">
        <v>4180</v>
      </c>
      <c r="C2387" s="82" t="str">
        <f>VLOOKUP($B$7:$B$5000,SUM!$L$6:$L$500,1,FALSE)</f>
        <v>#N/A</v>
      </c>
      <c r="D2387" s="171" t="s">
        <v>4098</v>
      </c>
      <c r="E2387" s="165" t="s">
        <v>58</v>
      </c>
      <c r="F2387" s="81" t="s">
        <v>4099</v>
      </c>
      <c r="G2387" s="125" t="s">
        <v>4100</v>
      </c>
      <c r="H2387" s="81" t="s">
        <v>4120</v>
      </c>
      <c r="I2387" s="149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77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1">
        <v>2382.0</v>
      </c>
      <c r="B2388" s="180" t="s">
        <v>4181</v>
      </c>
      <c r="C2388" s="82" t="str">
        <f>VLOOKUP($B$7:$B$5000,SUM!$L$6:$L$500,1,FALSE)</f>
        <v>#N/A</v>
      </c>
      <c r="D2388" s="171" t="s">
        <v>4098</v>
      </c>
      <c r="E2388" s="165" t="s">
        <v>58</v>
      </c>
      <c r="F2388" s="81" t="s">
        <v>4099</v>
      </c>
      <c r="G2388" s="125" t="s">
        <v>4100</v>
      </c>
      <c r="H2388" s="81" t="s">
        <v>4122</v>
      </c>
      <c r="I2388" s="149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77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1">
        <v>2383.0</v>
      </c>
      <c r="B2389" s="180" t="s">
        <v>4182</v>
      </c>
      <c r="C2389" s="82" t="str">
        <f>VLOOKUP($B$7:$B$5000,SUM!$L$6:$L$500,1,FALSE)</f>
        <v>#N/A</v>
      </c>
      <c r="D2389" s="171" t="s">
        <v>4098</v>
      </c>
      <c r="E2389" s="165" t="s">
        <v>58</v>
      </c>
      <c r="F2389" s="81" t="s">
        <v>4099</v>
      </c>
      <c r="G2389" s="125" t="s">
        <v>4100</v>
      </c>
      <c r="H2389" s="81" t="s">
        <v>4124</v>
      </c>
      <c r="I2389" s="149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77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1">
        <v>2384.0</v>
      </c>
      <c r="B2390" s="180" t="s">
        <v>4183</v>
      </c>
      <c r="C2390" s="82" t="str">
        <f>VLOOKUP($B$7:$B$5000,SUM!$L$6:$L$500,1,FALSE)</f>
        <v>#N/A</v>
      </c>
      <c r="D2390" s="171" t="s">
        <v>4098</v>
      </c>
      <c r="E2390" s="165" t="s">
        <v>58</v>
      </c>
      <c r="F2390" s="81" t="s">
        <v>4099</v>
      </c>
      <c r="G2390" s="125" t="s">
        <v>4100</v>
      </c>
      <c r="H2390" s="81" t="s">
        <v>4126</v>
      </c>
      <c r="I2390" s="149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77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1">
        <v>2385.0</v>
      </c>
      <c r="B2391" s="180" t="s">
        <v>4184</v>
      </c>
      <c r="C2391" s="82" t="str">
        <f>VLOOKUP($B$7:$B$5000,SUM!$L$6:$L$500,1,FALSE)</f>
        <v>#N/A</v>
      </c>
      <c r="D2391" s="171" t="s">
        <v>4098</v>
      </c>
      <c r="E2391" s="165" t="s">
        <v>58</v>
      </c>
      <c r="F2391" s="81" t="s">
        <v>4099</v>
      </c>
      <c r="G2391" s="125" t="s">
        <v>4100</v>
      </c>
      <c r="H2391" s="81" t="s">
        <v>4128</v>
      </c>
      <c r="I2391" s="149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77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1">
        <v>2386.0</v>
      </c>
      <c r="B2392" s="180" t="s">
        <v>4185</v>
      </c>
      <c r="C2392" s="82" t="str">
        <f>VLOOKUP($B$7:$B$5000,SUM!$L$6:$L$500,1,FALSE)</f>
        <v>#N/A</v>
      </c>
      <c r="D2392" s="171" t="s">
        <v>4098</v>
      </c>
      <c r="E2392" s="165" t="s">
        <v>58</v>
      </c>
      <c r="F2392" s="81" t="s">
        <v>4099</v>
      </c>
      <c r="G2392" s="125" t="s">
        <v>4100</v>
      </c>
      <c r="H2392" s="81" t="s">
        <v>4130</v>
      </c>
      <c r="I2392" s="149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77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1">
        <v>2387.0</v>
      </c>
      <c r="B2393" s="180" t="s">
        <v>4186</v>
      </c>
      <c r="C2393" s="82" t="str">
        <f>VLOOKUP($B$7:$B$5000,SUM!$L$6:$L$500,1,FALSE)</f>
        <v>#N/A</v>
      </c>
      <c r="D2393" s="171" t="s">
        <v>4098</v>
      </c>
      <c r="E2393" s="165" t="s">
        <v>58</v>
      </c>
      <c r="F2393" s="81" t="s">
        <v>4099</v>
      </c>
      <c r="G2393" s="125" t="s">
        <v>4100</v>
      </c>
      <c r="H2393" s="81" t="s">
        <v>4132</v>
      </c>
      <c r="I2393" s="149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77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1">
        <v>2388.0</v>
      </c>
      <c r="B2394" s="180" t="s">
        <v>4187</v>
      </c>
      <c r="C2394" s="82" t="str">
        <f>VLOOKUP($B$7:$B$5000,SUM!$L$6:$L$500,1,FALSE)</f>
        <v>#N/A</v>
      </c>
      <c r="D2394" s="171" t="s">
        <v>4098</v>
      </c>
      <c r="E2394" s="165" t="s">
        <v>58</v>
      </c>
      <c r="F2394" s="81" t="s">
        <v>4099</v>
      </c>
      <c r="G2394" s="125" t="s">
        <v>4100</v>
      </c>
      <c r="H2394" s="81" t="s">
        <v>4134</v>
      </c>
      <c r="I2394" s="149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77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1">
        <v>2389.0</v>
      </c>
      <c r="B2395" s="180" t="s">
        <v>4188</v>
      </c>
      <c r="C2395" s="82" t="str">
        <f>VLOOKUP($B$7:$B$5000,SUM!$L$6:$L$500,1,FALSE)</f>
        <v>#N/A</v>
      </c>
      <c r="D2395" s="171" t="s">
        <v>4098</v>
      </c>
      <c r="E2395" s="165" t="s">
        <v>58</v>
      </c>
      <c r="F2395" s="81" t="s">
        <v>4099</v>
      </c>
      <c r="G2395" s="125" t="s">
        <v>4100</v>
      </c>
      <c r="H2395" s="81" t="s">
        <v>4136</v>
      </c>
      <c r="I2395" s="149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77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1">
        <v>2390.0</v>
      </c>
      <c r="B2396" s="180" t="s">
        <v>4189</v>
      </c>
      <c r="C2396" s="82" t="str">
        <f>VLOOKUP($B$7:$B$5000,SUM!$L$6:$L$500,1,FALSE)</f>
        <v>#N/A</v>
      </c>
      <c r="D2396" s="171" t="s">
        <v>4098</v>
      </c>
      <c r="E2396" s="165" t="s">
        <v>58</v>
      </c>
      <c r="F2396" s="81" t="s">
        <v>4099</v>
      </c>
      <c r="G2396" s="125" t="s">
        <v>4100</v>
      </c>
      <c r="H2396" s="81" t="s">
        <v>4138</v>
      </c>
      <c r="I2396" s="149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77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1">
        <v>2391.0</v>
      </c>
      <c r="B2397" s="180" t="s">
        <v>4191</v>
      </c>
      <c r="C2397" s="82" t="str">
        <f>VLOOKUP($B$7:$B$5000,SUM!$L$6:$L$500,1,FALSE)</f>
        <v>#N/A</v>
      </c>
      <c r="D2397" s="171" t="s">
        <v>4098</v>
      </c>
      <c r="E2397" s="165" t="s">
        <v>58</v>
      </c>
      <c r="F2397" s="81" t="s">
        <v>4099</v>
      </c>
      <c r="G2397" s="125" t="s">
        <v>4100</v>
      </c>
      <c r="H2397" s="81" t="s">
        <v>4141</v>
      </c>
      <c r="I2397" s="149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77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1">
        <v>2392.0</v>
      </c>
      <c r="B2398" s="180" t="s">
        <v>4192</v>
      </c>
      <c r="C2398" s="82" t="str">
        <f>VLOOKUP($B$7:$B$5000,SUM!$L$6:$L$500,1,FALSE)</f>
        <v>#N/A</v>
      </c>
      <c r="D2398" s="171" t="s">
        <v>4098</v>
      </c>
      <c r="E2398" s="165" t="s">
        <v>58</v>
      </c>
      <c r="F2398" s="81" t="s">
        <v>4099</v>
      </c>
      <c r="G2398" s="125" t="s">
        <v>4100</v>
      </c>
      <c r="H2398" s="81" t="s">
        <v>4143</v>
      </c>
      <c r="I2398" s="149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77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1">
        <v>2393.0</v>
      </c>
      <c r="B2399" s="180" t="s">
        <v>4193</v>
      </c>
      <c r="C2399" s="82" t="str">
        <f>VLOOKUP($B$7:$B$5000,SUM!$L$6:$L$500,1,FALSE)</f>
        <v>#N/A</v>
      </c>
      <c r="D2399" s="171" t="s">
        <v>4098</v>
      </c>
      <c r="E2399" s="165" t="s">
        <v>58</v>
      </c>
      <c r="F2399" s="81" t="s">
        <v>4099</v>
      </c>
      <c r="G2399" s="125" t="s">
        <v>4100</v>
      </c>
      <c r="H2399" s="81" t="s">
        <v>4145</v>
      </c>
      <c r="I2399" s="149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77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1">
        <v>2394.0</v>
      </c>
      <c r="B2400" s="180" t="s">
        <v>4194</v>
      </c>
      <c r="C2400" s="82" t="str">
        <f>VLOOKUP($B$7:$B$5000,SUM!$L$6:$L$500,1,FALSE)</f>
        <v>#N/A</v>
      </c>
      <c r="D2400" s="171" t="s">
        <v>4098</v>
      </c>
      <c r="E2400" s="165" t="s">
        <v>58</v>
      </c>
      <c r="F2400" s="81" t="s">
        <v>4099</v>
      </c>
      <c r="G2400" s="125" t="s">
        <v>4100</v>
      </c>
      <c r="H2400" s="81" t="s">
        <v>4147</v>
      </c>
      <c r="I2400" s="149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77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1">
        <v>2395.0</v>
      </c>
      <c r="B2401" s="180" t="s">
        <v>4195</v>
      </c>
      <c r="C2401" s="82" t="str">
        <f>VLOOKUP($B$7:$B$5000,SUM!$L$6:$L$500,1,FALSE)</f>
        <v>#N/A</v>
      </c>
      <c r="D2401" s="171" t="s">
        <v>4098</v>
      </c>
      <c r="E2401" s="165" t="s">
        <v>58</v>
      </c>
      <c r="F2401" s="81" t="s">
        <v>4099</v>
      </c>
      <c r="G2401" s="125" t="s">
        <v>4100</v>
      </c>
      <c r="H2401" s="81" t="s">
        <v>4149</v>
      </c>
      <c r="I2401" s="149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77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1">
        <v>2396.0</v>
      </c>
      <c r="B2402" s="180" t="s">
        <v>4196</v>
      </c>
      <c r="C2402" s="82" t="str">
        <f>VLOOKUP($B$7:$B$5000,SUM!$L$6:$L$500,1,FALSE)</f>
        <v>#N/A</v>
      </c>
      <c r="D2402" s="171" t="s">
        <v>4098</v>
      </c>
      <c r="E2402" s="165" t="s">
        <v>58</v>
      </c>
      <c r="F2402" s="81" t="s">
        <v>4099</v>
      </c>
      <c r="G2402" s="125" t="s">
        <v>4100</v>
      </c>
      <c r="H2402" s="81" t="s">
        <v>4151</v>
      </c>
      <c r="I2402" s="149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77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1">
        <v>2397.0</v>
      </c>
      <c r="B2403" s="180" t="s">
        <v>4197</v>
      </c>
      <c r="C2403" s="82" t="str">
        <f>VLOOKUP($B$7:$B$5000,SUM!$L$6:$L$500,1,FALSE)</f>
        <v>#N/A</v>
      </c>
      <c r="D2403" s="171" t="s">
        <v>4098</v>
      </c>
      <c r="E2403" s="165" t="s">
        <v>58</v>
      </c>
      <c r="F2403" s="81" t="s">
        <v>4099</v>
      </c>
      <c r="G2403" s="125" t="s">
        <v>4100</v>
      </c>
      <c r="H2403" s="81" t="s">
        <v>4153</v>
      </c>
      <c r="I2403" s="149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77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1">
        <v>2398.0</v>
      </c>
      <c r="B2404" s="180" t="s">
        <v>4198</v>
      </c>
      <c r="C2404" s="82" t="str">
        <f>VLOOKUP($B$7:$B$5000,SUM!$L$6:$L$500,1,FALSE)</f>
        <v>#N/A</v>
      </c>
      <c r="D2404" s="171" t="s">
        <v>4098</v>
      </c>
      <c r="E2404" s="165" t="s">
        <v>58</v>
      </c>
      <c r="F2404" s="81" t="s">
        <v>4099</v>
      </c>
      <c r="G2404" s="125" t="s">
        <v>4100</v>
      </c>
      <c r="H2404" s="81" t="s">
        <v>4155</v>
      </c>
      <c r="I2404" s="149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77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1">
        <v>2399.0</v>
      </c>
      <c r="B2405" s="180" t="s">
        <v>4199</v>
      </c>
      <c r="C2405" s="82" t="str">
        <f>VLOOKUP($B$7:$B$5000,SUM!$L$6:$L$500,1,FALSE)</f>
        <v>#N/A</v>
      </c>
      <c r="D2405" s="171" t="s">
        <v>4098</v>
      </c>
      <c r="E2405" s="165" t="s">
        <v>58</v>
      </c>
      <c r="F2405" s="81" t="s">
        <v>4099</v>
      </c>
      <c r="G2405" s="125" t="s">
        <v>4100</v>
      </c>
      <c r="H2405" s="81" t="s">
        <v>4157</v>
      </c>
      <c r="I2405" s="149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77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1">
        <v>2400.0</v>
      </c>
      <c r="B2406" s="180" t="s">
        <v>4200</v>
      </c>
      <c r="C2406" s="82" t="str">
        <f>VLOOKUP($B$7:$B$5000,SUM!$L$6:$L$500,1,FALSE)</f>
        <v>#N/A</v>
      </c>
      <c r="D2406" s="171" t="s">
        <v>4098</v>
      </c>
      <c r="E2406" s="165" t="s">
        <v>58</v>
      </c>
      <c r="F2406" s="81" t="s">
        <v>4099</v>
      </c>
      <c r="G2406" s="125" t="s">
        <v>4100</v>
      </c>
      <c r="H2406" s="81" t="s">
        <v>4159</v>
      </c>
      <c r="I2406" s="149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77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1">
        <v>2401.0</v>
      </c>
      <c r="B2407" s="180" t="s">
        <v>4201</v>
      </c>
      <c r="C2407" s="82" t="str">
        <f>VLOOKUP($B$7:$B$5000,SUM!$L$6:$L$500,1,FALSE)</f>
        <v>#N/A</v>
      </c>
      <c r="D2407" s="171" t="s">
        <v>4098</v>
      </c>
      <c r="E2407" s="165" t="s">
        <v>58</v>
      </c>
      <c r="F2407" s="81" t="s">
        <v>4099</v>
      </c>
      <c r="G2407" s="125" t="s">
        <v>4100</v>
      </c>
      <c r="H2407" s="81" t="s">
        <v>4161</v>
      </c>
      <c r="I2407" s="149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77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1">
        <v>2402.0</v>
      </c>
      <c r="B2408" s="180" t="s">
        <v>4202</v>
      </c>
      <c r="C2408" s="82" t="str">
        <f>VLOOKUP($B$7:$B$5000,SUM!$L$6:$L$500,1,FALSE)</f>
        <v>#N/A</v>
      </c>
      <c r="D2408" s="171" t="s">
        <v>4098</v>
      </c>
      <c r="E2408" s="165" t="s">
        <v>58</v>
      </c>
      <c r="F2408" s="81" t="s">
        <v>4099</v>
      </c>
      <c r="G2408" s="125" t="s">
        <v>4100</v>
      </c>
      <c r="H2408" s="81" t="s">
        <v>4163</v>
      </c>
      <c r="I2408" s="149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77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1">
        <v>2403.0</v>
      </c>
      <c r="B2409" s="180" t="s">
        <v>4203</v>
      </c>
      <c r="C2409" s="82" t="str">
        <f>VLOOKUP($B$7:$B$5000,SUM!$L$6:$L$500,1,FALSE)</f>
        <v>#N/A</v>
      </c>
      <c r="D2409" s="171" t="s">
        <v>4098</v>
      </c>
      <c r="E2409" s="165" t="s">
        <v>58</v>
      </c>
      <c r="F2409" s="81" t="s">
        <v>4099</v>
      </c>
      <c r="G2409" s="125" t="s">
        <v>4100</v>
      </c>
      <c r="H2409" s="81" t="s">
        <v>4165</v>
      </c>
      <c r="I2409" s="149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77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1">
        <v>2404.0</v>
      </c>
      <c r="B2410" s="180" t="s">
        <v>4204</v>
      </c>
      <c r="C2410" s="82" t="str">
        <f>VLOOKUP($B$7:$B$5000,SUM!$L$6:$L$500,1,FALSE)</f>
        <v>#N/A</v>
      </c>
      <c r="D2410" s="171" t="s">
        <v>4098</v>
      </c>
      <c r="E2410" s="165" t="s">
        <v>58</v>
      </c>
      <c r="F2410" s="81" t="s">
        <v>4099</v>
      </c>
      <c r="G2410" s="125" t="s">
        <v>4100</v>
      </c>
      <c r="H2410" s="81" t="s">
        <v>4167</v>
      </c>
      <c r="I2410" s="149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77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1">
        <v>2405.0</v>
      </c>
      <c r="B2411" s="180" t="s">
        <v>4205</v>
      </c>
      <c r="C2411" s="82" t="str">
        <f>VLOOKUP($B$7:$B$5000,SUM!$L$6:$L$500,1,FALSE)</f>
        <v>#N/A</v>
      </c>
      <c r="D2411" s="171" t="s">
        <v>4098</v>
      </c>
      <c r="E2411" s="165" t="s">
        <v>58</v>
      </c>
      <c r="F2411" s="81" t="s">
        <v>4099</v>
      </c>
      <c r="G2411" s="125" t="s">
        <v>4100</v>
      </c>
      <c r="H2411" s="81" t="s">
        <v>4169</v>
      </c>
      <c r="I2411" s="149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77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1">
        <v>2406.0</v>
      </c>
      <c r="B2412" s="180" t="s">
        <v>4206</v>
      </c>
      <c r="C2412" s="82" t="str">
        <f>VLOOKUP($B$7:$B$5000,SUM!$L$6:$L$500,1,FALSE)</f>
        <v>#N/A</v>
      </c>
      <c r="D2412" s="171" t="s">
        <v>4098</v>
      </c>
      <c r="E2412" s="165" t="s">
        <v>58</v>
      </c>
      <c r="F2412" s="81" t="s">
        <v>4099</v>
      </c>
      <c r="G2412" s="125" t="s">
        <v>4100</v>
      </c>
      <c r="H2412" s="81" t="s">
        <v>4101</v>
      </c>
      <c r="I2412" s="149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77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31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1">
        <v>2407.0</v>
      </c>
      <c r="B2413" s="180" t="s">
        <v>4208</v>
      </c>
      <c r="C2413" s="82" t="str">
        <f>VLOOKUP($B$7:$B$5000,SUM!$L$6:$L$500,1,FALSE)</f>
        <v>#N/A</v>
      </c>
      <c r="D2413" s="171" t="s">
        <v>4098</v>
      </c>
      <c r="E2413" s="165" t="s">
        <v>58</v>
      </c>
      <c r="F2413" s="81" t="s">
        <v>4099</v>
      </c>
      <c r="G2413" s="125" t="s">
        <v>4100</v>
      </c>
      <c r="H2413" s="81" t="s">
        <v>4104</v>
      </c>
      <c r="I2413" s="149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77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31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1">
        <v>2408.0</v>
      </c>
      <c r="B2414" s="180" t="s">
        <v>4209</v>
      </c>
      <c r="C2414" s="82" t="str">
        <f>VLOOKUP($B$7:$B$5000,SUM!$L$6:$L$500,1,FALSE)</f>
        <v>#N/A</v>
      </c>
      <c r="D2414" s="171" t="s">
        <v>4098</v>
      </c>
      <c r="E2414" s="165" t="s">
        <v>58</v>
      </c>
      <c r="F2414" s="81" t="s">
        <v>4099</v>
      </c>
      <c r="G2414" s="125" t="s">
        <v>4100</v>
      </c>
      <c r="H2414" s="81" t="s">
        <v>4106</v>
      </c>
      <c r="I2414" s="149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77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31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1">
        <v>2409.0</v>
      </c>
      <c r="B2415" s="180" t="s">
        <v>4210</v>
      </c>
      <c r="C2415" s="82" t="str">
        <f>VLOOKUP($B$7:$B$5000,SUM!$L$6:$L$500,1,FALSE)</f>
        <v>#N/A</v>
      </c>
      <c r="D2415" s="171" t="s">
        <v>4098</v>
      </c>
      <c r="E2415" s="165" t="s">
        <v>58</v>
      </c>
      <c r="F2415" s="81" t="s">
        <v>4099</v>
      </c>
      <c r="G2415" s="125" t="s">
        <v>4100</v>
      </c>
      <c r="H2415" s="81" t="s">
        <v>4108</v>
      </c>
      <c r="I2415" s="149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77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31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1">
        <v>2410.0</v>
      </c>
      <c r="B2416" s="180" t="s">
        <v>4211</v>
      </c>
      <c r="C2416" s="82" t="str">
        <f>VLOOKUP($B$7:$B$5000,SUM!$L$6:$L$500,1,FALSE)</f>
        <v>#N/A</v>
      </c>
      <c r="D2416" s="171" t="s">
        <v>4098</v>
      </c>
      <c r="E2416" s="165" t="s">
        <v>58</v>
      </c>
      <c r="F2416" s="81" t="s">
        <v>4099</v>
      </c>
      <c r="G2416" s="125" t="s">
        <v>4100</v>
      </c>
      <c r="H2416" s="81" t="s">
        <v>4110</v>
      </c>
      <c r="I2416" s="149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77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31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1">
        <v>2411.0</v>
      </c>
      <c r="B2417" s="180" t="s">
        <v>4212</v>
      </c>
      <c r="C2417" s="82" t="str">
        <f>VLOOKUP($B$7:$B$5000,SUM!$L$6:$L$500,1,FALSE)</f>
        <v>#N/A</v>
      </c>
      <c r="D2417" s="171" t="s">
        <v>4098</v>
      </c>
      <c r="E2417" s="165" t="s">
        <v>58</v>
      </c>
      <c r="F2417" s="81" t="s">
        <v>4099</v>
      </c>
      <c r="G2417" s="125" t="s">
        <v>4100</v>
      </c>
      <c r="H2417" s="81" t="s">
        <v>4112</v>
      </c>
      <c r="I2417" s="149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77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1">
        <v>2412.0</v>
      </c>
      <c r="B2418" s="180" t="s">
        <v>4213</v>
      </c>
      <c r="C2418" s="82" t="str">
        <f>VLOOKUP($B$7:$B$5000,SUM!$L$6:$L$500,1,FALSE)</f>
        <v>#N/A</v>
      </c>
      <c r="D2418" s="171" t="s">
        <v>4098</v>
      </c>
      <c r="E2418" s="165" t="s">
        <v>58</v>
      </c>
      <c r="F2418" s="81" t="s">
        <v>4099</v>
      </c>
      <c r="G2418" s="125" t="s">
        <v>4100</v>
      </c>
      <c r="H2418" s="81" t="s">
        <v>4114</v>
      </c>
      <c r="I2418" s="149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77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1">
        <v>2413.0</v>
      </c>
      <c r="B2419" s="180" t="s">
        <v>4214</v>
      </c>
      <c r="C2419" s="82" t="str">
        <f>VLOOKUP($B$7:$B$5000,SUM!$L$6:$L$500,1,FALSE)</f>
        <v>#N/A</v>
      </c>
      <c r="D2419" s="171" t="s">
        <v>4098</v>
      </c>
      <c r="E2419" s="165" t="s">
        <v>58</v>
      </c>
      <c r="F2419" s="81" t="s">
        <v>4099</v>
      </c>
      <c r="G2419" s="125" t="s">
        <v>4100</v>
      </c>
      <c r="H2419" s="81" t="s">
        <v>4116</v>
      </c>
      <c r="I2419" s="149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77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31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1">
        <v>2414.0</v>
      </c>
      <c r="B2420" s="180" t="s">
        <v>4215</v>
      </c>
      <c r="C2420" s="82" t="str">
        <f>VLOOKUP($B$7:$B$5000,SUM!$L$6:$L$500,1,FALSE)</f>
        <v>#N/A</v>
      </c>
      <c r="D2420" s="171" t="s">
        <v>4098</v>
      </c>
      <c r="E2420" s="165" t="s">
        <v>58</v>
      </c>
      <c r="F2420" s="81" t="s">
        <v>4099</v>
      </c>
      <c r="G2420" s="125" t="s">
        <v>4100</v>
      </c>
      <c r="H2420" s="81" t="s">
        <v>4118</v>
      </c>
      <c r="I2420" s="149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77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31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1">
        <v>2415.0</v>
      </c>
      <c r="B2421" s="180" t="s">
        <v>4216</v>
      </c>
      <c r="C2421" s="82" t="str">
        <f>VLOOKUP($B$7:$B$5000,SUM!$L$6:$L$500,1,FALSE)</f>
        <v>#N/A</v>
      </c>
      <c r="D2421" s="171" t="s">
        <v>4098</v>
      </c>
      <c r="E2421" s="165" t="s">
        <v>58</v>
      </c>
      <c r="F2421" s="81" t="s">
        <v>4099</v>
      </c>
      <c r="G2421" s="125" t="s">
        <v>4100</v>
      </c>
      <c r="H2421" s="81" t="s">
        <v>4120</v>
      </c>
      <c r="I2421" s="149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77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31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1">
        <v>2416.0</v>
      </c>
      <c r="B2422" s="180" t="s">
        <v>4217</v>
      </c>
      <c r="C2422" s="82" t="str">
        <f>VLOOKUP($B$7:$B$5000,SUM!$L$6:$L$500,1,FALSE)</f>
        <v>#N/A</v>
      </c>
      <c r="D2422" s="171" t="s">
        <v>4098</v>
      </c>
      <c r="E2422" s="165" t="s">
        <v>58</v>
      </c>
      <c r="F2422" s="81" t="s">
        <v>4099</v>
      </c>
      <c r="G2422" s="125" t="s">
        <v>4100</v>
      </c>
      <c r="H2422" s="81" t="s">
        <v>4122</v>
      </c>
      <c r="I2422" s="149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77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31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1">
        <v>2417.0</v>
      </c>
      <c r="B2423" s="180" t="s">
        <v>4218</v>
      </c>
      <c r="C2423" s="82" t="str">
        <f>VLOOKUP($B$7:$B$5000,SUM!$L$6:$L$500,1,FALSE)</f>
        <v>#N/A</v>
      </c>
      <c r="D2423" s="171" t="s">
        <v>4098</v>
      </c>
      <c r="E2423" s="165" t="s">
        <v>58</v>
      </c>
      <c r="F2423" s="81" t="s">
        <v>4099</v>
      </c>
      <c r="G2423" s="125" t="s">
        <v>4100</v>
      </c>
      <c r="H2423" s="81" t="s">
        <v>4124</v>
      </c>
      <c r="I2423" s="149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77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1">
        <v>2418.0</v>
      </c>
      <c r="B2424" s="180" t="s">
        <v>4219</v>
      </c>
      <c r="C2424" s="82" t="str">
        <f>VLOOKUP($B$7:$B$5000,SUM!$L$6:$L$500,1,FALSE)</f>
        <v>#N/A</v>
      </c>
      <c r="D2424" s="171" t="s">
        <v>4098</v>
      </c>
      <c r="E2424" s="165" t="s">
        <v>58</v>
      </c>
      <c r="F2424" s="81" t="s">
        <v>4099</v>
      </c>
      <c r="G2424" s="125" t="s">
        <v>4100</v>
      </c>
      <c r="H2424" s="81" t="s">
        <v>4126</v>
      </c>
      <c r="I2424" s="149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77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31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1">
        <v>2419.0</v>
      </c>
      <c r="B2425" s="180" t="s">
        <v>4220</v>
      </c>
      <c r="C2425" s="82" t="str">
        <f>VLOOKUP($B$7:$B$5000,SUM!$L$6:$L$500,1,FALSE)</f>
        <v>#N/A</v>
      </c>
      <c r="D2425" s="171" t="s">
        <v>4098</v>
      </c>
      <c r="E2425" s="165" t="s">
        <v>58</v>
      </c>
      <c r="F2425" s="81" t="s">
        <v>4099</v>
      </c>
      <c r="G2425" s="125" t="s">
        <v>4100</v>
      </c>
      <c r="H2425" s="81" t="s">
        <v>4128</v>
      </c>
      <c r="I2425" s="149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77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31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1">
        <v>2420.0</v>
      </c>
      <c r="B2426" s="180" t="s">
        <v>4221</v>
      </c>
      <c r="C2426" s="82" t="str">
        <f>VLOOKUP($B$7:$B$5000,SUM!$L$6:$L$500,1,FALSE)</f>
        <v>#N/A</v>
      </c>
      <c r="D2426" s="171" t="s">
        <v>4098</v>
      </c>
      <c r="E2426" s="165" t="s">
        <v>58</v>
      </c>
      <c r="F2426" s="81" t="s">
        <v>4099</v>
      </c>
      <c r="G2426" s="125" t="s">
        <v>4100</v>
      </c>
      <c r="H2426" s="81" t="s">
        <v>4130</v>
      </c>
      <c r="I2426" s="149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77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31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1">
        <v>2421.0</v>
      </c>
      <c r="B2427" s="180" t="s">
        <v>4222</v>
      </c>
      <c r="C2427" s="82" t="str">
        <f>VLOOKUP($B$7:$B$5000,SUM!$L$6:$L$500,1,FALSE)</f>
        <v>#N/A</v>
      </c>
      <c r="D2427" s="171" t="s">
        <v>4098</v>
      </c>
      <c r="E2427" s="165" t="s">
        <v>58</v>
      </c>
      <c r="F2427" s="81" t="s">
        <v>4099</v>
      </c>
      <c r="G2427" s="125" t="s">
        <v>4100</v>
      </c>
      <c r="H2427" s="81" t="s">
        <v>4132</v>
      </c>
      <c r="I2427" s="149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77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31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1">
        <v>2422.0</v>
      </c>
      <c r="B2428" s="180" t="s">
        <v>4223</v>
      </c>
      <c r="C2428" s="82" t="str">
        <f>VLOOKUP($B$7:$B$5000,SUM!$L$6:$L$500,1,FALSE)</f>
        <v>#N/A</v>
      </c>
      <c r="D2428" s="171" t="s">
        <v>4098</v>
      </c>
      <c r="E2428" s="165" t="s">
        <v>58</v>
      </c>
      <c r="F2428" s="81" t="s">
        <v>4099</v>
      </c>
      <c r="G2428" s="125" t="s">
        <v>4100</v>
      </c>
      <c r="H2428" s="81" t="s">
        <v>4134</v>
      </c>
      <c r="I2428" s="149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77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1">
        <v>2423.0</v>
      </c>
      <c r="B2429" s="180" t="s">
        <v>4224</v>
      </c>
      <c r="C2429" s="82" t="str">
        <f>VLOOKUP($B$7:$B$5000,SUM!$L$6:$L$500,1,FALSE)</f>
        <v>#N/A</v>
      </c>
      <c r="D2429" s="171" t="s">
        <v>4098</v>
      </c>
      <c r="E2429" s="165" t="s">
        <v>58</v>
      </c>
      <c r="F2429" s="81" t="s">
        <v>4099</v>
      </c>
      <c r="G2429" s="125" t="s">
        <v>4100</v>
      </c>
      <c r="H2429" s="81" t="s">
        <v>4136</v>
      </c>
      <c r="I2429" s="149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77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31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1">
        <v>2424.0</v>
      </c>
      <c r="B2430" s="180" t="s">
        <v>4225</v>
      </c>
      <c r="C2430" s="82" t="str">
        <f>VLOOKUP($B$7:$B$5000,SUM!$L$6:$L$500,1,FALSE)</f>
        <v>#N/A</v>
      </c>
      <c r="D2430" s="171" t="s">
        <v>4098</v>
      </c>
      <c r="E2430" s="165" t="s">
        <v>58</v>
      </c>
      <c r="F2430" s="81" t="s">
        <v>4099</v>
      </c>
      <c r="G2430" s="125" t="s">
        <v>4100</v>
      </c>
      <c r="H2430" s="81" t="s">
        <v>4138</v>
      </c>
      <c r="I2430" s="149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77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1">
        <v>2425.0</v>
      </c>
      <c r="B2431" s="180" t="s">
        <v>4227</v>
      </c>
      <c r="C2431" s="82" t="str">
        <f>VLOOKUP($B$7:$B$5000,SUM!$L$6:$L$500,1,FALSE)</f>
        <v>#N/A</v>
      </c>
      <c r="D2431" s="171" t="s">
        <v>4098</v>
      </c>
      <c r="E2431" s="165" t="s">
        <v>58</v>
      </c>
      <c r="F2431" s="81" t="s">
        <v>4099</v>
      </c>
      <c r="G2431" s="125" t="s">
        <v>4100</v>
      </c>
      <c r="H2431" s="81" t="s">
        <v>4141</v>
      </c>
      <c r="I2431" s="149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77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1">
        <v>2426.0</v>
      </c>
      <c r="B2432" s="180" t="s">
        <v>4228</v>
      </c>
      <c r="C2432" s="82" t="str">
        <f>VLOOKUP($B$7:$B$5000,SUM!$L$6:$L$500,1,FALSE)</f>
        <v>#N/A</v>
      </c>
      <c r="D2432" s="171" t="s">
        <v>4098</v>
      </c>
      <c r="E2432" s="165" t="s">
        <v>58</v>
      </c>
      <c r="F2432" s="81" t="s">
        <v>4099</v>
      </c>
      <c r="G2432" s="125" t="s">
        <v>4100</v>
      </c>
      <c r="H2432" s="81" t="s">
        <v>4143</v>
      </c>
      <c r="I2432" s="149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77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1">
        <v>2427.0</v>
      </c>
      <c r="B2433" s="180" t="s">
        <v>4229</v>
      </c>
      <c r="C2433" s="82" t="str">
        <f>VLOOKUP($B$7:$B$5000,SUM!$L$6:$L$500,1,FALSE)</f>
        <v>#N/A</v>
      </c>
      <c r="D2433" s="171" t="s">
        <v>4098</v>
      </c>
      <c r="E2433" s="165" t="s">
        <v>58</v>
      </c>
      <c r="F2433" s="81" t="s">
        <v>4099</v>
      </c>
      <c r="G2433" s="125" t="s">
        <v>4100</v>
      </c>
      <c r="H2433" s="81" t="s">
        <v>4145</v>
      </c>
      <c r="I2433" s="149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77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1">
        <v>2428.0</v>
      </c>
      <c r="B2434" s="180" t="s">
        <v>4230</v>
      </c>
      <c r="C2434" s="82" t="str">
        <f>VLOOKUP($B$7:$B$5000,SUM!$L$6:$L$500,1,FALSE)</f>
        <v>#N/A</v>
      </c>
      <c r="D2434" s="171" t="s">
        <v>4098</v>
      </c>
      <c r="E2434" s="165" t="s">
        <v>58</v>
      </c>
      <c r="F2434" s="81" t="s">
        <v>4099</v>
      </c>
      <c r="G2434" s="125" t="s">
        <v>4100</v>
      </c>
      <c r="H2434" s="81" t="s">
        <v>4147</v>
      </c>
      <c r="I2434" s="149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77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1">
        <v>2429.0</v>
      </c>
      <c r="B2435" s="180" t="s">
        <v>4231</v>
      </c>
      <c r="C2435" s="82" t="str">
        <f>VLOOKUP($B$7:$B$5000,SUM!$L$6:$L$500,1,FALSE)</f>
        <v>#N/A</v>
      </c>
      <c r="D2435" s="171" t="s">
        <v>4098</v>
      </c>
      <c r="E2435" s="165" t="s">
        <v>58</v>
      </c>
      <c r="F2435" s="81" t="s">
        <v>4099</v>
      </c>
      <c r="G2435" s="125" t="s">
        <v>4100</v>
      </c>
      <c r="H2435" s="81" t="s">
        <v>4149</v>
      </c>
      <c r="I2435" s="149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77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1">
        <v>2430.0</v>
      </c>
      <c r="B2436" s="180" t="s">
        <v>4232</v>
      </c>
      <c r="C2436" s="82" t="str">
        <f>VLOOKUP($B$7:$B$5000,SUM!$L$6:$L$500,1,FALSE)</f>
        <v>#N/A</v>
      </c>
      <c r="D2436" s="171" t="s">
        <v>4098</v>
      </c>
      <c r="E2436" s="165" t="s">
        <v>58</v>
      </c>
      <c r="F2436" s="81" t="s">
        <v>4099</v>
      </c>
      <c r="G2436" s="125" t="s">
        <v>4100</v>
      </c>
      <c r="H2436" s="81" t="s">
        <v>4151</v>
      </c>
      <c r="I2436" s="149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77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1">
        <v>2431.0</v>
      </c>
      <c r="B2437" s="180" t="s">
        <v>4233</v>
      </c>
      <c r="C2437" s="82" t="str">
        <f>VLOOKUP($B$7:$B$5000,SUM!$L$6:$L$500,1,FALSE)</f>
        <v>#N/A</v>
      </c>
      <c r="D2437" s="171" t="s">
        <v>4098</v>
      </c>
      <c r="E2437" s="165" t="s">
        <v>58</v>
      </c>
      <c r="F2437" s="81" t="s">
        <v>4099</v>
      </c>
      <c r="G2437" s="125" t="s">
        <v>4100</v>
      </c>
      <c r="H2437" s="81" t="s">
        <v>4153</v>
      </c>
      <c r="I2437" s="149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77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1">
        <v>2432.0</v>
      </c>
      <c r="B2438" s="180" t="s">
        <v>4234</v>
      </c>
      <c r="C2438" s="82" t="str">
        <f>VLOOKUP($B$7:$B$5000,SUM!$L$6:$L$500,1,FALSE)</f>
        <v>#N/A</v>
      </c>
      <c r="D2438" s="171" t="s">
        <v>4098</v>
      </c>
      <c r="E2438" s="165" t="s">
        <v>58</v>
      </c>
      <c r="F2438" s="81" t="s">
        <v>4099</v>
      </c>
      <c r="G2438" s="125" t="s">
        <v>4100</v>
      </c>
      <c r="H2438" s="81" t="s">
        <v>4155</v>
      </c>
      <c r="I2438" s="149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77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1">
        <v>2433.0</v>
      </c>
      <c r="B2439" s="180" t="s">
        <v>4235</v>
      </c>
      <c r="C2439" s="82" t="str">
        <f>VLOOKUP($B$7:$B$5000,SUM!$L$6:$L$500,1,FALSE)</f>
        <v>#N/A</v>
      </c>
      <c r="D2439" s="171" t="s">
        <v>4098</v>
      </c>
      <c r="E2439" s="165" t="s">
        <v>58</v>
      </c>
      <c r="F2439" s="81" t="s">
        <v>4099</v>
      </c>
      <c r="G2439" s="125" t="s">
        <v>4100</v>
      </c>
      <c r="H2439" s="81" t="s">
        <v>4157</v>
      </c>
      <c r="I2439" s="149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77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1">
        <v>2434.0</v>
      </c>
      <c r="B2440" s="180" t="s">
        <v>4236</v>
      </c>
      <c r="C2440" s="82" t="str">
        <f>VLOOKUP($B$7:$B$5000,SUM!$L$6:$L$500,1,FALSE)</f>
        <v>#N/A</v>
      </c>
      <c r="D2440" s="171" t="s">
        <v>4098</v>
      </c>
      <c r="E2440" s="165" t="s">
        <v>58</v>
      </c>
      <c r="F2440" s="81" t="s">
        <v>4099</v>
      </c>
      <c r="G2440" s="125" t="s">
        <v>4100</v>
      </c>
      <c r="H2440" s="81" t="s">
        <v>4159</v>
      </c>
      <c r="I2440" s="149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77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1">
        <v>2435.0</v>
      </c>
      <c r="B2441" s="180" t="s">
        <v>4237</v>
      </c>
      <c r="C2441" s="82" t="str">
        <f>VLOOKUP($B$7:$B$5000,SUM!$L$6:$L$500,1,FALSE)</f>
        <v>#N/A</v>
      </c>
      <c r="D2441" s="171" t="s">
        <v>4098</v>
      </c>
      <c r="E2441" s="165" t="s">
        <v>58</v>
      </c>
      <c r="F2441" s="81" t="s">
        <v>4099</v>
      </c>
      <c r="G2441" s="125" t="s">
        <v>4100</v>
      </c>
      <c r="H2441" s="81" t="s">
        <v>4161</v>
      </c>
      <c r="I2441" s="149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77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1">
        <v>2436.0</v>
      </c>
      <c r="B2442" s="180" t="s">
        <v>4238</v>
      </c>
      <c r="C2442" s="82" t="str">
        <f>VLOOKUP($B$7:$B$5000,SUM!$L$6:$L$500,1,FALSE)</f>
        <v>#N/A</v>
      </c>
      <c r="D2442" s="171" t="s">
        <v>4098</v>
      </c>
      <c r="E2442" s="165" t="s">
        <v>58</v>
      </c>
      <c r="F2442" s="81" t="s">
        <v>4099</v>
      </c>
      <c r="G2442" s="125" t="s">
        <v>4100</v>
      </c>
      <c r="H2442" s="81" t="s">
        <v>4163</v>
      </c>
      <c r="I2442" s="149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77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1">
        <v>2437.0</v>
      </c>
      <c r="B2443" s="180" t="s">
        <v>4239</v>
      </c>
      <c r="C2443" s="82" t="str">
        <f>VLOOKUP($B$7:$B$5000,SUM!$L$6:$L$500,1,FALSE)</f>
        <v>#N/A</v>
      </c>
      <c r="D2443" s="171" t="s">
        <v>4098</v>
      </c>
      <c r="E2443" s="165" t="s">
        <v>58</v>
      </c>
      <c r="F2443" s="81" t="s">
        <v>4099</v>
      </c>
      <c r="G2443" s="125" t="s">
        <v>4100</v>
      </c>
      <c r="H2443" s="81" t="s">
        <v>4165</v>
      </c>
      <c r="I2443" s="149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77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1">
        <v>2438.0</v>
      </c>
      <c r="B2444" s="180" t="s">
        <v>4240</v>
      </c>
      <c r="C2444" s="82" t="str">
        <f>VLOOKUP($B$7:$B$5000,SUM!$L$6:$L$500,1,FALSE)</f>
        <v>#N/A</v>
      </c>
      <c r="D2444" s="171" t="s">
        <v>4098</v>
      </c>
      <c r="E2444" s="165" t="s">
        <v>58</v>
      </c>
      <c r="F2444" s="81" t="s">
        <v>4099</v>
      </c>
      <c r="G2444" s="125" t="s">
        <v>4100</v>
      </c>
      <c r="H2444" s="81" t="s">
        <v>4167</v>
      </c>
      <c r="I2444" s="149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77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1">
        <v>2439.0</v>
      </c>
      <c r="B2445" s="180" t="s">
        <v>4241</v>
      </c>
      <c r="C2445" s="82" t="str">
        <f>VLOOKUP($B$7:$B$5000,SUM!$L$6:$L$500,1,FALSE)</f>
        <v>#N/A</v>
      </c>
      <c r="D2445" s="171" t="s">
        <v>4098</v>
      </c>
      <c r="E2445" s="165" t="s">
        <v>58</v>
      </c>
      <c r="F2445" s="81" t="s">
        <v>4099</v>
      </c>
      <c r="G2445" s="125" t="s">
        <v>4100</v>
      </c>
      <c r="H2445" s="81" t="s">
        <v>4169</v>
      </c>
      <c r="I2445" s="149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77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1">
        <v>2440.0</v>
      </c>
      <c r="B2446" s="180" t="s">
        <v>4242</v>
      </c>
      <c r="C2446" s="82" t="str">
        <f>VLOOKUP($B$7:$B$5000,SUM!$L$6:$L$500,1,FALSE)</f>
        <v>#N/A</v>
      </c>
      <c r="D2446" s="171" t="s">
        <v>4243</v>
      </c>
      <c r="E2446" s="165" t="s">
        <v>58</v>
      </c>
      <c r="F2446" s="81" t="s">
        <v>4099</v>
      </c>
      <c r="G2446" s="125" t="s">
        <v>4100</v>
      </c>
      <c r="H2446" s="81" t="s">
        <v>4244</v>
      </c>
      <c r="I2446" s="149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77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1">
        <v>2441.0</v>
      </c>
      <c r="B2447" s="180" t="s">
        <v>4245</v>
      </c>
      <c r="C2447" s="82" t="str">
        <f>VLOOKUP($B$7:$B$5000,SUM!$L$6:$L$500,1,FALSE)</f>
        <v>#N/A</v>
      </c>
      <c r="D2447" s="171" t="s">
        <v>4243</v>
      </c>
      <c r="E2447" s="165" t="s">
        <v>58</v>
      </c>
      <c r="F2447" s="81" t="s">
        <v>4099</v>
      </c>
      <c r="G2447" s="125" t="s">
        <v>4100</v>
      </c>
      <c r="H2447" s="81" t="s">
        <v>4246</v>
      </c>
      <c r="I2447" s="149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77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1">
        <v>2442.0</v>
      </c>
      <c r="B2448" s="180" t="s">
        <v>4247</v>
      </c>
      <c r="C2448" s="82" t="str">
        <f>VLOOKUP($B$7:$B$5000,SUM!$L$6:$L$500,1,FALSE)</f>
        <v>#N/A</v>
      </c>
      <c r="D2448" s="171" t="s">
        <v>4243</v>
      </c>
      <c r="E2448" s="165" t="s">
        <v>58</v>
      </c>
      <c r="F2448" s="81" t="s">
        <v>4099</v>
      </c>
      <c r="G2448" s="125" t="s">
        <v>4100</v>
      </c>
      <c r="H2448" s="81" t="s">
        <v>4248</v>
      </c>
      <c r="I2448" s="149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77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1">
        <v>2443.0</v>
      </c>
      <c r="B2449" s="180" t="s">
        <v>4249</v>
      </c>
      <c r="C2449" s="82" t="str">
        <f>VLOOKUP($B$7:$B$5000,SUM!$L$6:$L$500,1,FALSE)</f>
        <v>#N/A</v>
      </c>
      <c r="D2449" s="171" t="s">
        <v>4243</v>
      </c>
      <c r="E2449" s="165" t="s">
        <v>58</v>
      </c>
      <c r="F2449" s="81" t="s">
        <v>4099</v>
      </c>
      <c r="G2449" s="125" t="s">
        <v>4100</v>
      </c>
      <c r="H2449" s="81" t="s">
        <v>4250</v>
      </c>
      <c r="I2449" s="149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77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1">
        <v>2444.0</v>
      </c>
      <c r="B2450" s="180" t="s">
        <v>4251</v>
      </c>
      <c r="C2450" s="82" t="str">
        <f>VLOOKUP($B$7:$B$5000,SUM!$L$6:$L$500,1,FALSE)</f>
        <v>#N/A</v>
      </c>
      <c r="D2450" s="171" t="s">
        <v>4243</v>
      </c>
      <c r="E2450" s="165" t="s">
        <v>58</v>
      </c>
      <c r="F2450" s="81" t="s">
        <v>4099</v>
      </c>
      <c r="G2450" s="125" t="s">
        <v>4100</v>
      </c>
      <c r="H2450" s="81" t="s">
        <v>4252</v>
      </c>
      <c r="I2450" s="149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77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1">
        <v>2445.0</v>
      </c>
      <c r="B2451" s="180" t="s">
        <v>4253</v>
      </c>
      <c r="C2451" s="82" t="str">
        <f>VLOOKUP($B$7:$B$5000,SUM!$L$6:$L$500,1,FALSE)</f>
        <v>#N/A</v>
      </c>
      <c r="D2451" s="171" t="s">
        <v>4243</v>
      </c>
      <c r="E2451" s="165" t="s">
        <v>58</v>
      </c>
      <c r="F2451" s="81" t="s">
        <v>4099</v>
      </c>
      <c r="G2451" s="125" t="s">
        <v>4100</v>
      </c>
      <c r="H2451" s="81" t="s">
        <v>4254</v>
      </c>
      <c r="I2451" s="149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77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31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1">
        <v>2446.0</v>
      </c>
      <c r="B2452" s="180" t="s">
        <v>4255</v>
      </c>
      <c r="C2452" s="82" t="str">
        <f>VLOOKUP($B$7:$B$5000,SUM!$L$6:$L$500,1,FALSE)</f>
        <v>#N/A</v>
      </c>
      <c r="D2452" s="171" t="s">
        <v>4243</v>
      </c>
      <c r="E2452" s="165" t="s">
        <v>58</v>
      </c>
      <c r="F2452" s="81" t="s">
        <v>4099</v>
      </c>
      <c r="G2452" s="125" t="s">
        <v>4100</v>
      </c>
      <c r="H2452" s="81" t="s">
        <v>4256</v>
      </c>
      <c r="I2452" s="149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77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1">
        <v>2447.0</v>
      </c>
      <c r="B2453" s="180" t="s">
        <v>4257</v>
      </c>
      <c r="C2453" s="82" t="str">
        <f>VLOOKUP($B$7:$B$5000,SUM!$L$6:$L$500,1,FALSE)</f>
        <v>#N/A</v>
      </c>
      <c r="D2453" s="171" t="s">
        <v>4243</v>
      </c>
      <c r="E2453" s="165" t="s">
        <v>58</v>
      </c>
      <c r="F2453" s="81" t="s">
        <v>4099</v>
      </c>
      <c r="G2453" s="125" t="s">
        <v>4100</v>
      </c>
      <c r="H2453" s="81" t="s">
        <v>4258</v>
      </c>
      <c r="I2453" s="149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77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31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1">
        <v>2448.0</v>
      </c>
      <c r="B2454" s="180" t="s">
        <v>4259</v>
      </c>
      <c r="C2454" s="82" t="str">
        <f>VLOOKUP($B$7:$B$5000,SUM!$L$6:$L$500,1,FALSE)</f>
        <v>#N/A</v>
      </c>
      <c r="D2454" s="171" t="s">
        <v>4243</v>
      </c>
      <c r="E2454" s="165" t="s">
        <v>58</v>
      </c>
      <c r="F2454" s="81" t="s">
        <v>4099</v>
      </c>
      <c r="G2454" s="125" t="s">
        <v>4100</v>
      </c>
      <c r="H2454" s="81" t="s">
        <v>4260</v>
      </c>
      <c r="I2454" s="149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77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1">
        <v>2449.0</v>
      </c>
      <c r="B2455" s="180" t="s">
        <v>4261</v>
      </c>
      <c r="C2455" s="82" t="str">
        <f>VLOOKUP($B$7:$B$5000,SUM!$L$6:$L$500,1,FALSE)</f>
        <v>#N/A</v>
      </c>
      <c r="D2455" s="171" t="s">
        <v>4243</v>
      </c>
      <c r="E2455" s="165" t="s">
        <v>58</v>
      </c>
      <c r="F2455" s="81" t="s">
        <v>4099</v>
      </c>
      <c r="G2455" s="125" t="s">
        <v>4100</v>
      </c>
      <c r="H2455" s="81" t="s">
        <v>4262</v>
      </c>
      <c r="I2455" s="149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77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31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1">
        <v>2450.0</v>
      </c>
      <c r="B2456" s="180" t="s">
        <v>4263</v>
      </c>
      <c r="C2456" s="82" t="str">
        <f>VLOOKUP($B$7:$B$5000,SUM!$L$6:$L$500,1,FALSE)</f>
        <v>#N/A</v>
      </c>
      <c r="D2456" s="171" t="s">
        <v>4243</v>
      </c>
      <c r="E2456" s="165" t="s">
        <v>58</v>
      </c>
      <c r="F2456" s="81" t="s">
        <v>4099</v>
      </c>
      <c r="G2456" s="125" t="s">
        <v>4100</v>
      </c>
      <c r="H2456" s="81" t="s">
        <v>4264</v>
      </c>
      <c r="I2456" s="149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77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1">
        <v>2451.0</v>
      </c>
      <c r="B2457" s="180" t="s">
        <v>4265</v>
      </c>
      <c r="C2457" s="82" t="str">
        <f>VLOOKUP($B$7:$B$5000,SUM!$L$6:$L$500,1,FALSE)</f>
        <v>#N/A</v>
      </c>
      <c r="D2457" s="171" t="s">
        <v>4243</v>
      </c>
      <c r="E2457" s="165" t="s">
        <v>58</v>
      </c>
      <c r="F2457" s="81" t="s">
        <v>4099</v>
      </c>
      <c r="G2457" s="125" t="s">
        <v>4100</v>
      </c>
      <c r="H2457" s="81" t="s">
        <v>4266</v>
      </c>
      <c r="I2457" s="149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77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1">
        <v>2452.0</v>
      </c>
      <c r="B2458" s="180" t="s">
        <v>4267</v>
      </c>
      <c r="C2458" s="82" t="str">
        <f>VLOOKUP($B$7:$B$5000,SUM!$L$6:$L$500,1,FALSE)</f>
        <v>#N/A</v>
      </c>
      <c r="D2458" s="171" t="s">
        <v>4243</v>
      </c>
      <c r="E2458" s="165" t="s">
        <v>58</v>
      </c>
      <c r="F2458" s="81" t="s">
        <v>4099</v>
      </c>
      <c r="G2458" s="125" t="s">
        <v>4100</v>
      </c>
      <c r="H2458" s="81" t="s">
        <v>4268</v>
      </c>
      <c r="I2458" s="149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77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1">
        <v>2453.0</v>
      </c>
      <c r="B2459" s="180" t="s">
        <v>4269</v>
      </c>
      <c r="C2459" s="82" t="str">
        <f>VLOOKUP($B$7:$B$5000,SUM!$L$6:$L$500,1,FALSE)</f>
        <v>#N/A</v>
      </c>
      <c r="D2459" s="171" t="s">
        <v>4243</v>
      </c>
      <c r="E2459" s="165" t="s">
        <v>58</v>
      </c>
      <c r="F2459" s="81" t="s">
        <v>4099</v>
      </c>
      <c r="G2459" s="125" t="s">
        <v>4100</v>
      </c>
      <c r="H2459" s="81" t="s">
        <v>4270</v>
      </c>
      <c r="I2459" s="149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77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1">
        <v>2454.0</v>
      </c>
      <c r="B2460" s="180" t="s">
        <v>4271</v>
      </c>
      <c r="C2460" s="82" t="str">
        <f>VLOOKUP($B$7:$B$5000,SUM!$L$6:$L$500,1,FALSE)</f>
        <v>#N/A</v>
      </c>
      <c r="D2460" s="171" t="s">
        <v>4243</v>
      </c>
      <c r="E2460" s="165" t="s">
        <v>58</v>
      </c>
      <c r="F2460" s="81" t="s">
        <v>4099</v>
      </c>
      <c r="G2460" s="125" t="s">
        <v>4100</v>
      </c>
      <c r="H2460" s="81" t="s">
        <v>4272</v>
      </c>
      <c r="I2460" s="149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77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1">
        <v>2455.0</v>
      </c>
      <c r="B2461" s="180" t="s">
        <v>4273</v>
      </c>
      <c r="C2461" s="82" t="str">
        <f>VLOOKUP($B$7:$B$5000,SUM!$L$6:$L$500,1,FALSE)</f>
        <v>#N/A</v>
      </c>
      <c r="D2461" s="171" t="s">
        <v>4243</v>
      </c>
      <c r="E2461" s="165" t="s">
        <v>58</v>
      </c>
      <c r="F2461" s="81" t="s">
        <v>4099</v>
      </c>
      <c r="G2461" s="125" t="s">
        <v>4100</v>
      </c>
      <c r="H2461" s="81" t="s">
        <v>4274</v>
      </c>
      <c r="I2461" s="149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77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1">
        <v>2456.0</v>
      </c>
      <c r="B2462" s="180" t="s">
        <v>4275</v>
      </c>
      <c r="C2462" s="82" t="str">
        <f>VLOOKUP($B$7:$B$5000,SUM!$L$6:$L$500,1,FALSE)</f>
        <v>#N/A</v>
      </c>
      <c r="D2462" s="171" t="s">
        <v>4243</v>
      </c>
      <c r="E2462" s="165" t="s">
        <v>58</v>
      </c>
      <c r="F2462" s="81" t="s">
        <v>4099</v>
      </c>
      <c r="G2462" s="125" t="s">
        <v>4100</v>
      </c>
      <c r="H2462" s="81" t="s">
        <v>4276</v>
      </c>
      <c r="I2462" s="149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77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1">
        <v>2457.0</v>
      </c>
      <c r="B2463" s="180" t="s">
        <v>4277</v>
      </c>
      <c r="C2463" s="82" t="str">
        <f>VLOOKUP($B$7:$B$5000,SUM!$L$6:$L$500,1,FALSE)</f>
        <v>#N/A</v>
      </c>
      <c r="D2463" s="171" t="s">
        <v>4243</v>
      </c>
      <c r="E2463" s="165" t="s">
        <v>58</v>
      </c>
      <c r="F2463" s="81" t="s">
        <v>4099</v>
      </c>
      <c r="G2463" s="125" t="s">
        <v>4100</v>
      </c>
      <c r="H2463" s="81" t="s">
        <v>4278</v>
      </c>
      <c r="I2463" s="149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77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31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1">
        <v>2458.0</v>
      </c>
      <c r="B2464" s="180" t="s">
        <v>4279</v>
      </c>
      <c r="C2464" s="82" t="str">
        <f>VLOOKUP($B$7:$B$5000,SUM!$L$6:$L$500,1,FALSE)</f>
        <v>#N/A</v>
      </c>
      <c r="D2464" s="171" t="s">
        <v>4243</v>
      </c>
      <c r="E2464" s="165" t="s">
        <v>58</v>
      </c>
      <c r="F2464" s="81" t="s">
        <v>4099</v>
      </c>
      <c r="G2464" s="125" t="s">
        <v>4100</v>
      </c>
      <c r="H2464" s="81" t="s">
        <v>4280</v>
      </c>
      <c r="I2464" s="149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77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31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1">
        <v>2459.0</v>
      </c>
      <c r="B2465" s="180" t="s">
        <v>4281</v>
      </c>
      <c r="C2465" s="82" t="str">
        <f>VLOOKUP($B$7:$B$5000,SUM!$L$6:$L$500,1,FALSE)</f>
        <v>#N/A</v>
      </c>
      <c r="D2465" s="171" t="s">
        <v>4243</v>
      </c>
      <c r="E2465" s="165" t="s">
        <v>58</v>
      </c>
      <c r="F2465" s="81" t="s">
        <v>4099</v>
      </c>
      <c r="G2465" s="125" t="s">
        <v>4100</v>
      </c>
      <c r="H2465" s="81" t="s">
        <v>4282</v>
      </c>
      <c r="I2465" s="149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77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31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1">
        <v>2460.0</v>
      </c>
      <c r="B2466" s="180" t="s">
        <v>4283</v>
      </c>
      <c r="C2466" s="82" t="str">
        <f>VLOOKUP($B$7:$B$5000,SUM!$L$6:$L$500,1,FALSE)</f>
        <v>#N/A</v>
      </c>
      <c r="D2466" s="171" t="s">
        <v>4243</v>
      </c>
      <c r="E2466" s="165" t="s">
        <v>58</v>
      </c>
      <c r="F2466" s="81" t="s">
        <v>4099</v>
      </c>
      <c r="G2466" s="125" t="s">
        <v>4100</v>
      </c>
      <c r="H2466" s="81" t="s">
        <v>4284</v>
      </c>
      <c r="I2466" s="149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77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1">
        <v>2461.0</v>
      </c>
      <c r="B2467" s="180" t="s">
        <v>4285</v>
      </c>
      <c r="C2467" s="82" t="str">
        <f>VLOOKUP($B$7:$B$5000,SUM!$L$6:$L$500,1,FALSE)</f>
        <v>#N/A</v>
      </c>
      <c r="D2467" s="171" t="s">
        <v>4243</v>
      </c>
      <c r="E2467" s="165" t="s">
        <v>58</v>
      </c>
      <c r="F2467" s="81" t="s">
        <v>4099</v>
      </c>
      <c r="G2467" s="125" t="s">
        <v>4100</v>
      </c>
      <c r="H2467" s="81" t="s">
        <v>4286</v>
      </c>
      <c r="I2467" s="149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77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1">
        <v>2462.0</v>
      </c>
      <c r="B2468" s="180" t="s">
        <v>4287</v>
      </c>
      <c r="C2468" s="82" t="str">
        <f>VLOOKUP($B$7:$B$5000,SUM!$L$6:$L$500,1,FALSE)</f>
        <v>#N/A</v>
      </c>
      <c r="D2468" s="171" t="s">
        <v>4243</v>
      </c>
      <c r="E2468" s="165" t="s">
        <v>58</v>
      </c>
      <c r="F2468" s="81" t="s">
        <v>4099</v>
      </c>
      <c r="G2468" s="125" t="s">
        <v>4100</v>
      </c>
      <c r="H2468" s="81" t="s">
        <v>4288</v>
      </c>
      <c r="I2468" s="149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77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1">
        <v>2463.0</v>
      </c>
      <c r="B2469" s="180" t="s">
        <v>4289</v>
      </c>
      <c r="C2469" s="82" t="str">
        <f>VLOOKUP($B$7:$B$5000,SUM!$L$6:$L$500,1,FALSE)</f>
        <v>#N/A</v>
      </c>
      <c r="D2469" s="171" t="s">
        <v>4243</v>
      </c>
      <c r="E2469" s="165" t="s">
        <v>58</v>
      </c>
      <c r="F2469" s="81" t="s">
        <v>4099</v>
      </c>
      <c r="G2469" s="125" t="s">
        <v>4100</v>
      </c>
      <c r="H2469" s="81" t="s">
        <v>4290</v>
      </c>
      <c r="I2469" s="149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77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1">
        <v>2464.0</v>
      </c>
      <c r="B2470" s="180" t="s">
        <v>4291</v>
      </c>
      <c r="C2470" s="82" t="str">
        <f>VLOOKUP($B$7:$B$5000,SUM!$L$6:$L$500,1,FALSE)</f>
        <v>#N/A</v>
      </c>
      <c r="D2470" s="171" t="s">
        <v>4243</v>
      </c>
      <c r="E2470" s="165" t="s">
        <v>58</v>
      </c>
      <c r="F2470" s="81" t="s">
        <v>4099</v>
      </c>
      <c r="G2470" s="125" t="s">
        <v>4100</v>
      </c>
      <c r="H2470" s="81" t="s">
        <v>4292</v>
      </c>
      <c r="I2470" s="149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77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1">
        <v>2465.0</v>
      </c>
      <c r="B2471" s="180" t="s">
        <v>4293</v>
      </c>
      <c r="C2471" s="82" t="str">
        <f>VLOOKUP($B$7:$B$5000,SUM!$L$6:$L$500,1,FALSE)</f>
        <v>#N/A</v>
      </c>
      <c r="D2471" s="171" t="s">
        <v>4243</v>
      </c>
      <c r="E2471" s="165" t="s">
        <v>58</v>
      </c>
      <c r="F2471" s="81" t="s">
        <v>4099</v>
      </c>
      <c r="G2471" s="125" t="s">
        <v>4100</v>
      </c>
      <c r="H2471" s="81" t="s">
        <v>4294</v>
      </c>
      <c r="I2471" s="149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77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1">
        <v>2466.0</v>
      </c>
      <c r="B2472" s="180" t="s">
        <v>4295</v>
      </c>
      <c r="C2472" s="82" t="str">
        <f>VLOOKUP($B$7:$B$5000,SUM!$L$6:$L$500,1,FALSE)</f>
        <v>#N/A</v>
      </c>
      <c r="D2472" s="171" t="s">
        <v>4243</v>
      </c>
      <c r="E2472" s="165" t="s">
        <v>58</v>
      </c>
      <c r="F2472" s="81" t="s">
        <v>4099</v>
      </c>
      <c r="G2472" s="125" t="s">
        <v>4100</v>
      </c>
      <c r="H2472" s="81" t="s">
        <v>4296</v>
      </c>
      <c r="I2472" s="149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77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31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1">
        <v>2467.0</v>
      </c>
      <c r="B2473" s="180" t="s">
        <v>4297</v>
      </c>
      <c r="C2473" s="82" t="str">
        <f>VLOOKUP($B$7:$B$5000,SUM!$L$6:$L$500,1,FALSE)</f>
        <v>#N/A</v>
      </c>
      <c r="D2473" s="171" t="s">
        <v>4243</v>
      </c>
      <c r="E2473" s="165" t="s">
        <v>58</v>
      </c>
      <c r="F2473" s="81" t="s">
        <v>4099</v>
      </c>
      <c r="G2473" s="125" t="s">
        <v>4100</v>
      </c>
      <c r="H2473" s="81" t="s">
        <v>4298</v>
      </c>
      <c r="I2473" s="149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77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31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1">
        <v>2468.0</v>
      </c>
      <c r="B2474" s="180" t="s">
        <v>4299</v>
      </c>
      <c r="C2474" s="82" t="str">
        <f>VLOOKUP($B$7:$B$5000,SUM!$L$6:$L$500,1,FALSE)</f>
        <v>#N/A</v>
      </c>
      <c r="D2474" s="171" t="s">
        <v>4243</v>
      </c>
      <c r="E2474" s="165" t="s">
        <v>58</v>
      </c>
      <c r="F2474" s="81" t="s">
        <v>4099</v>
      </c>
      <c r="G2474" s="125" t="s">
        <v>4100</v>
      </c>
      <c r="H2474" s="81" t="s">
        <v>4300</v>
      </c>
      <c r="I2474" s="149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77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1">
        <v>2469.0</v>
      </c>
      <c r="B2475" s="180" t="s">
        <v>4301</v>
      </c>
      <c r="C2475" s="82" t="str">
        <f>VLOOKUP($B$7:$B$5000,SUM!$L$6:$L$500,1,FALSE)</f>
        <v>#N/A</v>
      </c>
      <c r="D2475" s="171" t="s">
        <v>4243</v>
      </c>
      <c r="E2475" s="165" t="s">
        <v>58</v>
      </c>
      <c r="F2475" s="81" t="s">
        <v>4099</v>
      </c>
      <c r="G2475" s="125" t="s">
        <v>4100</v>
      </c>
      <c r="H2475" s="81" t="s">
        <v>4302</v>
      </c>
      <c r="I2475" s="149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77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31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1">
        <v>2470.0</v>
      </c>
      <c r="B2476" s="180" t="s">
        <v>4303</v>
      </c>
      <c r="C2476" s="82" t="str">
        <f>VLOOKUP($B$7:$B$5000,SUM!$L$6:$L$500,1,FALSE)</f>
        <v>#N/A</v>
      </c>
      <c r="D2476" s="171" t="s">
        <v>4243</v>
      </c>
      <c r="E2476" s="165" t="s">
        <v>58</v>
      </c>
      <c r="F2476" s="81" t="s">
        <v>4099</v>
      </c>
      <c r="G2476" s="125" t="s">
        <v>4100</v>
      </c>
      <c r="H2476" s="81" t="s">
        <v>4304</v>
      </c>
      <c r="I2476" s="149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77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1">
        <v>2471.0</v>
      </c>
      <c r="B2477" s="180" t="s">
        <v>4305</v>
      </c>
      <c r="C2477" s="82" t="str">
        <f>VLOOKUP($B$7:$B$5000,SUM!$L$6:$L$500,1,FALSE)</f>
        <v>#N/A</v>
      </c>
      <c r="D2477" s="171" t="s">
        <v>4243</v>
      </c>
      <c r="E2477" s="165" t="s">
        <v>58</v>
      </c>
      <c r="F2477" s="81" t="s">
        <v>4099</v>
      </c>
      <c r="G2477" s="125" t="s">
        <v>4100</v>
      </c>
      <c r="H2477" s="81" t="s">
        <v>4306</v>
      </c>
      <c r="I2477" s="149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77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31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1">
        <v>2472.0</v>
      </c>
      <c r="B2478" s="180" t="s">
        <v>4307</v>
      </c>
      <c r="C2478" s="82" t="str">
        <f>VLOOKUP($B$7:$B$5000,SUM!$L$6:$L$500,1,FALSE)</f>
        <v>#N/A</v>
      </c>
      <c r="D2478" s="171" t="s">
        <v>4243</v>
      </c>
      <c r="E2478" s="165" t="s">
        <v>58</v>
      </c>
      <c r="F2478" s="81" t="s">
        <v>4099</v>
      </c>
      <c r="G2478" s="125" t="s">
        <v>4100</v>
      </c>
      <c r="H2478" s="81" t="s">
        <v>4244</v>
      </c>
      <c r="I2478" s="149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77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1">
        <v>2473.0</v>
      </c>
      <c r="B2479" s="180" t="s">
        <v>4308</v>
      </c>
      <c r="C2479" s="82" t="str">
        <f>VLOOKUP($B$7:$B$5000,SUM!$L$6:$L$500,1,FALSE)</f>
        <v>#N/A</v>
      </c>
      <c r="D2479" s="171" t="s">
        <v>4243</v>
      </c>
      <c r="E2479" s="165" t="s">
        <v>58</v>
      </c>
      <c r="F2479" s="81" t="s">
        <v>4099</v>
      </c>
      <c r="G2479" s="125" t="s">
        <v>4100</v>
      </c>
      <c r="H2479" s="81" t="s">
        <v>4246</v>
      </c>
      <c r="I2479" s="149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77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1">
        <v>2474.0</v>
      </c>
      <c r="B2480" s="180" t="s">
        <v>4309</v>
      </c>
      <c r="C2480" s="82" t="str">
        <f>VLOOKUP($B$7:$B$5000,SUM!$L$6:$L$500,1,FALSE)</f>
        <v>#N/A</v>
      </c>
      <c r="D2480" s="171" t="s">
        <v>4243</v>
      </c>
      <c r="E2480" s="165" t="s">
        <v>58</v>
      </c>
      <c r="F2480" s="81" t="s">
        <v>4099</v>
      </c>
      <c r="G2480" s="125" t="s">
        <v>4100</v>
      </c>
      <c r="H2480" s="81" t="s">
        <v>4248</v>
      </c>
      <c r="I2480" s="149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77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1">
        <v>2475.0</v>
      </c>
      <c r="B2481" s="180" t="s">
        <v>4310</v>
      </c>
      <c r="C2481" s="82" t="str">
        <f>VLOOKUP($B$7:$B$5000,SUM!$L$6:$L$500,1,FALSE)</f>
        <v>#N/A</v>
      </c>
      <c r="D2481" s="171" t="s">
        <v>4243</v>
      </c>
      <c r="E2481" s="165" t="s">
        <v>58</v>
      </c>
      <c r="F2481" s="81" t="s">
        <v>4099</v>
      </c>
      <c r="G2481" s="125" t="s">
        <v>4100</v>
      </c>
      <c r="H2481" s="81" t="s">
        <v>4250</v>
      </c>
      <c r="I2481" s="149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77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1">
        <v>2476.0</v>
      </c>
      <c r="B2482" s="180" t="s">
        <v>4311</v>
      </c>
      <c r="C2482" s="82" t="str">
        <f>VLOOKUP($B$7:$B$5000,SUM!$L$6:$L$500,1,FALSE)</f>
        <v>#N/A</v>
      </c>
      <c r="D2482" s="171" t="s">
        <v>4243</v>
      </c>
      <c r="E2482" s="165" t="s">
        <v>58</v>
      </c>
      <c r="F2482" s="81" t="s">
        <v>4099</v>
      </c>
      <c r="G2482" s="125" t="s">
        <v>4100</v>
      </c>
      <c r="H2482" s="81" t="s">
        <v>4252</v>
      </c>
      <c r="I2482" s="149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77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1">
        <v>2477.0</v>
      </c>
      <c r="B2483" s="180" t="s">
        <v>4312</v>
      </c>
      <c r="C2483" s="82" t="str">
        <f>VLOOKUP($B$7:$B$5000,SUM!$L$6:$L$500,1,FALSE)</f>
        <v>#N/A</v>
      </c>
      <c r="D2483" s="171" t="s">
        <v>4243</v>
      </c>
      <c r="E2483" s="165" t="s">
        <v>58</v>
      </c>
      <c r="F2483" s="81" t="s">
        <v>4099</v>
      </c>
      <c r="G2483" s="125" t="s">
        <v>4100</v>
      </c>
      <c r="H2483" s="81" t="s">
        <v>4254</v>
      </c>
      <c r="I2483" s="149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77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1">
        <v>2478.0</v>
      </c>
      <c r="B2484" s="180" t="s">
        <v>4313</v>
      </c>
      <c r="C2484" s="82" t="str">
        <f>VLOOKUP($B$7:$B$5000,SUM!$L$6:$L$500,1,FALSE)</f>
        <v>#N/A</v>
      </c>
      <c r="D2484" s="171" t="s">
        <v>4243</v>
      </c>
      <c r="E2484" s="165" t="s">
        <v>58</v>
      </c>
      <c r="F2484" s="81" t="s">
        <v>4099</v>
      </c>
      <c r="G2484" s="125" t="s">
        <v>4100</v>
      </c>
      <c r="H2484" s="81" t="s">
        <v>4256</v>
      </c>
      <c r="I2484" s="149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77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1">
        <v>2479.0</v>
      </c>
      <c r="B2485" s="180" t="s">
        <v>4314</v>
      </c>
      <c r="C2485" s="82" t="str">
        <f>VLOOKUP($B$7:$B$5000,SUM!$L$6:$L$500,1,FALSE)</f>
        <v>#N/A</v>
      </c>
      <c r="D2485" s="171" t="s">
        <v>4243</v>
      </c>
      <c r="E2485" s="165" t="s">
        <v>58</v>
      </c>
      <c r="F2485" s="81" t="s">
        <v>4099</v>
      </c>
      <c r="G2485" s="125" t="s">
        <v>4100</v>
      </c>
      <c r="H2485" s="81" t="s">
        <v>4258</v>
      </c>
      <c r="I2485" s="149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77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1">
        <v>2480.0</v>
      </c>
      <c r="B2486" s="180" t="s">
        <v>4315</v>
      </c>
      <c r="C2486" s="82" t="str">
        <f>VLOOKUP($B$7:$B$5000,SUM!$L$6:$L$500,1,FALSE)</f>
        <v>#N/A</v>
      </c>
      <c r="D2486" s="171" t="s">
        <v>4243</v>
      </c>
      <c r="E2486" s="165" t="s">
        <v>58</v>
      </c>
      <c r="F2486" s="81" t="s">
        <v>4099</v>
      </c>
      <c r="G2486" s="125" t="s">
        <v>4100</v>
      </c>
      <c r="H2486" s="81" t="s">
        <v>4260</v>
      </c>
      <c r="I2486" s="149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77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1">
        <v>2481.0</v>
      </c>
      <c r="B2487" s="180" t="s">
        <v>4316</v>
      </c>
      <c r="C2487" s="82" t="str">
        <f>VLOOKUP($B$7:$B$5000,SUM!$L$6:$L$500,1,FALSE)</f>
        <v>#N/A</v>
      </c>
      <c r="D2487" s="171" t="s">
        <v>4243</v>
      </c>
      <c r="E2487" s="165" t="s">
        <v>58</v>
      </c>
      <c r="F2487" s="81" t="s">
        <v>4099</v>
      </c>
      <c r="G2487" s="125" t="s">
        <v>4100</v>
      </c>
      <c r="H2487" s="81" t="s">
        <v>4262</v>
      </c>
      <c r="I2487" s="149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77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1">
        <v>2482.0</v>
      </c>
      <c r="B2488" s="180" t="s">
        <v>4317</v>
      </c>
      <c r="C2488" s="82" t="str">
        <f>VLOOKUP($B$7:$B$5000,SUM!$L$6:$L$500,1,FALSE)</f>
        <v>#N/A</v>
      </c>
      <c r="D2488" s="171" t="s">
        <v>4243</v>
      </c>
      <c r="E2488" s="165" t="s">
        <v>58</v>
      </c>
      <c r="F2488" s="81" t="s">
        <v>4099</v>
      </c>
      <c r="G2488" s="125" t="s">
        <v>4100</v>
      </c>
      <c r="H2488" s="81" t="s">
        <v>4264</v>
      </c>
      <c r="I2488" s="149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77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1">
        <v>2483.0</v>
      </c>
      <c r="B2489" s="180" t="s">
        <v>4318</v>
      </c>
      <c r="C2489" s="82" t="str">
        <f>VLOOKUP($B$7:$B$5000,SUM!$L$6:$L$500,1,FALSE)</f>
        <v>#N/A</v>
      </c>
      <c r="D2489" s="171" t="s">
        <v>4243</v>
      </c>
      <c r="E2489" s="165" t="s">
        <v>58</v>
      </c>
      <c r="F2489" s="81" t="s">
        <v>4099</v>
      </c>
      <c r="G2489" s="125" t="s">
        <v>4100</v>
      </c>
      <c r="H2489" s="81" t="s">
        <v>4266</v>
      </c>
      <c r="I2489" s="149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77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1">
        <v>2484.0</v>
      </c>
      <c r="B2490" s="180" t="s">
        <v>4319</v>
      </c>
      <c r="C2490" s="82" t="str">
        <f>VLOOKUP($B$7:$B$5000,SUM!$L$6:$L$500,1,FALSE)</f>
        <v>#N/A</v>
      </c>
      <c r="D2490" s="171" t="s">
        <v>4243</v>
      </c>
      <c r="E2490" s="165" t="s">
        <v>58</v>
      </c>
      <c r="F2490" s="81" t="s">
        <v>4099</v>
      </c>
      <c r="G2490" s="125" t="s">
        <v>4100</v>
      </c>
      <c r="H2490" s="81" t="s">
        <v>4268</v>
      </c>
      <c r="I2490" s="149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77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1">
        <v>2485.0</v>
      </c>
      <c r="B2491" s="180" t="s">
        <v>4320</v>
      </c>
      <c r="C2491" s="82" t="str">
        <f>VLOOKUP($B$7:$B$5000,SUM!$L$6:$L$500,1,FALSE)</f>
        <v>#N/A</v>
      </c>
      <c r="D2491" s="171" t="s">
        <v>4243</v>
      </c>
      <c r="E2491" s="165" t="s">
        <v>58</v>
      </c>
      <c r="F2491" s="81" t="s">
        <v>4099</v>
      </c>
      <c r="G2491" s="125" t="s">
        <v>4100</v>
      </c>
      <c r="H2491" s="81" t="s">
        <v>4270</v>
      </c>
      <c r="I2491" s="149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77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1">
        <v>2486.0</v>
      </c>
      <c r="B2492" s="180" t="s">
        <v>4321</v>
      </c>
      <c r="C2492" s="82" t="str">
        <f>VLOOKUP($B$7:$B$5000,SUM!$L$6:$L$500,1,FALSE)</f>
        <v>#N/A</v>
      </c>
      <c r="D2492" s="171" t="s">
        <v>4243</v>
      </c>
      <c r="E2492" s="165" t="s">
        <v>58</v>
      </c>
      <c r="F2492" s="81" t="s">
        <v>4099</v>
      </c>
      <c r="G2492" s="125" t="s">
        <v>4100</v>
      </c>
      <c r="H2492" s="81" t="s">
        <v>4272</v>
      </c>
      <c r="I2492" s="149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77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1">
        <v>2487.0</v>
      </c>
      <c r="B2493" s="180" t="s">
        <v>4322</v>
      </c>
      <c r="C2493" s="82" t="str">
        <f>VLOOKUP($B$7:$B$5000,SUM!$L$6:$L$500,1,FALSE)</f>
        <v>#N/A</v>
      </c>
      <c r="D2493" s="171" t="s">
        <v>4243</v>
      </c>
      <c r="E2493" s="165" t="s">
        <v>58</v>
      </c>
      <c r="F2493" s="81" t="s">
        <v>4099</v>
      </c>
      <c r="G2493" s="125" t="s">
        <v>4100</v>
      </c>
      <c r="H2493" s="81" t="s">
        <v>4274</v>
      </c>
      <c r="I2493" s="149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77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1">
        <v>2488.0</v>
      </c>
      <c r="B2494" s="180" t="s">
        <v>4323</v>
      </c>
      <c r="C2494" s="82" t="str">
        <f>VLOOKUP($B$7:$B$5000,SUM!$L$6:$L$500,1,FALSE)</f>
        <v>#N/A</v>
      </c>
      <c r="D2494" s="171" t="s">
        <v>4243</v>
      </c>
      <c r="E2494" s="165" t="s">
        <v>58</v>
      </c>
      <c r="F2494" s="81" t="s">
        <v>4099</v>
      </c>
      <c r="G2494" s="125" t="s">
        <v>4100</v>
      </c>
      <c r="H2494" s="81" t="s">
        <v>4276</v>
      </c>
      <c r="I2494" s="149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77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1">
        <v>2489.0</v>
      </c>
      <c r="B2495" s="180" t="s">
        <v>4324</v>
      </c>
      <c r="C2495" s="82" t="str">
        <f>VLOOKUP($B$7:$B$5000,SUM!$L$6:$L$500,1,FALSE)</f>
        <v>#N/A</v>
      </c>
      <c r="D2495" s="171" t="s">
        <v>4243</v>
      </c>
      <c r="E2495" s="165" t="s">
        <v>58</v>
      </c>
      <c r="F2495" s="81" t="s">
        <v>4099</v>
      </c>
      <c r="G2495" s="125" t="s">
        <v>4100</v>
      </c>
      <c r="H2495" s="81" t="s">
        <v>4278</v>
      </c>
      <c r="I2495" s="149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77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1">
        <v>2490.0</v>
      </c>
      <c r="B2496" s="180" t="s">
        <v>4325</v>
      </c>
      <c r="C2496" s="82" t="str">
        <f>VLOOKUP($B$7:$B$5000,SUM!$L$6:$L$500,1,FALSE)</f>
        <v>#N/A</v>
      </c>
      <c r="D2496" s="171" t="s">
        <v>4243</v>
      </c>
      <c r="E2496" s="165" t="s">
        <v>58</v>
      </c>
      <c r="F2496" s="81" t="s">
        <v>4099</v>
      </c>
      <c r="G2496" s="125" t="s">
        <v>4100</v>
      </c>
      <c r="H2496" s="81" t="s">
        <v>4280</v>
      </c>
      <c r="I2496" s="149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77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1">
        <v>2491.0</v>
      </c>
      <c r="B2497" s="180" t="s">
        <v>4326</v>
      </c>
      <c r="C2497" s="82" t="str">
        <f>VLOOKUP($B$7:$B$5000,SUM!$L$6:$L$500,1,FALSE)</f>
        <v>#N/A</v>
      </c>
      <c r="D2497" s="171" t="s">
        <v>4243</v>
      </c>
      <c r="E2497" s="165" t="s">
        <v>58</v>
      </c>
      <c r="F2497" s="81" t="s">
        <v>4099</v>
      </c>
      <c r="G2497" s="125" t="s">
        <v>4100</v>
      </c>
      <c r="H2497" s="81" t="s">
        <v>4282</v>
      </c>
      <c r="I2497" s="149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77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1">
        <v>2492.0</v>
      </c>
      <c r="B2498" s="180" t="s">
        <v>4327</v>
      </c>
      <c r="C2498" s="82" t="str">
        <f>VLOOKUP($B$7:$B$5000,SUM!$L$6:$L$500,1,FALSE)</f>
        <v>#N/A</v>
      </c>
      <c r="D2498" s="171" t="s">
        <v>4243</v>
      </c>
      <c r="E2498" s="165" t="s">
        <v>58</v>
      </c>
      <c r="F2498" s="81" t="s">
        <v>4099</v>
      </c>
      <c r="G2498" s="125" t="s">
        <v>4100</v>
      </c>
      <c r="H2498" s="81" t="s">
        <v>4284</v>
      </c>
      <c r="I2498" s="149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77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1">
        <v>2493.0</v>
      </c>
      <c r="B2499" s="180" t="s">
        <v>4328</v>
      </c>
      <c r="C2499" s="82" t="str">
        <f>VLOOKUP($B$7:$B$5000,SUM!$L$6:$L$500,1,FALSE)</f>
        <v>#N/A</v>
      </c>
      <c r="D2499" s="171" t="s">
        <v>4243</v>
      </c>
      <c r="E2499" s="165" t="s">
        <v>58</v>
      </c>
      <c r="F2499" s="81" t="s">
        <v>4099</v>
      </c>
      <c r="G2499" s="125" t="s">
        <v>4100</v>
      </c>
      <c r="H2499" s="81" t="s">
        <v>4286</v>
      </c>
      <c r="I2499" s="149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77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1">
        <v>2494.0</v>
      </c>
      <c r="B2500" s="180" t="s">
        <v>4329</v>
      </c>
      <c r="C2500" s="82" t="str">
        <f>VLOOKUP($B$7:$B$5000,SUM!$L$6:$L$500,1,FALSE)</f>
        <v>#N/A</v>
      </c>
      <c r="D2500" s="171" t="s">
        <v>4243</v>
      </c>
      <c r="E2500" s="165" t="s">
        <v>58</v>
      </c>
      <c r="F2500" s="81" t="s">
        <v>4099</v>
      </c>
      <c r="G2500" s="125" t="s">
        <v>4100</v>
      </c>
      <c r="H2500" s="81" t="s">
        <v>4288</v>
      </c>
      <c r="I2500" s="149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77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1">
        <v>2495.0</v>
      </c>
      <c r="B2501" s="180" t="s">
        <v>4330</v>
      </c>
      <c r="C2501" s="82" t="str">
        <f>VLOOKUP($B$7:$B$5000,SUM!$L$6:$L$500,1,FALSE)</f>
        <v>#N/A</v>
      </c>
      <c r="D2501" s="171" t="s">
        <v>4243</v>
      </c>
      <c r="E2501" s="165" t="s">
        <v>58</v>
      </c>
      <c r="F2501" s="81" t="s">
        <v>4099</v>
      </c>
      <c r="G2501" s="125" t="s">
        <v>4100</v>
      </c>
      <c r="H2501" s="81" t="s">
        <v>4290</v>
      </c>
      <c r="I2501" s="149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77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1">
        <v>2496.0</v>
      </c>
      <c r="B2502" s="180" t="s">
        <v>4331</v>
      </c>
      <c r="C2502" s="82" t="str">
        <f>VLOOKUP($B$7:$B$5000,SUM!$L$6:$L$500,1,FALSE)</f>
        <v>#N/A</v>
      </c>
      <c r="D2502" s="171" t="s">
        <v>4243</v>
      </c>
      <c r="E2502" s="165" t="s">
        <v>58</v>
      </c>
      <c r="F2502" s="81" t="s">
        <v>4099</v>
      </c>
      <c r="G2502" s="125" t="s">
        <v>4100</v>
      </c>
      <c r="H2502" s="81" t="s">
        <v>4292</v>
      </c>
      <c r="I2502" s="149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77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1">
        <v>2497.0</v>
      </c>
      <c r="B2503" s="180" t="s">
        <v>4332</v>
      </c>
      <c r="C2503" s="82" t="str">
        <f>VLOOKUP($B$7:$B$5000,SUM!$L$6:$L$500,1,FALSE)</f>
        <v>#N/A</v>
      </c>
      <c r="D2503" s="171" t="s">
        <v>4243</v>
      </c>
      <c r="E2503" s="165" t="s">
        <v>58</v>
      </c>
      <c r="F2503" s="81" t="s">
        <v>4099</v>
      </c>
      <c r="G2503" s="125" t="s">
        <v>4100</v>
      </c>
      <c r="H2503" s="81" t="s">
        <v>4294</v>
      </c>
      <c r="I2503" s="149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77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1">
        <v>2498.0</v>
      </c>
      <c r="B2504" s="180" t="s">
        <v>4333</v>
      </c>
      <c r="C2504" s="82" t="str">
        <f>VLOOKUP($B$7:$B$5000,SUM!$L$6:$L$500,1,FALSE)</f>
        <v>#N/A</v>
      </c>
      <c r="D2504" s="171" t="s">
        <v>4243</v>
      </c>
      <c r="E2504" s="165" t="s">
        <v>58</v>
      </c>
      <c r="F2504" s="81" t="s">
        <v>4099</v>
      </c>
      <c r="G2504" s="125" t="s">
        <v>4100</v>
      </c>
      <c r="H2504" s="81" t="s">
        <v>4296</v>
      </c>
      <c r="I2504" s="149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77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1">
        <v>2499.0</v>
      </c>
      <c r="B2505" s="180" t="s">
        <v>4334</v>
      </c>
      <c r="C2505" s="82" t="str">
        <f>VLOOKUP($B$7:$B$5000,SUM!$L$6:$L$500,1,FALSE)</f>
        <v>#N/A</v>
      </c>
      <c r="D2505" s="171" t="s">
        <v>4243</v>
      </c>
      <c r="E2505" s="165" t="s">
        <v>58</v>
      </c>
      <c r="F2505" s="81" t="s">
        <v>4099</v>
      </c>
      <c r="G2505" s="125" t="s">
        <v>4100</v>
      </c>
      <c r="H2505" s="81" t="s">
        <v>4298</v>
      </c>
      <c r="I2505" s="149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77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1">
        <v>2500.0</v>
      </c>
      <c r="B2506" s="180" t="s">
        <v>4335</v>
      </c>
      <c r="C2506" s="82" t="str">
        <f>VLOOKUP($B$7:$B$5000,SUM!$L$6:$L$500,1,FALSE)</f>
        <v>#N/A</v>
      </c>
      <c r="D2506" s="171" t="s">
        <v>4243</v>
      </c>
      <c r="E2506" s="165" t="s">
        <v>58</v>
      </c>
      <c r="F2506" s="81" t="s">
        <v>4099</v>
      </c>
      <c r="G2506" s="125" t="s">
        <v>4100</v>
      </c>
      <c r="H2506" s="81" t="s">
        <v>4300</v>
      </c>
      <c r="I2506" s="149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77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1">
        <v>2501.0</v>
      </c>
      <c r="B2507" s="180" t="s">
        <v>4336</v>
      </c>
      <c r="C2507" s="82" t="str">
        <f>VLOOKUP($B$7:$B$5000,SUM!$L$6:$L$500,1,FALSE)</f>
        <v>#N/A</v>
      </c>
      <c r="D2507" s="171" t="s">
        <v>4243</v>
      </c>
      <c r="E2507" s="165" t="s">
        <v>58</v>
      </c>
      <c r="F2507" s="81" t="s">
        <v>4099</v>
      </c>
      <c r="G2507" s="125" t="s">
        <v>4100</v>
      </c>
      <c r="H2507" s="81" t="s">
        <v>4302</v>
      </c>
      <c r="I2507" s="149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77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1">
        <v>2502.0</v>
      </c>
      <c r="B2508" s="180" t="s">
        <v>4337</v>
      </c>
      <c r="C2508" s="82" t="str">
        <f>VLOOKUP($B$7:$B$5000,SUM!$L$6:$L$500,1,FALSE)</f>
        <v>#N/A</v>
      </c>
      <c r="D2508" s="171" t="s">
        <v>4243</v>
      </c>
      <c r="E2508" s="165" t="s">
        <v>58</v>
      </c>
      <c r="F2508" s="81" t="s">
        <v>4099</v>
      </c>
      <c r="G2508" s="125" t="s">
        <v>4100</v>
      </c>
      <c r="H2508" s="81" t="s">
        <v>4304</v>
      </c>
      <c r="I2508" s="149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77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1">
        <v>2503.0</v>
      </c>
      <c r="B2509" s="180" t="s">
        <v>4338</v>
      </c>
      <c r="C2509" s="82" t="str">
        <f>VLOOKUP($B$7:$B$5000,SUM!$L$6:$L$500,1,FALSE)</f>
        <v>#N/A</v>
      </c>
      <c r="D2509" s="171" t="s">
        <v>4243</v>
      </c>
      <c r="E2509" s="165" t="s">
        <v>58</v>
      </c>
      <c r="F2509" s="81" t="s">
        <v>4099</v>
      </c>
      <c r="G2509" s="125" t="s">
        <v>4100</v>
      </c>
      <c r="H2509" s="81" t="s">
        <v>4306</v>
      </c>
      <c r="I2509" s="149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77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1">
        <v>2504.0</v>
      </c>
      <c r="B2510" s="180" t="s">
        <v>4339</v>
      </c>
      <c r="C2510" s="82" t="str">
        <f>VLOOKUP($B$7:$B$5000,SUM!$L$6:$L$500,1,FALSE)</f>
        <v>#N/A</v>
      </c>
      <c r="D2510" s="171" t="s">
        <v>4243</v>
      </c>
      <c r="E2510" s="165" t="s">
        <v>58</v>
      </c>
      <c r="F2510" s="81" t="s">
        <v>4099</v>
      </c>
      <c r="G2510" s="125" t="s">
        <v>4100</v>
      </c>
      <c r="H2510" s="81" t="s">
        <v>4244</v>
      </c>
      <c r="I2510" s="149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77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1">
        <v>2505.0</v>
      </c>
      <c r="B2511" s="180" t="s">
        <v>4341</v>
      </c>
      <c r="C2511" s="82" t="str">
        <f>VLOOKUP($B$7:$B$5000,SUM!$L$6:$L$500,1,FALSE)</f>
        <v>#N/A</v>
      </c>
      <c r="D2511" s="171" t="s">
        <v>4243</v>
      </c>
      <c r="E2511" s="165" t="s">
        <v>58</v>
      </c>
      <c r="F2511" s="81" t="s">
        <v>4099</v>
      </c>
      <c r="G2511" s="125" t="s">
        <v>4100</v>
      </c>
      <c r="H2511" s="81" t="s">
        <v>4246</v>
      </c>
      <c r="I2511" s="149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77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1">
        <v>2506.0</v>
      </c>
      <c r="B2512" s="180" t="s">
        <v>4342</v>
      </c>
      <c r="C2512" s="82" t="str">
        <f>VLOOKUP($B$7:$B$5000,SUM!$L$6:$L$500,1,FALSE)</f>
        <v>#N/A</v>
      </c>
      <c r="D2512" s="171" t="s">
        <v>4243</v>
      </c>
      <c r="E2512" s="165" t="s">
        <v>58</v>
      </c>
      <c r="F2512" s="81" t="s">
        <v>4099</v>
      </c>
      <c r="G2512" s="125" t="s">
        <v>4100</v>
      </c>
      <c r="H2512" s="81" t="s">
        <v>4248</v>
      </c>
      <c r="I2512" s="149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77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1">
        <v>2507.0</v>
      </c>
      <c r="B2513" s="180" t="s">
        <v>4343</v>
      </c>
      <c r="C2513" s="82" t="str">
        <f>VLOOKUP($B$7:$B$5000,SUM!$L$6:$L$500,1,FALSE)</f>
        <v>#N/A</v>
      </c>
      <c r="D2513" s="171" t="s">
        <v>4243</v>
      </c>
      <c r="E2513" s="165" t="s">
        <v>58</v>
      </c>
      <c r="F2513" s="81" t="s">
        <v>4099</v>
      </c>
      <c r="G2513" s="125" t="s">
        <v>4100</v>
      </c>
      <c r="H2513" s="81" t="s">
        <v>4250</v>
      </c>
      <c r="I2513" s="149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77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1">
        <v>2508.0</v>
      </c>
      <c r="B2514" s="180" t="s">
        <v>4344</v>
      </c>
      <c r="C2514" s="82" t="str">
        <f>VLOOKUP($B$7:$B$5000,SUM!$L$6:$L$500,1,FALSE)</f>
        <v>#N/A</v>
      </c>
      <c r="D2514" s="171" t="s">
        <v>4243</v>
      </c>
      <c r="E2514" s="165" t="s">
        <v>58</v>
      </c>
      <c r="F2514" s="81" t="s">
        <v>4099</v>
      </c>
      <c r="G2514" s="125" t="s">
        <v>4100</v>
      </c>
      <c r="H2514" s="81" t="s">
        <v>4252</v>
      </c>
      <c r="I2514" s="149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77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1">
        <v>2509.0</v>
      </c>
      <c r="B2515" s="180" t="s">
        <v>4345</v>
      </c>
      <c r="C2515" s="82" t="str">
        <f>VLOOKUP($B$7:$B$5000,SUM!$L$6:$L$500,1,FALSE)</f>
        <v>#N/A</v>
      </c>
      <c r="D2515" s="171" t="s">
        <v>4243</v>
      </c>
      <c r="E2515" s="165" t="s">
        <v>58</v>
      </c>
      <c r="F2515" s="81" t="s">
        <v>4099</v>
      </c>
      <c r="G2515" s="125" t="s">
        <v>4100</v>
      </c>
      <c r="H2515" s="81" t="s">
        <v>4254</v>
      </c>
      <c r="I2515" s="149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77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1">
        <v>2510.0</v>
      </c>
      <c r="B2516" s="180" t="s">
        <v>4346</v>
      </c>
      <c r="C2516" s="82" t="str">
        <f>VLOOKUP($B$7:$B$5000,SUM!$L$6:$L$500,1,FALSE)</f>
        <v>#N/A</v>
      </c>
      <c r="D2516" s="171" t="s">
        <v>4243</v>
      </c>
      <c r="E2516" s="165" t="s">
        <v>58</v>
      </c>
      <c r="F2516" s="81" t="s">
        <v>4099</v>
      </c>
      <c r="G2516" s="125" t="s">
        <v>4100</v>
      </c>
      <c r="H2516" s="81" t="s">
        <v>4256</v>
      </c>
      <c r="I2516" s="149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77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1">
        <v>2511.0</v>
      </c>
      <c r="B2517" s="180" t="s">
        <v>4347</v>
      </c>
      <c r="C2517" s="82" t="str">
        <f>VLOOKUP($B$7:$B$5000,SUM!$L$6:$L$500,1,FALSE)</f>
        <v>#N/A</v>
      </c>
      <c r="D2517" s="171" t="s">
        <v>4243</v>
      </c>
      <c r="E2517" s="165" t="s">
        <v>58</v>
      </c>
      <c r="F2517" s="81" t="s">
        <v>4099</v>
      </c>
      <c r="G2517" s="125" t="s">
        <v>4100</v>
      </c>
      <c r="H2517" s="81" t="s">
        <v>4258</v>
      </c>
      <c r="I2517" s="149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77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1">
        <v>2512.0</v>
      </c>
      <c r="B2518" s="180" t="s">
        <v>4348</v>
      </c>
      <c r="C2518" s="82" t="str">
        <f>VLOOKUP($B$7:$B$5000,SUM!$L$6:$L$500,1,FALSE)</f>
        <v>#N/A</v>
      </c>
      <c r="D2518" s="171" t="s">
        <v>4243</v>
      </c>
      <c r="E2518" s="165" t="s">
        <v>58</v>
      </c>
      <c r="F2518" s="81" t="s">
        <v>4099</v>
      </c>
      <c r="G2518" s="125" t="s">
        <v>4100</v>
      </c>
      <c r="H2518" s="81" t="s">
        <v>4260</v>
      </c>
      <c r="I2518" s="149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77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1">
        <v>2513.0</v>
      </c>
      <c r="B2519" s="180" t="s">
        <v>4350</v>
      </c>
      <c r="C2519" s="82" t="str">
        <f>VLOOKUP($B$7:$B$5000,SUM!$L$6:$L$500,1,FALSE)</f>
        <v>#N/A</v>
      </c>
      <c r="D2519" s="171" t="s">
        <v>4243</v>
      </c>
      <c r="E2519" s="165" t="s">
        <v>58</v>
      </c>
      <c r="F2519" s="81" t="s">
        <v>4099</v>
      </c>
      <c r="G2519" s="125" t="s">
        <v>4100</v>
      </c>
      <c r="H2519" s="81" t="s">
        <v>4262</v>
      </c>
      <c r="I2519" s="149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77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1">
        <v>2514.0</v>
      </c>
      <c r="B2520" s="180" t="s">
        <v>4351</v>
      </c>
      <c r="C2520" s="82" t="str">
        <f>VLOOKUP($B$7:$B$5000,SUM!$L$6:$L$500,1,FALSE)</f>
        <v>#N/A</v>
      </c>
      <c r="D2520" s="171" t="s">
        <v>4243</v>
      </c>
      <c r="E2520" s="165" t="s">
        <v>58</v>
      </c>
      <c r="F2520" s="81" t="s">
        <v>4099</v>
      </c>
      <c r="G2520" s="125" t="s">
        <v>4100</v>
      </c>
      <c r="H2520" s="81" t="s">
        <v>4264</v>
      </c>
      <c r="I2520" s="149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77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1">
        <v>2515.0</v>
      </c>
      <c r="B2521" s="180" t="s">
        <v>4352</v>
      </c>
      <c r="C2521" s="82" t="str">
        <f>VLOOKUP($B$7:$B$5000,SUM!$L$6:$L$500,1,FALSE)</f>
        <v>#N/A</v>
      </c>
      <c r="D2521" s="171" t="s">
        <v>4243</v>
      </c>
      <c r="E2521" s="165" t="s">
        <v>58</v>
      </c>
      <c r="F2521" s="81" t="s">
        <v>4099</v>
      </c>
      <c r="G2521" s="125" t="s">
        <v>4100</v>
      </c>
      <c r="H2521" s="81" t="s">
        <v>4266</v>
      </c>
      <c r="I2521" s="149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77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1">
        <v>2516.0</v>
      </c>
      <c r="B2522" s="180" t="s">
        <v>4353</v>
      </c>
      <c r="C2522" s="82" t="str">
        <f>VLOOKUP($B$7:$B$5000,SUM!$L$6:$L$500,1,FALSE)</f>
        <v>#N/A</v>
      </c>
      <c r="D2522" s="171" t="s">
        <v>4243</v>
      </c>
      <c r="E2522" s="165" t="s">
        <v>58</v>
      </c>
      <c r="F2522" s="81" t="s">
        <v>4099</v>
      </c>
      <c r="G2522" s="125" t="s">
        <v>4100</v>
      </c>
      <c r="H2522" s="81" t="s">
        <v>4268</v>
      </c>
      <c r="I2522" s="149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77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1">
        <v>2517.0</v>
      </c>
      <c r="B2523" s="180" t="s">
        <v>4354</v>
      </c>
      <c r="C2523" s="82" t="str">
        <f>VLOOKUP($B$7:$B$5000,SUM!$L$6:$L$500,1,FALSE)</f>
        <v>#N/A</v>
      </c>
      <c r="D2523" s="171" t="s">
        <v>4243</v>
      </c>
      <c r="E2523" s="165" t="s">
        <v>58</v>
      </c>
      <c r="F2523" s="81" t="s">
        <v>4099</v>
      </c>
      <c r="G2523" s="125" t="s">
        <v>4100</v>
      </c>
      <c r="H2523" s="81" t="s">
        <v>4270</v>
      </c>
      <c r="I2523" s="149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77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1">
        <v>2518.0</v>
      </c>
      <c r="B2524" s="180" t="s">
        <v>4355</v>
      </c>
      <c r="C2524" s="82" t="str">
        <f>VLOOKUP($B$7:$B$5000,SUM!$L$6:$L$500,1,FALSE)</f>
        <v>#N/A</v>
      </c>
      <c r="D2524" s="171" t="s">
        <v>4243</v>
      </c>
      <c r="E2524" s="165" t="s">
        <v>58</v>
      </c>
      <c r="F2524" s="81" t="s">
        <v>4099</v>
      </c>
      <c r="G2524" s="125" t="s">
        <v>4100</v>
      </c>
      <c r="H2524" s="81" t="s">
        <v>4272</v>
      </c>
      <c r="I2524" s="149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77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1">
        <v>2519.0</v>
      </c>
      <c r="B2525" s="180" t="s">
        <v>4356</v>
      </c>
      <c r="C2525" s="82" t="str">
        <f>VLOOKUP($B$7:$B$5000,SUM!$L$6:$L$500,1,FALSE)</f>
        <v>#N/A</v>
      </c>
      <c r="D2525" s="171" t="s">
        <v>4243</v>
      </c>
      <c r="E2525" s="165" t="s">
        <v>58</v>
      </c>
      <c r="F2525" s="81" t="s">
        <v>4099</v>
      </c>
      <c r="G2525" s="125" t="s">
        <v>4100</v>
      </c>
      <c r="H2525" s="81" t="s">
        <v>4274</v>
      </c>
      <c r="I2525" s="149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77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1">
        <v>2520.0</v>
      </c>
      <c r="B2526" s="180" t="s">
        <v>4357</v>
      </c>
      <c r="C2526" s="82" t="str">
        <f>VLOOKUP($B$7:$B$5000,SUM!$L$6:$L$500,1,FALSE)</f>
        <v>#N/A</v>
      </c>
      <c r="D2526" s="171" t="s">
        <v>4243</v>
      </c>
      <c r="E2526" s="165" t="s">
        <v>58</v>
      </c>
      <c r="F2526" s="81" t="s">
        <v>4099</v>
      </c>
      <c r="G2526" s="125" t="s">
        <v>4100</v>
      </c>
      <c r="H2526" s="81" t="s">
        <v>4276</v>
      </c>
      <c r="I2526" s="149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77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1">
        <v>2521.0</v>
      </c>
      <c r="B2527" s="180" t="s">
        <v>4358</v>
      </c>
      <c r="C2527" s="82" t="str">
        <f>VLOOKUP($B$7:$B$5000,SUM!$L$6:$L$500,1,FALSE)</f>
        <v>#N/A</v>
      </c>
      <c r="D2527" s="171" t="s">
        <v>4243</v>
      </c>
      <c r="E2527" s="165" t="s">
        <v>58</v>
      </c>
      <c r="F2527" s="81" t="s">
        <v>4099</v>
      </c>
      <c r="G2527" s="125" t="s">
        <v>4100</v>
      </c>
      <c r="H2527" s="81" t="s">
        <v>4278</v>
      </c>
      <c r="I2527" s="149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77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1">
        <v>2522.0</v>
      </c>
      <c r="B2528" s="180" t="s">
        <v>4359</v>
      </c>
      <c r="C2528" s="82" t="str">
        <f>VLOOKUP($B$7:$B$5000,SUM!$L$6:$L$500,1,FALSE)</f>
        <v>#N/A</v>
      </c>
      <c r="D2528" s="171" t="s">
        <v>4243</v>
      </c>
      <c r="E2528" s="165" t="s">
        <v>58</v>
      </c>
      <c r="F2528" s="81" t="s">
        <v>4099</v>
      </c>
      <c r="G2528" s="125" t="s">
        <v>4100</v>
      </c>
      <c r="H2528" s="81" t="s">
        <v>4280</v>
      </c>
      <c r="I2528" s="149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77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1">
        <v>2523.0</v>
      </c>
      <c r="B2529" s="180" t="s">
        <v>4360</v>
      </c>
      <c r="C2529" s="82" t="str">
        <f>VLOOKUP($B$7:$B$5000,SUM!$L$6:$L$500,1,FALSE)</f>
        <v>#N/A</v>
      </c>
      <c r="D2529" s="171" t="s">
        <v>4243</v>
      </c>
      <c r="E2529" s="165" t="s">
        <v>58</v>
      </c>
      <c r="F2529" s="81" t="s">
        <v>4099</v>
      </c>
      <c r="G2529" s="125" t="s">
        <v>4100</v>
      </c>
      <c r="H2529" s="81" t="s">
        <v>4282</v>
      </c>
      <c r="I2529" s="149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77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1">
        <v>2524.0</v>
      </c>
      <c r="B2530" s="180" t="s">
        <v>4361</v>
      </c>
      <c r="C2530" s="82" t="str">
        <f>VLOOKUP($B$7:$B$5000,SUM!$L$6:$L$500,1,FALSE)</f>
        <v>#N/A</v>
      </c>
      <c r="D2530" s="171" t="s">
        <v>4243</v>
      </c>
      <c r="E2530" s="165" t="s">
        <v>58</v>
      </c>
      <c r="F2530" s="81" t="s">
        <v>4099</v>
      </c>
      <c r="G2530" s="125" t="s">
        <v>4100</v>
      </c>
      <c r="H2530" s="81" t="s">
        <v>4284</v>
      </c>
      <c r="I2530" s="149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77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1">
        <v>2525.0</v>
      </c>
      <c r="B2531" s="180" t="s">
        <v>4362</v>
      </c>
      <c r="C2531" s="82" t="str">
        <f>VLOOKUP($B$7:$B$5000,SUM!$L$6:$L$500,1,FALSE)</f>
        <v>#N/A</v>
      </c>
      <c r="D2531" s="171" t="s">
        <v>4243</v>
      </c>
      <c r="E2531" s="165" t="s">
        <v>58</v>
      </c>
      <c r="F2531" s="81" t="s">
        <v>4099</v>
      </c>
      <c r="G2531" s="125" t="s">
        <v>4100</v>
      </c>
      <c r="H2531" s="81" t="s">
        <v>4286</v>
      </c>
      <c r="I2531" s="149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77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1">
        <v>2526.0</v>
      </c>
      <c r="B2532" s="180" t="s">
        <v>4363</v>
      </c>
      <c r="C2532" s="82" t="str">
        <f>VLOOKUP($B$7:$B$5000,SUM!$L$6:$L$500,1,FALSE)</f>
        <v>#N/A</v>
      </c>
      <c r="D2532" s="171" t="s">
        <v>4243</v>
      </c>
      <c r="E2532" s="165" t="s">
        <v>58</v>
      </c>
      <c r="F2532" s="81" t="s">
        <v>4099</v>
      </c>
      <c r="G2532" s="125" t="s">
        <v>4100</v>
      </c>
      <c r="H2532" s="81" t="s">
        <v>4288</v>
      </c>
      <c r="I2532" s="149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77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1">
        <v>2527.0</v>
      </c>
      <c r="B2533" s="180" t="s">
        <v>4364</v>
      </c>
      <c r="C2533" s="82" t="str">
        <f>VLOOKUP($B$7:$B$5000,SUM!$L$6:$L$500,1,FALSE)</f>
        <v>#N/A</v>
      </c>
      <c r="D2533" s="171" t="s">
        <v>4243</v>
      </c>
      <c r="E2533" s="165" t="s">
        <v>58</v>
      </c>
      <c r="F2533" s="81" t="s">
        <v>4099</v>
      </c>
      <c r="G2533" s="125" t="s">
        <v>4100</v>
      </c>
      <c r="H2533" s="81" t="s">
        <v>4290</v>
      </c>
      <c r="I2533" s="149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77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1">
        <v>2528.0</v>
      </c>
      <c r="B2534" s="180" t="s">
        <v>4365</v>
      </c>
      <c r="C2534" s="82" t="str">
        <f>VLOOKUP($B$7:$B$5000,SUM!$L$6:$L$500,1,FALSE)</f>
        <v>#N/A</v>
      </c>
      <c r="D2534" s="171" t="s">
        <v>4243</v>
      </c>
      <c r="E2534" s="165" t="s">
        <v>58</v>
      </c>
      <c r="F2534" s="81" t="s">
        <v>4099</v>
      </c>
      <c r="G2534" s="125" t="s">
        <v>4100</v>
      </c>
      <c r="H2534" s="81" t="s">
        <v>4292</v>
      </c>
      <c r="I2534" s="149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77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1">
        <v>2529.0</v>
      </c>
      <c r="B2535" s="180" t="s">
        <v>4366</v>
      </c>
      <c r="C2535" s="82" t="str">
        <f>VLOOKUP($B$7:$B$5000,SUM!$L$6:$L$500,1,FALSE)</f>
        <v>#N/A</v>
      </c>
      <c r="D2535" s="171" t="s">
        <v>4243</v>
      </c>
      <c r="E2535" s="165" t="s">
        <v>58</v>
      </c>
      <c r="F2535" s="81" t="s">
        <v>4099</v>
      </c>
      <c r="G2535" s="125" t="s">
        <v>4100</v>
      </c>
      <c r="H2535" s="81" t="s">
        <v>4294</v>
      </c>
      <c r="I2535" s="149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77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1">
        <v>2530.0</v>
      </c>
      <c r="B2536" s="180" t="s">
        <v>4367</v>
      </c>
      <c r="C2536" s="82" t="str">
        <f>VLOOKUP($B$7:$B$5000,SUM!$L$6:$L$500,1,FALSE)</f>
        <v>#N/A</v>
      </c>
      <c r="D2536" s="171" t="s">
        <v>4243</v>
      </c>
      <c r="E2536" s="165" t="s">
        <v>58</v>
      </c>
      <c r="F2536" s="81" t="s">
        <v>4099</v>
      </c>
      <c r="G2536" s="125" t="s">
        <v>4100</v>
      </c>
      <c r="H2536" s="81" t="s">
        <v>4296</v>
      </c>
      <c r="I2536" s="149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77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1">
        <v>2531.0</v>
      </c>
      <c r="B2537" s="180" t="s">
        <v>4368</v>
      </c>
      <c r="C2537" s="82" t="str">
        <f>VLOOKUP($B$7:$B$5000,SUM!$L$6:$L$500,1,FALSE)</f>
        <v>#N/A</v>
      </c>
      <c r="D2537" s="171" t="s">
        <v>4243</v>
      </c>
      <c r="E2537" s="165" t="s">
        <v>58</v>
      </c>
      <c r="F2537" s="81" t="s">
        <v>4099</v>
      </c>
      <c r="G2537" s="125" t="s">
        <v>4100</v>
      </c>
      <c r="H2537" s="81" t="s">
        <v>4298</v>
      </c>
      <c r="I2537" s="149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77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1">
        <v>2532.0</v>
      </c>
      <c r="B2538" s="180" t="s">
        <v>4369</v>
      </c>
      <c r="C2538" s="82" t="str">
        <f>VLOOKUP($B$7:$B$5000,SUM!$L$6:$L$500,1,FALSE)</f>
        <v>#N/A</v>
      </c>
      <c r="D2538" s="171" t="s">
        <v>4243</v>
      </c>
      <c r="E2538" s="165" t="s">
        <v>58</v>
      </c>
      <c r="F2538" s="81" t="s">
        <v>4099</v>
      </c>
      <c r="G2538" s="125" t="s">
        <v>4100</v>
      </c>
      <c r="H2538" s="81" t="s">
        <v>4300</v>
      </c>
      <c r="I2538" s="149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77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1">
        <v>2533.0</v>
      </c>
      <c r="B2539" s="180" t="s">
        <v>4370</v>
      </c>
      <c r="C2539" s="82" t="str">
        <f>VLOOKUP($B$7:$B$5000,SUM!$L$6:$L$500,1,FALSE)</f>
        <v>#N/A</v>
      </c>
      <c r="D2539" s="171" t="s">
        <v>4243</v>
      </c>
      <c r="E2539" s="165" t="s">
        <v>58</v>
      </c>
      <c r="F2539" s="81" t="s">
        <v>4099</v>
      </c>
      <c r="G2539" s="125" t="s">
        <v>4100</v>
      </c>
      <c r="H2539" s="81" t="s">
        <v>4302</v>
      </c>
      <c r="I2539" s="149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77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1">
        <v>2534.0</v>
      </c>
      <c r="B2540" s="180" t="s">
        <v>4371</v>
      </c>
      <c r="C2540" s="82" t="str">
        <f>VLOOKUP($B$7:$B$5000,SUM!$L$6:$L$500,1,FALSE)</f>
        <v>#N/A</v>
      </c>
      <c r="D2540" s="171" t="s">
        <v>4243</v>
      </c>
      <c r="E2540" s="165" t="s">
        <v>58</v>
      </c>
      <c r="F2540" s="81" t="s">
        <v>4099</v>
      </c>
      <c r="G2540" s="125" t="s">
        <v>4100</v>
      </c>
      <c r="H2540" s="81" t="s">
        <v>4304</v>
      </c>
      <c r="I2540" s="149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77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1">
        <v>2535.0</v>
      </c>
      <c r="B2541" s="180" t="s">
        <v>4372</v>
      </c>
      <c r="C2541" s="82" t="str">
        <f>VLOOKUP($B$7:$B$5000,SUM!$L$6:$L$500,1,FALSE)</f>
        <v>#N/A</v>
      </c>
      <c r="D2541" s="171" t="s">
        <v>4243</v>
      </c>
      <c r="E2541" s="165" t="s">
        <v>58</v>
      </c>
      <c r="F2541" s="81" t="s">
        <v>4099</v>
      </c>
      <c r="G2541" s="125" t="s">
        <v>4100</v>
      </c>
      <c r="H2541" s="81" t="s">
        <v>4306</v>
      </c>
      <c r="I2541" s="149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77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1">
        <v>2536.0</v>
      </c>
      <c r="B2542" s="180" t="s">
        <v>4373</v>
      </c>
      <c r="C2542" s="82" t="str">
        <f>VLOOKUP($B$7:$B$5000,SUM!$L$6:$L$500,1,FALSE)</f>
        <v>#N/A</v>
      </c>
      <c r="D2542" s="171" t="s">
        <v>4243</v>
      </c>
      <c r="E2542" s="165" t="s">
        <v>58</v>
      </c>
      <c r="F2542" s="81" t="s">
        <v>4099</v>
      </c>
      <c r="G2542" s="125" t="s">
        <v>4100</v>
      </c>
      <c r="H2542" s="81" t="s">
        <v>4280</v>
      </c>
      <c r="I2542" s="149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77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1">
        <v>2537.0</v>
      </c>
      <c r="B2543" s="180" t="s">
        <v>4375</v>
      </c>
      <c r="C2543" s="82" t="str">
        <f>VLOOKUP($B$7:$B$5000,SUM!$L$6:$L$500,1,FALSE)</f>
        <v>#N/A</v>
      </c>
      <c r="D2543" s="171" t="s">
        <v>4376</v>
      </c>
      <c r="E2543" s="165" t="s">
        <v>58</v>
      </c>
      <c r="F2543" s="81" t="s">
        <v>105</v>
      </c>
      <c r="G2543" s="125" t="s">
        <v>4100</v>
      </c>
      <c r="H2543" s="81" t="s">
        <v>4377</v>
      </c>
      <c r="I2543" s="149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77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1">
        <v>2538.0</v>
      </c>
      <c r="B2544" s="180" t="s">
        <v>4379</v>
      </c>
      <c r="C2544" s="82" t="str">
        <f>VLOOKUP($B$7:$B$5000,SUM!$L$6:$L$500,1,FALSE)</f>
        <v>#N/A</v>
      </c>
      <c r="D2544" s="171" t="s">
        <v>4376</v>
      </c>
      <c r="E2544" s="165" t="s">
        <v>58</v>
      </c>
      <c r="F2544" s="81" t="s">
        <v>105</v>
      </c>
      <c r="G2544" s="125" t="s">
        <v>1871</v>
      </c>
      <c r="H2544" s="81" t="s">
        <v>4380</v>
      </c>
      <c r="I2544" s="149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77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1">
        <v>2539.0</v>
      </c>
      <c r="B2545" s="180" t="s">
        <v>4382</v>
      </c>
      <c r="C2545" s="82" t="str">
        <f>VLOOKUP($B$7:$B$5000,SUM!$L$6:$L$500,1,FALSE)</f>
        <v>#N/A</v>
      </c>
      <c r="D2545" s="171" t="s">
        <v>4376</v>
      </c>
      <c r="E2545" s="165" t="s">
        <v>58</v>
      </c>
      <c r="F2545" s="81" t="s">
        <v>105</v>
      </c>
      <c r="G2545" s="125" t="s">
        <v>1329</v>
      </c>
      <c r="H2545" s="81" t="s">
        <v>4383</v>
      </c>
      <c r="I2545" s="149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77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1">
        <v>2540.0</v>
      </c>
      <c r="B2546" s="180" t="s">
        <v>4385</v>
      </c>
      <c r="C2546" s="82" t="str">
        <f>VLOOKUP($B$7:$B$5000,SUM!$L$6:$L$500,1,FALSE)</f>
        <v>#N/A</v>
      </c>
      <c r="D2546" s="171" t="s">
        <v>4376</v>
      </c>
      <c r="E2546" s="165" t="s">
        <v>58</v>
      </c>
      <c r="F2546" s="81" t="s">
        <v>105</v>
      </c>
      <c r="G2546" s="125" t="s">
        <v>1329</v>
      </c>
      <c r="H2546" s="81" t="s">
        <v>4386</v>
      </c>
      <c r="I2546" s="149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77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1">
        <v>2541.0</v>
      </c>
      <c r="B2547" s="180" t="s">
        <v>4387</v>
      </c>
      <c r="C2547" s="82" t="str">
        <f>VLOOKUP($B$7:$B$5000,SUM!$L$6:$L$500,1,FALSE)</f>
        <v>#N/A</v>
      </c>
      <c r="D2547" s="171" t="s">
        <v>4376</v>
      </c>
      <c r="E2547" s="165" t="s">
        <v>58</v>
      </c>
      <c r="F2547" s="81" t="s">
        <v>105</v>
      </c>
      <c r="G2547" s="125" t="s">
        <v>1329</v>
      </c>
      <c r="H2547" s="81" t="s">
        <v>4388</v>
      </c>
      <c r="I2547" s="149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77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1">
        <v>2542.0</v>
      </c>
      <c r="B2548" s="180" t="s">
        <v>4389</v>
      </c>
      <c r="C2548" s="82" t="str">
        <f>VLOOKUP($B$7:$B$5000,SUM!$L$6:$L$500,1,FALSE)</f>
        <v>#N/A</v>
      </c>
      <c r="D2548" s="171" t="s">
        <v>4376</v>
      </c>
      <c r="E2548" s="165" t="s">
        <v>58</v>
      </c>
      <c r="F2548" s="81" t="s">
        <v>105</v>
      </c>
      <c r="G2548" s="125" t="s">
        <v>1329</v>
      </c>
      <c r="H2548" s="81" t="s">
        <v>4390</v>
      </c>
      <c r="I2548" s="149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77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1">
        <v>2543.0</v>
      </c>
      <c r="B2549" s="180" t="s">
        <v>4391</v>
      </c>
      <c r="C2549" s="82" t="str">
        <f>VLOOKUP($B$7:$B$5000,SUM!$L$6:$L$500,1,FALSE)</f>
        <v>#N/A</v>
      </c>
      <c r="D2549" s="171" t="s">
        <v>4376</v>
      </c>
      <c r="E2549" s="165" t="s">
        <v>58</v>
      </c>
      <c r="F2549" s="81" t="s">
        <v>105</v>
      </c>
      <c r="G2549" s="125" t="s">
        <v>1329</v>
      </c>
      <c r="H2549" s="81" t="s">
        <v>4392</v>
      </c>
      <c r="I2549" s="149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77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1">
        <v>2544.0</v>
      </c>
      <c r="B2550" s="180" t="s">
        <v>4393</v>
      </c>
      <c r="C2550" s="82" t="str">
        <f>VLOOKUP($B$7:$B$5000,SUM!$L$6:$L$500,1,FALSE)</f>
        <v>#N/A</v>
      </c>
      <c r="D2550" s="171" t="s">
        <v>4376</v>
      </c>
      <c r="E2550" s="165" t="s">
        <v>58</v>
      </c>
      <c r="F2550" s="81" t="s">
        <v>105</v>
      </c>
      <c r="G2550" s="125" t="s">
        <v>1329</v>
      </c>
      <c r="H2550" s="81" t="s">
        <v>4394</v>
      </c>
      <c r="I2550" s="149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77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1">
        <v>2545.0</v>
      </c>
      <c r="B2551" s="180" t="s">
        <v>4395</v>
      </c>
      <c r="C2551" s="82" t="str">
        <f>VLOOKUP($B$7:$B$5000,SUM!$L$6:$L$500,1,FALSE)</f>
        <v>#N/A</v>
      </c>
      <c r="D2551" s="171" t="s">
        <v>4376</v>
      </c>
      <c r="E2551" s="165" t="s">
        <v>58</v>
      </c>
      <c r="F2551" s="81" t="s">
        <v>105</v>
      </c>
      <c r="G2551" s="125" t="s">
        <v>1329</v>
      </c>
      <c r="H2551" s="81" t="s">
        <v>4396</v>
      </c>
      <c r="I2551" s="149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77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1">
        <v>2546.0</v>
      </c>
      <c r="B2552" s="180" t="s">
        <v>4397</v>
      </c>
      <c r="C2552" s="82" t="str">
        <f>VLOOKUP($B$7:$B$5000,SUM!$L$6:$L$500,1,FALSE)</f>
        <v>#N/A</v>
      </c>
      <c r="D2552" s="171" t="s">
        <v>4376</v>
      </c>
      <c r="E2552" s="165" t="s">
        <v>58</v>
      </c>
      <c r="F2552" s="81" t="s">
        <v>105</v>
      </c>
      <c r="G2552" s="125" t="s">
        <v>1329</v>
      </c>
      <c r="H2552" s="81" t="s">
        <v>4398</v>
      </c>
      <c r="I2552" s="149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77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1">
        <v>2547.0</v>
      </c>
      <c r="B2553" s="180" t="s">
        <v>4399</v>
      </c>
      <c r="C2553" s="82" t="str">
        <f>VLOOKUP($B$7:$B$5000,SUM!$L$6:$L$500,1,FALSE)</f>
        <v>#N/A</v>
      </c>
      <c r="D2553" s="171" t="s">
        <v>4376</v>
      </c>
      <c r="E2553" s="165" t="s">
        <v>58</v>
      </c>
      <c r="F2553" s="81" t="s">
        <v>105</v>
      </c>
      <c r="G2553" s="125" t="s">
        <v>1329</v>
      </c>
      <c r="H2553" s="81" t="s">
        <v>4400</v>
      </c>
      <c r="I2553" s="149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77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1">
        <v>2548.0</v>
      </c>
      <c r="B2554" s="180" t="s">
        <v>4401</v>
      </c>
      <c r="C2554" s="82" t="str">
        <f>VLOOKUP($B$7:$B$5000,SUM!$L$6:$L$500,1,FALSE)</f>
        <v>#N/A</v>
      </c>
      <c r="D2554" s="171" t="s">
        <v>4376</v>
      </c>
      <c r="E2554" s="165" t="s">
        <v>58</v>
      </c>
      <c r="F2554" s="81" t="s">
        <v>105</v>
      </c>
      <c r="G2554" s="125" t="s">
        <v>1329</v>
      </c>
      <c r="H2554" s="81" t="s">
        <v>4402</v>
      </c>
      <c r="I2554" s="149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77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1">
        <v>2549.0</v>
      </c>
      <c r="B2555" s="180" t="s">
        <v>4403</v>
      </c>
      <c r="C2555" s="82" t="str">
        <f>VLOOKUP($B$7:$B$5000,SUM!$L$6:$L$500,1,FALSE)</f>
        <v>#N/A</v>
      </c>
      <c r="D2555" s="171" t="s">
        <v>4376</v>
      </c>
      <c r="E2555" s="165" t="s">
        <v>58</v>
      </c>
      <c r="F2555" s="81" t="s">
        <v>105</v>
      </c>
      <c r="G2555" s="125" t="s">
        <v>1329</v>
      </c>
      <c r="H2555" s="81" t="s">
        <v>4404</v>
      </c>
      <c r="I2555" s="149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77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1">
        <v>2550.0</v>
      </c>
      <c r="B2556" s="180" t="s">
        <v>4405</v>
      </c>
      <c r="C2556" s="82" t="str">
        <f>VLOOKUP($B$7:$B$5000,SUM!$L$6:$L$500,1,FALSE)</f>
        <v>#N/A</v>
      </c>
      <c r="D2556" s="171" t="s">
        <v>4376</v>
      </c>
      <c r="E2556" s="165" t="s">
        <v>58</v>
      </c>
      <c r="F2556" s="81" t="s">
        <v>105</v>
      </c>
      <c r="G2556" s="125" t="s">
        <v>1329</v>
      </c>
      <c r="H2556" s="81" t="s">
        <v>4406</v>
      </c>
      <c r="I2556" s="149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77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1">
        <v>2551.0</v>
      </c>
      <c r="B2557" s="180" t="s">
        <v>4407</v>
      </c>
      <c r="C2557" s="82" t="str">
        <f>VLOOKUP($B$7:$B$5000,SUM!$L$6:$L$500,1,FALSE)</f>
        <v>#N/A</v>
      </c>
      <c r="D2557" s="171" t="s">
        <v>4376</v>
      </c>
      <c r="E2557" s="165" t="s">
        <v>58</v>
      </c>
      <c r="F2557" s="81" t="s">
        <v>105</v>
      </c>
      <c r="G2557" s="125" t="s">
        <v>4100</v>
      </c>
      <c r="H2557" s="81" t="s">
        <v>4377</v>
      </c>
      <c r="I2557" s="149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77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1">
        <v>2552.0</v>
      </c>
      <c r="B2558" s="180" t="s">
        <v>4409</v>
      </c>
      <c r="C2558" s="82" t="str">
        <f>VLOOKUP($B$7:$B$5000,SUM!$L$6:$L$500,1,FALSE)</f>
        <v>#N/A</v>
      </c>
      <c r="D2558" s="171" t="s">
        <v>4376</v>
      </c>
      <c r="E2558" s="165" t="s">
        <v>58</v>
      </c>
      <c r="F2558" s="81" t="s">
        <v>105</v>
      </c>
      <c r="G2558" s="125" t="s">
        <v>4100</v>
      </c>
      <c r="H2558" s="81" t="s">
        <v>4377</v>
      </c>
      <c r="I2558" s="149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77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1">
        <v>2553.0</v>
      </c>
      <c r="B2559" s="180" t="s">
        <v>4411</v>
      </c>
      <c r="C2559" s="82" t="str">
        <f>VLOOKUP($B$7:$B$5000,SUM!$L$6:$L$500,1,FALSE)</f>
        <v>#N/A</v>
      </c>
      <c r="D2559" s="171" t="s">
        <v>4376</v>
      </c>
      <c r="E2559" s="165" t="s">
        <v>58</v>
      </c>
      <c r="F2559" s="81" t="s">
        <v>105</v>
      </c>
      <c r="G2559" s="125" t="s">
        <v>1871</v>
      </c>
      <c r="H2559" s="81" t="s">
        <v>4380</v>
      </c>
      <c r="I2559" s="149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77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1">
        <v>2554.0</v>
      </c>
      <c r="B2560" s="180" t="s">
        <v>4413</v>
      </c>
      <c r="C2560" s="82" t="str">
        <f>VLOOKUP($B$7:$B$5000,SUM!$L$6:$L$500,1,FALSE)</f>
        <v>#N/A</v>
      </c>
      <c r="D2560" s="171" t="s">
        <v>4376</v>
      </c>
      <c r="E2560" s="165" t="s">
        <v>58</v>
      </c>
      <c r="F2560" s="81" t="s">
        <v>105</v>
      </c>
      <c r="G2560" s="125" t="s">
        <v>1871</v>
      </c>
      <c r="H2560" s="81" t="s">
        <v>4380</v>
      </c>
      <c r="I2560" s="149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77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1">
        <v>2555.0</v>
      </c>
      <c r="B2561" s="180" t="s">
        <v>4415</v>
      </c>
      <c r="C2561" s="82" t="str">
        <f>VLOOKUP($B$7:$B$5000,SUM!$L$6:$L$500,1,FALSE)</f>
        <v>#N/A</v>
      </c>
      <c r="D2561" s="171" t="s">
        <v>4376</v>
      </c>
      <c r="E2561" s="165" t="s">
        <v>58</v>
      </c>
      <c r="F2561" s="81" t="s">
        <v>105</v>
      </c>
      <c r="G2561" s="125" t="s">
        <v>1329</v>
      </c>
      <c r="H2561" s="81" t="s">
        <v>4383</v>
      </c>
      <c r="I2561" s="149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77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1">
        <v>2556.0</v>
      </c>
      <c r="B2562" s="180" t="s">
        <v>4417</v>
      </c>
      <c r="C2562" s="82" t="str">
        <f>VLOOKUP($B$7:$B$5000,SUM!$L$6:$L$500,1,FALSE)</f>
        <v>#N/A</v>
      </c>
      <c r="D2562" s="171" t="s">
        <v>4376</v>
      </c>
      <c r="E2562" s="165" t="s">
        <v>58</v>
      </c>
      <c r="F2562" s="81" t="s">
        <v>105</v>
      </c>
      <c r="G2562" s="125" t="s">
        <v>1329</v>
      </c>
      <c r="H2562" s="81" t="s">
        <v>4386</v>
      </c>
      <c r="I2562" s="149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77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1">
        <v>2557.0</v>
      </c>
      <c r="B2563" s="180" t="s">
        <v>4418</v>
      </c>
      <c r="C2563" s="82" t="str">
        <f>VLOOKUP($B$7:$B$5000,SUM!$L$6:$L$500,1,FALSE)</f>
        <v>#N/A</v>
      </c>
      <c r="D2563" s="171" t="s">
        <v>4376</v>
      </c>
      <c r="E2563" s="165" t="s">
        <v>58</v>
      </c>
      <c r="F2563" s="81" t="s">
        <v>105</v>
      </c>
      <c r="G2563" s="125" t="s">
        <v>1329</v>
      </c>
      <c r="H2563" s="81" t="s">
        <v>4388</v>
      </c>
      <c r="I2563" s="149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77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1">
        <v>2558.0</v>
      </c>
      <c r="B2564" s="180" t="s">
        <v>4419</v>
      </c>
      <c r="C2564" s="82" t="str">
        <f>VLOOKUP($B$7:$B$5000,SUM!$L$6:$L$500,1,FALSE)</f>
        <v>#N/A</v>
      </c>
      <c r="D2564" s="171" t="s">
        <v>4376</v>
      </c>
      <c r="E2564" s="165" t="s">
        <v>58</v>
      </c>
      <c r="F2564" s="81" t="s">
        <v>105</v>
      </c>
      <c r="G2564" s="125" t="s">
        <v>1329</v>
      </c>
      <c r="H2564" s="81" t="s">
        <v>4390</v>
      </c>
      <c r="I2564" s="149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77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1">
        <v>2559.0</v>
      </c>
      <c r="B2565" s="180" t="s">
        <v>4420</v>
      </c>
      <c r="C2565" s="82" t="str">
        <f>VLOOKUP($B$7:$B$5000,SUM!$L$6:$L$500,1,FALSE)</f>
        <v>#N/A</v>
      </c>
      <c r="D2565" s="171" t="s">
        <v>4376</v>
      </c>
      <c r="E2565" s="165" t="s">
        <v>58</v>
      </c>
      <c r="F2565" s="81" t="s">
        <v>105</v>
      </c>
      <c r="G2565" s="125" t="s">
        <v>1329</v>
      </c>
      <c r="H2565" s="81" t="s">
        <v>4392</v>
      </c>
      <c r="I2565" s="149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77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1">
        <v>2560.0</v>
      </c>
      <c r="B2566" s="180" t="s">
        <v>4421</v>
      </c>
      <c r="C2566" s="82" t="str">
        <f>VLOOKUP($B$7:$B$5000,SUM!$L$6:$L$500,1,FALSE)</f>
        <v>#N/A</v>
      </c>
      <c r="D2566" s="171" t="s">
        <v>4376</v>
      </c>
      <c r="E2566" s="165" t="s">
        <v>58</v>
      </c>
      <c r="F2566" s="81" t="s">
        <v>105</v>
      </c>
      <c r="G2566" s="125" t="s">
        <v>1329</v>
      </c>
      <c r="H2566" s="81" t="s">
        <v>4394</v>
      </c>
      <c r="I2566" s="149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77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1">
        <v>2561.0</v>
      </c>
      <c r="B2567" s="180" t="s">
        <v>4422</v>
      </c>
      <c r="C2567" s="82" t="str">
        <f>VLOOKUP($B$7:$B$5000,SUM!$L$6:$L$500,1,FALSE)</f>
        <v>#N/A</v>
      </c>
      <c r="D2567" s="171" t="s">
        <v>4376</v>
      </c>
      <c r="E2567" s="165" t="s">
        <v>58</v>
      </c>
      <c r="F2567" s="81" t="s">
        <v>105</v>
      </c>
      <c r="G2567" s="125" t="s">
        <v>1329</v>
      </c>
      <c r="H2567" s="81" t="s">
        <v>4396</v>
      </c>
      <c r="I2567" s="149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77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1">
        <v>2562.0</v>
      </c>
      <c r="B2568" s="180" t="s">
        <v>4423</v>
      </c>
      <c r="C2568" s="82" t="str">
        <f>VLOOKUP($B$7:$B$5000,SUM!$L$6:$L$500,1,FALSE)</f>
        <v>#N/A</v>
      </c>
      <c r="D2568" s="171" t="s">
        <v>4376</v>
      </c>
      <c r="E2568" s="165" t="s">
        <v>58</v>
      </c>
      <c r="F2568" s="81" t="s">
        <v>105</v>
      </c>
      <c r="G2568" s="125" t="s">
        <v>1329</v>
      </c>
      <c r="H2568" s="81" t="s">
        <v>4398</v>
      </c>
      <c r="I2568" s="149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77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1">
        <v>2563.0</v>
      </c>
      <c r="B2569" s="180" t="s">
        <v>4424</v>
      </c>
      <c r="C2569" s="82" t="str">
        <f>VLOOKUP($B$7:$B$5000,SUM!$L$6:$L$500,1,FALSE)</f>
        <v>#N/A</v>
      </c>
      <c r="D2569" s="171" t="s">
        <v>4376</v>
      </c>
      <c r="E2569" s="165" t="s">
        <v>58</v>
      </c>
      <c r="F2569" s="81" t="s">
        <v>105</v>
      </c>
      <c r="G2569" s="125" t="s">
        <v>1329</v>
      </c>
      <c r="H2569" s="81" t="s">
        <v>4400</v>
      </c>
      <c r="I2569" s="149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77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1">
        <v>2564.0</v>
      </c>
      <c r="B2570" s="180" t="s">
        <v>4425</v>
      </c>
      <c r="C2570" s="82" t="str">
        <f>VLOOKUP($B$7:$B$5000,SUM!$L$6:$L$500,1,FALSE)</f>
        <v>#N/A</v>
      </c>
      <c r="D2570" s="171" t="s">
        <v>4376</v>
      </c>
      <c r="E2570" s="165" t="s">
        <v>58</v>
      </c>
      <c r="F2570" s="81" t="s">
        <v>105</v>
      </c>
      <c r="G2570" s="125" t="s">
        <v>1329</v>
      </c>
      <c r="H2570" s="81" t="s">
        <v>4402</v>
      </c>
      <c r="I2570" s="149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77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1">
        <v>2565.0</v>
      </c>
      <c r="B2571" s="180" t="s">
        <v>4426</v>
      </c>
      <c r="C2571" s="82" t="str">
        <f>VLOOKUP($B$7:$B$5000,SUM!$L$6:$L$500,1,FALSE)</f>
        <v>#N/A</v>
      </c>
      <c r="D2571" s="171" t="s">
        <v>4376</v>
      </c>
      <c r="E2571" s="165" t="s">
        <v>58</v>
      </c>
      <c r="F2571" s="81" t="s">
        <v>105</v>
      </c>
      <c r="G2571" s="125" t="s">
        <v>1329</v>
      </c>
      <c r="H2571" s="81" t="s">
        <v>4404</v>
      </c>
      <c r="I2571" s="149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77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1">
        <v>2566.0</v>
      </c>
      <c r="B2572" s="180" t="s">
        <v>4427</v>
      </c>
      <c r="C2572" s="82" t="str">
        <f>VLOOKUP($B$7:$B$5000,SUM!$L$6:$L$500,1,FALSE)</f>
        <v>#N/A</v>
      </c>
      <c r="D2572" s="171" t="s">
        <v>4376</v>
      </c>
      <c r="E2572" s="165" t="s">
        <v>58</v>
      </c>
      <c r="F2572" s="81" t="s">
        <v>105</v>
      </c>
      <c r="G2572" s="125" t="s">
        <v>1329</v>
      </c>
      <c r="H2572" s="81" t="s">
        <v>4406</v>
      </c>
      <c r="I2572" s="149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77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1">
        <v>2567.0</v>
      </c>
      <c r="B2573" s="180" t="s">
        <v>4428</v>
      </c>
      <c r="C2573" s="82" t="str">
        <f>VLOOKUP($B$7:$B$5000,SUM!$L$6:$L$500,1,FALSE)</f>
        <v>#N/A</v>
      </c>
      <c r="D2573" s="171" t="s">
        <v>4429</v>
      </c>
      <c r="E2573" s="165" t="s">
        <v>58</v>
      </c>
      <c r="F2573" s="81" t="s">
        <v>4430</v>
      </c>
      <c r="G2573" s="125" t="s">
        <v>4431</v>
      </c>
      <c r="H2573" s="81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77">
        <v>46162.0</v>
      </c>
      <c r="O2573" s="103" t="s">
        <v>67</v>
      </c>
      <c r="P2573" s="103" t="s">
        <v>68</v>
      </c>
      <c r="Q2573" s="157">
        <v>46170.0</v>
      </c>
      <c r="R2573" s="90" t="s">
        <v>66</v>
      </c>
      <c r="S2573" s="152">
        <v>46171.0</v>
      </c>
      <c r="T2573" s="103"/>
      <c r="U2573" s="97" t="s">
        <v>31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1">
        <v>2568.0</v>
      </c>
      <c r="B2574" s="180" t="s">
        <v>4435</v>
      </c>
      <c r="C2574" s="82" t="str">
        <f>VLOOKUP($B$7:$B$5000,SUM!$L$6:$L$500,1,FALSE)</f>
        <v>#N/A</v>
      </c>
      <c r="D2574" s="171" t="s">
        <v>4429</v>
      </c>
      <c r="E2574" s="165" t="s">
        <v>58</v>
      </c>
      <c r="F2574" s="81" t="s">
        <v>4430</v>
      </c>
      <c r="G2574" s="125" t="s">
        <v>4431</v>
      </c>
      <c r="H2574" s="81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77">
        <v>46162.0</v>
      </c>
      <c r="O2574" s="103" t="s">
        <v>67</v>
      </c>
      <c r="P2574" s="103" t="s">
        <v>68</v>
      </c>
      <c r="Q2574" s="157">
        <v>46170.0</v>
      </c>
      <c r="R2574" s="90" t="s">
        <v>66</v>
      </c>
      <c r="S2574" s="152">
        <v>46171.0</v>
      </c>
      <c r="T2574" s="103"/>
      <c r="U2574" s="97" t="s">
        <v>31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1">
        <v>2569.0</v>
      </c>
      <c r="B2575" s="180" t="s">
        <v>4437</v>
      </c>
      <c r="C2575" s="82" t="str">
        <f>VLOOKUP($B$7:$B$5000,SUM!$L$6:$L$500,1,FALSE)</f>
        <v>#N/A</v>
      </c>
      <c r="D2575" s="171" t="s">
        <v>4429</v>
      </c>
      <c r="E2575" s="165" t="s">
        <v>58</v>
      </c>
      <c r="F2575" s="81" t="s">
        <v>4430</v>
      </c>
      <c r="G2575" s="125" t="s">
        <v>4431</v>
      </c>
      <c r="H2575" s="81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77">
        <v>46162.0</v>
      </c>
      <c r="O2575" s="103" t="s">
        <v>67</v>
      </c>
      <c r="P2575" s="103" t="s">
        <v>68</v>
      </c>
      <c r="Q2575" s="157">
        <v>46170.0</v>
      </c>
      <c r="R2575" s="90" t="s">
        <v>66</v>
      </c>
      <c r="S2575" s="152">
        <v>46171.0</v>
      </c>
      <c r="T2575" s="103"/>
      <c r="U2575" s="97" t="s">
        <v>31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1">
        <v>2570.0</v>
      </c>
      <c r="B2576" s="180" t="s">
        <v>4439</v>
      </c>
      <c r="C2576" s="82" t="str">
        <f>VLOOKUP($B$7:$B$5000,SUM!$L$6:$L$500,1,FALSE)</f>
        <v>#N/A</v>
      </c>
      <c r="D2576" s="171" t="s">
        <v>4429</v>
      </c>
      <c r="E2576" s="165" t="s">
        <v>58</v>
      </c>
      <c r="F2576" s="81" t="s">
        <v>4430</v>
      </c>
      <c r="G2576" s="125" t="s">
        <v>4431</v>
      </c>
      <c r="H2576" s="81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77">
        <v>46162.0</v>
      </c>
      <c r="O2576" s="103" t="s">
        <v>67</v>
      </c>
      <c r="P2576" s="103" t="s">
        <v>68</v>
      </c>
      <c r="Q2576" s="157">
        <v>46170.0</v>
      </c>
      <c r="R2576" s="90" t="s">
        <v>66</v>
      </c>
      <c r="S2576" s="152">
        <v>46171.0</v>
      </c>
      <c r="T2576" s="103"/>
      <c r="U2576" s="97" t="s">
        <v>31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1">
        <v>2571.0</v>
      </c>
      <c r="B2577" s="180" t="s">
        <v>4441</v>
      </c>
      <c r="C2577" s="82" t="str">
        <f>VLOOKUP($B$7:$B$5000,SUM!$L$6:$L$500,1,FALSE)</f>
        <v>#N/A</v>
      </c>
      <c r="D2577" s="171" t="s">
        <v>4429</v>
      </c>
      <c r="E2577" s="165" t="s">
        <v>58</v>
      </c>
      <c r="F2577" s="81" t="s">
        <v>4430</v>
      </c>
      <c r="G2577" s="125" t="s">
        <v>4431</v>
      </c>
      <c r="H2577" s="81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77">
        <v>46162.0</v>
      </c>
      <c r="O2577" s="103" t="s">
        <v>67</v>
      </c>
      <c r="P2577" s="103" t="s">
        <v>68</v>
      </c>
      <c r="Q2577" s="157">
        <v>46170.0</v>
      </c>
      <c r="R2577" s="90" t="s">
        <v>66</v>
      </c>
      <c r="S2577" s="152">
        <v>46171.0</v>
      </c>
      <c r="T2577" s="103"/>
      <c r="U2577" s="97" t="s">
        <v>31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1">
        <v>2572.0</v>
      </c>
      <c r="B2578" s="180" t="s">
        <v>4443</v>
      </c>
      <c r="C2578" s="82" t="str">
        <f>VLOOKUP($B$7:$B$5000,SUM!$L$6:$L$500,1,FALSE)</f>
        <v>#N/A</v>
      </c>
      <c r="D2578" s="171" t="s">
        <v>4429</v>
      </c>
      <c r="E2578" s="165" t="s">
        <v>58</v>
      </c>
      <c r="F2578" s="81" t="s">
        <v>4430</v>
      </c>
      <c r="G2578" s="125" t="s">
        <v>4431</v>
      </c>
      <c r="H2578" s="81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77">
        <v>46162.0</v>
      </c>
      <c r="O2578" s="103" t="s">
        <v>67</v>
      </c>
      <c r="P2578" s="103" t="s">
        <v>68</v>
      </c>
      <c r="Q2578" s="157">
        <v>46170.0</v>
      </c>
      <c r="R2578" s="90" t="s">
        <v>66</v>
      </c>
      <c r="S2578" s="152">
        <v>46171.0</v>
      </c>
      <c r="T2578" s="103"/>
      <c r="U2578" s="97" t="s">
        <v>31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1">
        <v>2573.0</v>
      </c>
      <c r="B2579" s="180" t="s">
        <v>4445</v>
      </c>
      <c r="C2579" s="82" t="str">
        <f>VLOOKUP($B$7:$B$5000,SUM!$L$6:$L$500,1,FALSE)</f>
        <v>#N/A</v>
      </c>
      <c r="D2579" s="171" t="s">
        <v>4429</v>
      </c>
      <c r="E2579" s="165" t="s">
        <v>58</v>
      </c>
      <c r="F2579" s="81" t="s">
        <v>4430</v>
      </c>
      <c r="G2579" s="125" t="s">
        <v>4431</v>
      </c>
      <c r="H2579" s="81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77">
        <v>46162.0</v>
      </c>
      <c r="O2579" s="103" t="s">
        <v>67</v>
      </c>
      <c r="P2579" s="103" t="s">
        <v>68</v>
      </c>
      <c r="Q2579" s="157">
        <v>46170.0</v>
      </c>
      <c r="R2579" s="90" t="s">
        <v>66</v>
      </c>
      <c r="S2579" s="152">
        <v>46171.0</v>
      </c>
      <c r="T2579" s="103"/>
      <c r="U2579" s="97" t="s">
        <v>31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1">
        <v>2574.0</v>
      </c>
      <c r="B2580" s="180" t="s">
        <v>4447</v>
      </c>
      <c r="C2580" s="82" t="str">
        <f>VLOOKUP($B$7:$B$5000,SUM!$L$6:$L$500,1,FALSE)</f>
        <v>#N/A</v>
      </c>
      <c r="D2580" s="171" t="s">
        <v>4429</v>
      </c>
      <c r="E2580" s="165" t="s">
        <v>58</v>
      </c>
      <c r="F2580" s="81" t="s">
        <v>4430</v>
      </c>
      <c r="G2580" s="125" t="s">
        <v>4431</v>
      </c>
      <c r="H2580" s="81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77">
        <v>46162.0</v>
      </c>
      <c r="O2580" s="103" t="s">
        <v>67</v>
      </c>
      <c r="P2580" s="103" t="s">
        <v>68</v>
      </c>
      <c r="Q2580" s="157">
        <v>46170.0</v>
      </c>
      <c r="R2580" s="90" t="s">
        <v>66</v>
      </c>
      <c r="S2580" s="152">
        <v>46171.0</v>
      </c>
      <c r="T2580" s="103"/>
      <c r="U2580" s="97" t="s">
        <v>31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1">
        <v>2575.0</v>
      </c>
      <c r="B2581" s="180" t="s">
        <v>4449</v>
      </c>
      <c r="C2581" s="82" t="str">
        <f>VLOOKUP($B$7:$B$5000,SUM!$L$6:$L$500,1,FALSE)</f>
        <v>#N/A</v>
      </c>
      <c r="D2581" s="171" t="s">
        <v>4429</v>
      </c>
      <c r="E2581" s="165" t="s">
        <v>58</v>
      </c>
      <c r="F2581" s="81" t="s">
        <v>4430</v>
      </c>
      <c r="G2581" s="125" t="s">
        <v>4431</v>
      </c>
      <c r="H2581" s="81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77">
        <v>46162.0</v>
      </c>
      <c r="O2581" s="103" t="s">
        <v>67</v>
      </c>
      <c r="P2581" s="103" t="s">
        <v>68</v>
      </c>
      <c r="Q2581" s="157">
        <v>46170.0</v>
      </c>
      <c r="R2581" s="90" t="s">
        <v>66</v>
      </c>
      <c r="S2581" s="152">
        <v>46171.0</v>
      </c>
      <c r="T2581" s="103"/>
      <c r="U2581" s="97" t="s">
        <v>31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1">
        <v>2576.0</v>
      </c>
      <c r="B2582" s="180" t="s">
        <v>4451</v>
      </c>
      <c r="C2582" s="82" t="str">
        <f>VLOOKUP($B$7:$B$5000,SUM!$L$6:$L$500,1,FALSE)</f>
        <v>#N/A</v>
      </c>
      <c r="D2582" s="171" t="s">
        <v>4429</v>
      </c>
      <c r="E2582" s="165" t="s">
        <v>58</v>
      </c>
      <c r="F2582" s="81" t="s">
        <v>4430</v>
      </c>
      <c r="G2582" s="125" t="s">
        <v>4431</v>
      </c>
      <c r="H2582" s="81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77">
        <v>46162.0</v>
      </c>
      <c r="O2582" s="103" t="s">
        <v>67</v>
      </c>
      <c r="P2582" s="103" t="s">
        <v>68</v>
      </c>
      <c r="Q2582" s="157">
        <v>46170.0</v>
      </c>
      <c r="R2582" s="90" t="s">
        <v>66</v>
      </c>
      <c r="S2582" s="152">
        <v>46171.0</v>
      </c>
      <c r="T2582" s="103"/>
      <c r="U2582" s="97" t="s">
        <v>31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1">
        <v>2577.0</v>
      </c>
      <c r="B2583" s="180" t="s">
        <v>4453</v>
      </c>
      <c r="C2583" s="82" t="str">
        <f>VLOOKUP($B$7:$B$5000,SUM!$L$6:$L$500,1,FALSE)</f>
        <v>#N/A</v>
      </c>
      <c r="D2583" s="171" t="s">
        <v>4429</v>
      </c>
      <c r="E2583" s="165" t="s">
        <v>58</v>
      </c>
      <c r="F2583" s="81" t="s">
        <v>4430</v>
      </c>
      <c r="G2583" s="125" t="s">
        <v>4431</v>
      </c>
      <c r="H2583" s="81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77">
        <v>46162.0</v>
      </c>
      <c r="O2583" s="103" t="s">
        <v>67</v>
      </c>
      <c r="P2583" s="103" t="s">
        <v>68</v>
      </c>
      <c r="Q2583" s="157">
        <v>46170.0</v>
      </c>
      <c r="R2583" s="90" t="s">
        <v>66</v>
      </c>
      <c r="S2583" s="152">
        <v>46171.0</v>
      </c>
      <c r="T2583" s="103"/>
      <c r="U2583" s="97" t="s">
        <v>31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1">
        <v>2578.0</v>
      </c>
      <c r="B2584" s="180" t="s">
        <v>4455</v>
      </c>
      <c r="C2584" s="82" t="str">
        <f>VLOOKUP($B$7:$B$5000,SUM!$L$6:$L$500,1,FALSE)</f>
        <v>#N/A</v>
      </c>
      <c r="D2584" s="171" t="s">
        <v>4429</v>
      </c>
      <c r="E2584" s="165" t="s">
        <v>58</v>
      </c>
      <c r="F2584" s="81" t="s">
        <v>4430</v>
      </c>
      <c r="G2584" s="125" t="s">
        <v>4431</v>
      </c>
      <c r="H2584" s="81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77">
        <v>46162.0</v>
      </c>
      <c r="O2584" s="103" t="s">
        <v>67</v>
      </c>
      <c r="P2584" s="103" t="s">
        <v>68</v>
      </c>
      <c r="Q2584" s="157">
        <v>46170.0</v>
      </c>
      <c r="R2584" s="90" t="s">
        <v>66</v>
      </c>
      <c r="S2584" s="152">
        <v>46171.0</v>
      </c>
      <c r="T2584" s="103"/>
      <c r="U2584" s="97" t="s">
        <v>31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1">
        <v>2579.0</v>
      </c>
      <c r="B2585" s="180" t="s">
        <v>4457</v>
      </c>
      <c r="C2585" s="82" t="str">
        <f>VLOOKUP($B$7:$B$5000,SUM!$L$6:$L$500,1,FALSE)</f>
        <v>#N/A</v>
      </c>
      <c r="D2585" s="171" t="s">
        <v>4429</v>
      </c>
      <c r="E2585" s="165" t="s">
        <v>58</v>
      </c>
      <c r="F2585" s="81" t="s">
        <v>4430</v>
      </c>
      <c r="G2585" s="125" t="s">
        <v>4431</v>
      </c>
      <c r="H2585" s="81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77">
        <v>46162.0</v>
      </c>
      <c r="O2585" s="103" t="s">
        <v>67</v>
      </c>
      <c r="P2585" s="103" t="s">
        <v>68</v>
      </c>
      <c r="Q2585" s="157">
        <v>46170.0</v>
      </c>
      <c r="R2585" s="90" t="s">
        <v>66</v>
      </c>
      <c r="S2585" s="152">
        <v>46171.0</v>
      </c>
      <c r="T2585" s="103"/>
      <c r="U2585" s="97" t="s">
        <v>31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1">
        <v>2580.0</v>
      </c>
      <c r="B2586" s="180" t="s">
        <v>4459</v>
      </c>
      <c r="C2586" s="82" t="str">
        <f>VLOOKUP($B$7:$B$5000,SUM!$L$6:$L$500,1,FALSE)</f>
        <v>#N/A</v>
      </c>
      <c r="D2586" s="171" t="s">
        <v>4429</v>
      </c>
      <c r="E2586" s="165" t="s">
        <v>58</v>
      </c>
      <c r="F2586" s="81" t="s">
        <v>4430</v>
      </c>
      <c r="G2586" s="125" t="s">
        <v>4431</v>
      </c>
      <c r="H2586" s="81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77">
        <v>46162.0</v>
      </c>
      <c r="O2586" s="103" t="s">
        <v>67</v>
      </c>
      <c r="P2586" s="103" t="s">
        <v>68</v>
      </c>
      <c r="Q2586" s="151">
        <v>46172.0</v>
      </c>
      <c r="R2586" s="107" t="s">
        <v>66</v>
      </c>
      <c r="S2586" s="107" t="s">
        <v>227</v>
      </c>
      <c r="T2586" s="108"/>
      <c r="U2586" s="107" t="s">
        <v>31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1">
        <v>2581.0</v>
      </c>
      <c r="B2587" s="180" t="s">
        <v>4461</v>
      </c>
      <c r="C2587" s="82" t="str">
        <f>VLOOKUP($B$7:$B$5000,SUM!$L$6:$L$500,1,FALSE)</f>
        <v>#N/A</v>
      </c>
      <c r="D2587" s="171" t="s">
        <v>4429</v>
      </c>
      <c r="E2587" s="165" t="s">
        <v>58</v>
      </c>
      <c r="F2587" s="81" t="s">
        <v>4430</v>
      </c>
      <c r="G2587" s="125" t="s">
        <v>4431</v>
      </c>
      <c r="H2587" s="81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77">
        <v>46162.0</v>
      </c>
      <c r="O2587" s="103" t="s">
        <v>67</v>
      </c>
      <c r="P2587" s="103" t="s">
        <v>68</v>
      </c>
      <c r="Q2587" s="151">
        <v>46172.0</v>
      </c>
      <c r="R2587" s="107" t="s">
        <v>66</v>
      </c>
      <c r="S2587" s="107" t="s">
        <v>227</v>
      </c>
      <c r="T2587" s="108"/>
      <c r="U2587" s="107" t="s">
        <v>31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1">
        <v>2582.0</v>
      </c>
      <c r="B2588" s="180" t="s">
        <v>4463</v>
      </c>
      <c r="C2588" s="82" t="str">
        <f>VLOOKUP($B$7:$B$5000,SUM!$L$6:$L$500,1,FALSE)</f>
        <v>#N/A</v>
      </c>
      <c r="D2588" s="171" t="s">
        <v>4429</v>
      </c>
      <c r="E2588" s="165" t="s">
        <v>58</v>
      </c>
      <c r="F2588" s="81" t="s">
        <v>4430</v>
      </c>
      <c r="G2588" s="125" t="s">
        <v>4431</v>
      </c>
      <c r="H2588" s="81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77">
        <v>46162.0</v>
      </c>
      <c r="O2588" s="103" t="s">
        <v>67</v>
      </c>
      <c r="P2588" s="103" t="s">
        <v>68</v>
      </c>
      <c r="Q2588" s="159">
        <v>46171.0</v>
      </c>
      <c r="R2588" s="148" t="s">
        <v>66</v>
      </c>
      <c r="S2588" s="152">
        <v>46173.0</v>
      </c>
      <c r="T2588" s="103"/>
      <c r="U2588" s="97" t="s">
        <v>31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1">
        <v>2583.0</v>
      </c>
      <c r="B2589" s="180" t="s">
        <v>4465</v>
      </c>
      <c r="C2589" s="82" t="str">
        <f>VLOOKUP($B$7:$B$5000,SUM!$L$6:$L$500,1,FALSE)</f>
        <v>#N/A</v>
      </c>
      <c r="D2589" s="171" t="s">
        <v>4429</v>
      </c>
      <c r="E2589" s="165" t="s">
        <v>58</v>
      </c>
      <c r="F2589" s="81" t="s">
        <v>4430</v>
      </c>
      <c r="G2589" s="125" t="s">
        <v>4431</v>
      </c>
      <c r="H2589" s="81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77">
        <v>46162.0</v>
      </c>
      <c r="O2589" s="103" t="s">
        <v>67</v>
      </c>
      <c r="P2589" s="103" t="s">
        <v>68</v>
      </c>
      <c r="Q2589" s="159">
        <v>46171.0</v>
      </c>
      <c r="R2589" s="148" t="s">
        <v>66</v>
      </c>
      <c r="S2589" s="152">
        <v>46173.0</v>
      </c>
      <c r="T2589" s="103"/>
      <c r="U2589" s="97" t="s">
        <v>31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1">
        <v>2584.0</v>
      </c>
      <c r="B2590" s="180" t="s">
        <v>4466</v>
      </c>
      <c r="C2590" s="82" t="str">
        <f>VLOOKUP($B$7:$B$5000,SUM!$L$6:$L$500,1,FALSE)</f>
        <v>#N/A</v>
      </c>
      <c r="D2590" s="171" t="s">
        <v>4429</v>
      </c>
      <c r="E2590" s="165" t="s">
        <v>58</v>
      </c>
      <c r="F2590" s="81" t="s">
        <v>4430</v>
      </c>
      <c r="G2590" s="125" t="s">
        <v>4467</v>
      </c>
      <c r="H2590" s="81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77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1">
        <v>2585.0</v>
      </c>
      <c r="B2591" s="180" t="s">
        <v>4469</v>
      </c>
      <c r="C2591" s="82" t="str">
        <f>VLOOKUP($B$7:$B$5000,SUM!$L$6:$L$500,1,FALSE)</f>
        <v>#N/A</v>
      </c>
      <c r="D2591" s="171" t="s">
        <v>4429</v>
      </c>
      <c r="E2591" s="165" t="s">
        <v>58</v>
      </c>
      <c r="F2591" s="81" t="s">
        <v>4430</v>
      </c>
      <c r="G2591" s="125" t="s">
        <v>4467</v>
      </c>
      <c r="H2591" s="81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77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1">
        <v>2586.0</v>
      </c>
      <c r="B2592" s="180" t="s">
        <v>4471</v>
      </c>
      <c r="C2592" s="82" t="str">
        <f>VLOOKUP($B$7:$B$5000,SUM!$L$6:$L$500,1,FALSE)</f>
        <v>#N/A</v>
      </c>
      <c r="D2592" s="171" t="s">
        <v>4429</v>
      </c>
      <c r="E2592" s="165" t="s">
        <v>58</v>
      </c>
      <c r="F2592" s="81" t="s">
        <v>4430</v>
      </c>
      <c r="G2592" s="125" t="s">
        <v>4431</v>
      </c>
      <c r="H2592" s="81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77">
        <v>46162.0</v>
      </c>
      <c r="O2592" s="103" t="s">
        <v>67</v>
      </c>
      <c r="P2592" s="103" t="s">
        <v>68</v>
      </c>
      <c r="Q2592" s="159">
        <v>46171.0</v>
      </c>
      <c r="R2592" s="148" t="s">
        <v>66</v>
      </c>
      <c r="S2592" s="152">
        <v>46173.0</v>
      </c>
      <c r="T2592" s="103"/>
      <c r="U2592" s="97" t="s">
        <v>31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1">
        <v>2587.0</v>
      </c>
      <c r="B2593" s="180" t="s">
        <v>4473</v>
      </c>
      <c r="C2593" s="82" t="str">
        <f>VLOOKUP($B$7:$B$5000,SUM!$L$6:$L$500,1,FALSE)</f>
        <v>#N/A</v>
      </c>
      <c r="D2593" s="171" t="s">
        <v>4429</v>
      </c>
      <c r="E2593" s="165" t="s">
        <v>58</v>
      </c>
      <c r="F2593" s="81" t="s">
        <v>4430</v>
      </c>
      <c r="G2593" s="125" t="s">
        <v>4474</v>
      </c>
      <c r="H2593" s="81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77">
        <v>46162.0</v>
      </c>
      <c r="O2593" s="103" t="s">
        <v>67</v>
      </c>
      <c r="P2593" s="103" t="s">
        <v>68</v>
      </c>
      <c r="Q2593" s="159">
        <v>46171.0</v>
      </c>
      <c r="R2593" s="148" t="s">
        <v>66</v>
      </c>
      <c r="S2593" s="152">
        <v>46173.0</v>
      </c>
      <c r="T2593" s="103"/>
      <c r="U2593" s="97" t="s">
        <v>31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1">
        <v>2588.0</v>
      </c>
      <c r="B2594" s="180" t="s">
        <v>4476</v>
      </c>
      <c r="C2594" s="82" t="str">
        <f>VLOOKUP($B$7:$B$5000,SUM!$L$6:$L$500,1,FALSE)</f>
        <v>#N/A</v>
      </c>
      <c r="D2594" s="171" t="s">
        <v>4429</v>
      </c>
      <c r="E2594" s="165" t="s">
        <v>58</v>
      </c>
      <c r="F2594" s="81" t="s">
        <v>4430</v>
      </c>
      <c r="G2594" s="125" t="s">
        <v>4474</v>
      </c>
      <c r="H2594" s="81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77">
        <v>46162.0</v>
      </c>
      <c r="O2594" s="103" t="s">
        <v>67</v>
      </c>
      <c r="P2594" s="103" t="s">
        <v>68</v>
      </c>
      <c r="Q2594" s="159">
        <v>46171.0</v>
      </c>
      <c r="R2594" s="148" t="s">
        <v>66</v>
      </c>
      <c r="S2594" s="152">
        <v>46173.0</v>
      </c>
      <c r="T2594" s="103"/>
      <c r="U2594" s="97" t="s">
        <v>31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1">
        <v>2589.0</v>
      </c>
      <c r="B2595" s="180" t="s">
        <v>4478</v>
      </c>
      <c r="C2595" s="82" t="str">
        <f>VLOOKUP($B$7:$B$5000,SUM!$L$6:$L$500,1,FALSE)</f>
        <v>#N/A</v>
      </c>
      <c r="D2595" s="171" t="s">
        <v>4429</v>
      </c>
      <c r="E2595" s="165" t="s">
        <v>58</v>
      </c>
      <c r="F2595" s="81" t="s">
        <v>4430</v>
      </c>
      <c r="G2595" s="125" t="s">
        <v>4431</v>
      </c>
      <c r="H2595" s="81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77">
        <v>46162.0</v>
      </c>
      <c r="O2595" s="103" t="s">
        <v>67</v>
      </c>
      <c r="P2595" s="103" t="s">
        <v>68</v>
      </c>
      <c r="Q2595" s="159">
        <v>46171.0</v>
      </c>
      <c r="R2595" s="148" t="s">
        <v>66</v>
      </c>
      <c r="S2595" s="152">
        <v>46173.0</v>
      </c>
      <c r="T2595" s="103"/>
      <c r="U2595" s="97" t="s">
        <v>31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1">
        <v>2590.0</v>
      </c>
      <c r="B2596" s="180" t="s">
        <v>4480</v>
      </c>
      <c r="C2596" s="82" t="str">
        <f>VLOOKUP($B$7:$B$5000,SUM!$L$6:$L$500,1,FALSE)</f>
        <v>#N/A</v>
      </c>
      <c r="D2596" s="171" t="s">
        <v>4429</v>
      </c>
      <c r="E2596" s="165" t="s">
        <v>58</v>
      </c>
      <c r="F2596" s="81" t="s">
        <v>4430</v>
      </c>
      <c r="G2596" s="125" t="s">
        <v>4467</v>
      </c>
      <c r="H2596" s="81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77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1">
        <v>2591.0</v>
      </c>
      <c r="B2597" s="180" t="s">
        <v>4483</v>
      </c>
      <c r="C2597" s="82" t="str">
        <f>VLOOKUP($B$7:$B$5000,SUM!$L$6:$L$500,1,FALSE)</f>
        <v>#N/A</v>
      </c>
      <c r="D2597" s="171" t="s">
        <v>4429</v>
      </c>
      <c r="E2597" s="165" t="s">
        <v>58</v>
      </c>
      <c r="F2597" s="81" t="s">
        <v>4430</v>
      </c>
      <c r="G2597" s="125" t="s">
        <v>4467</v>
      </c>
      <c r="H2597" s="81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77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1">
        <v>2592.0</v>
      </c>
      <c r="B2598" s="180" t="s">
        <v>4485</v>
      </c>
      <c r="C2598" s="82" t="str">
        <f>VLOOKUP($B$7:$B$5000,SUM!$L$6:$L$500,1,FALSE)</f>
        <v>#N/A</v>
      </c>
      <c r="D2598" s="171" t="s">
        <v>4429</v>
      </c>
      <c r="E2598" s="165" t="s">
        <v>58</v>
      </c>
      <c r="F2598" s="81" t="s">
        <v>4430</v>
      </c>
      <c r="G2598" s="125" t="s">
        <v>4467</v>
      </c>
      <c r="H2598" s="81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77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1">
        <v>2593.0</v>
      </c>
      <c r="B2599" s="180" t="s">
        <v>4487</v>
      </c>
      <c r="C2599" s="82" t="str">
        <f>VLOOKUP($B$7:$B$5000,SUM!$L$6:$L$500,1,FALSE)</f>
        <v>#N/A</v>
      </c>
      <c r="D2599" s="171" t="s">
        <v>4429</v>
      </c>
      <c r="E2599" s="165" t="s">
        <v>58</v>
      </c>
      <c r="F2599" s="81" t="s">
        <v>4430</v>
      </c>
      <c r="G2599" s="125" t="s">
        <v>4431</v>
      </c>
      <c r="H2599" s="81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77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1">
        <v>2594.0</v>
      </c>
      <c r="B2600" s="180" t="s">
        <v>4488</v>
      </c>
      <c r="C2600" s="82" t="str">
        <f>VLOOKUP($B$7:$B$5000,SUM!$L$6:$L$500,1,FALSE)</f>
        <v>#N/A</v>
      </c>
      <c r="D2600" s="171" t="s">
        <v>4429</v>
      </c>
      <c r="E2600" s="165" t="s">
        <v>58</v>
      </c>
      <c r="F2600" s="81" t="s">
        <v>4430</v>
      </c>
      <c r="G2600" s="125" t="s">
        <v>4431</v>
      </c>
      <c r="H2600" s="81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77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1">
        <v>2595.0</v>
      </c>
      <c r="B2601" s="180" t="s">
        <v>4489</v>
      </c>
      <c r="C2601" s="82" t="str">
        <f>VLOOKUP($B$7:$B$5000,SUM!$L$6:$L$500,1,FALSE)</f>
        <v>#N/A</v>
      </c>
      <c r="D2601" s="171" t="s">
        <v>4429</v>
      </c>
      <c r="E2601" s="165" t="s">
        <v>58</v>
      </c>
      <c r="F2601" s="81" t="s">
        <v>4430</v>
      </c>
      <c r="G2601" s="125" t="s">
        <v>4431</v>
      </c>
      <c r="H2601" s="81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77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1">
        <v>2596.0</v>
      </c>
      <c r="B2602" s="180" t="s">
        <v>4490</v>
      </c>
      <c r="C2602" s="82" t="str">
        <f>VLOOKUP($B$7:$B$5000,SUM!$L$6:$L$500,1,FALSE)</f>
        <v>#N/A</v>
      </c>
      <c r="D2602" s="171" t="s">
        <v>4429</v>
      </c>
      <c r="E2602" s="165" t="s">
        <v>58</v>
      </c>
      <c r="F2602" s="81" t="s">
        <v>4430</v>
      </c>
      <c r="G2602" s="125" t="s">
        <v>4431</v>
      </c>
      <c r="H2602" s="81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77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1">
        <v>2597.0</v>
      </c>
      <c r="B2603" s="180" t="s">
        <v>4491</v>
      </c>
      <c r="C2603" s="82" t="str">
        <f>VLOOKUP($B$7:$B$5000,SUM!$L$6:$L$500,1,FALSE)</f>
        <v>#N/A</v>
      </c>
      <c r="D2603" s="171" t="s">
        <v>4429</v>
      </c>
      <c r="E2603" s="165" t="s">
        <v>58</v>
      </c>
      <c r="F2603" s="81" t="s">
        <v>4430</v>
      </c>
      <c r="G2603" s="125" t="s">
        <v>4431</v>
      </c>
      <c r="H2603" s="81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77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1">
        <v>2598.0</v>
      </c>
      <c r="B2604" s="180" t="s">
        <v>4492</v>
      </c>
      <c r="C2604" s="82" t="str">
        <f>VLOOKUP($B$7:$B$5000,SUM!$L$6:$L$500,1,FALSE)</f>
        <v>#N/A</v>
      </c>
      <c r="D2604" s="171" t="s">
        <v>4429</v>
      </c>
      <c r="E2604" s="165" t="s">
        <v>58</v>
      </c>
      <c r="F2604" s="81" t="s">
        <v>4430</v>
      </c>
      <c r="G2604" s="125" t="s">
        <v>4431</v>
      </c>
      <c r="H2604" s="81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77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1">
        <v>2599.0</v>
      </c>
      <c r="B2605" s="180" t="s">
        <v>4493</v>
      </c>
      <c r="C2605" s="82" t="str">
        <f>VLOOKUP($B$7:$B$5000,SUM!$L$6:$L$500,1,FALSE)</f>
        <v>#N/A</v>
      </c>
      <c r="D2605" s="171" t="s">
        <v>4429</v>
      </c>
      <c r="E2605" s="165" t="s">
        <v>58</v>
      </c>
      <c r="F2605" s="81" t="s">
        <v>4430</v>
      </c>
      <c r="G2605" s="125" t="s">
        <v>4431</v>
      </c>
      <c r="H2605" s="81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77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1">
        <v>2600.0</v>
      </c>
      <c r="B2606" s="180" t="s">
        <v>4494</v>
      </c>
      <c r="C2606" s="82" t="str">
        <f>VLOOKUP($B$7:$B$5000,SUM!$L$6:$L$500,1,FALSE)</f>
        <v>#N/A</v>
      </c>
      <c r="D2606" s="171" t="s">
        <v>4429</v>
      </c>
      <c r="E2606" s="165" t="s">
        <v>58</v>
      </c>
      <c r="F2606" s="81" t="s">
        <v>4430</v>
      </c>
      <c r="G2606" s="125" t="s">
        <v>4431</v>
      </c>
      <c r="H2606" s="81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77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1">
        <v>2601.0</v>
      </c>
      <c r="B2607" s="180" t="s">
        <v>4495</v>
      </c>
      <c r="C2607" s="82" t="str">
        <f>VLOOKUP($B$7:$B$5000,SUM!$L$6:$L$500,1,FALSE)</f>
        <v>#N/A</v>
      </c>
      <c r="D2607" s="171" t="s">
        <v>4429</v>
      </c>
      <c r="E2607" s="165" t="s">
        <v>58</v>
      </c>
      <c r="F2607" s="81" t="s">
        <v>4430</v>
      </c>
      <c r="G2607" s="125" t="s">
        <v>4431</v>
      </c>
      <c r="H2607" s="81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77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1">
        <v>2602.0</v>
      </c>
      <c r="B2608" s="180" t="s">
        <v>4496</v>
      </c>
      <c r="C2608" s="82" t="str">
        <f>VLOOKUP($B$7:$B$5000,SUM!$L$6:$L$500,1,FALSE)</f>
        <v>#N/A</v>
      </c>
      <c r="D2608" s="171" t="s">
        <v>4429</v>
      </c>
      <c r="E2608" s="165" t="s">
        <v>58</v>
      </c>
      <c r="F2608" s="81" t="s">
        <v>4430</v>
      </c>
      <c r="G2608" s="125" t="s">
        <v>4431</v>
      </c>
      <c r="H2608" s="81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77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1">
        <v>2603.0</v>
      </c>
      <c r="B2609" s="180" t="s">
        <v>4497</v>
      </c>
      <c r="C2609" s="82" t="str">
        <f>VLOOKUP($B$7:$B$5000,SUM!$L$6:$L$500,1,FALSE)</f>
        <v>#N/A</v>
      </c>
      <c r="D2609" s="171" t="s">
        <v>4429</v>
      </c>
      <c r="E2609" s="165" t="s">
        <v>58</v>
      </c>
      <c r="F2609" s="81" t="s">
        <v>4430</v>
      </c>
      <c r="G2609" s="125" t="s">
        <v>4431</v>
      </c>
      <c r="H2609" s="81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77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1">
        <v>2604.0</v>
      </c>
      <c r="B2610" s="180" t="s">
        <v>4498</v>
      </c>
      <c r="C2610" s="82" t="str">
        <f>VLOOKUP($B$7:$B$5000,SUM!$L$6:$L$500,1,FALSE)</f>
        <v>#N/A</v>
      </c>
      <c r="D2610" s="171" t="s">
        <v>4429</v>
      </c>
      <c r="E2610" s="165" t="s">
        <v>58</v>
      </c>
      <c r="F2610" s="81" t="s">
        <v>4430</v>
      </c>
      <c r="G2610" s="125" t="s">
        <v>4431</v>
      </c>
      <c r="H2610" s="81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77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1">
        <v>2605.0</v>
      </c>
      <c r="B2611" s="180" t="s">
        <v>4499</v>
      </c>
      <c r="C2611" s="82" t="str">
        <f>VLOOKUP($B$7:$B$5000,SUM!$L$6:$L$500,1,FALSE)</f>
        <v>#N/A</v>
      </c>
      <c r="D2611" s="171" t="s">
        <v>4429</v>
      </c>
      <c r="E2611" s="165" t="s">
        <v>58</v>
      </c>
      <c r="F2611" s="81" t="s">
        <v>4430</v>
      </c>
      <c r="G2611" s="125" t="s">
        <v>4431</v>
      </c>
      <c r="H2611" s="81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77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1">
        <v>2606.0</v>
      </c>
      <c r="B2612" s="180" t="s">
        <v>4500</v>
      </c>
      <c r="C2612" s="82" t="str">
        <f>VLOOKUP($B$7:$B$5000,SUM!$L$6:$L$500,1,FALSE)</f>
        <v>#N/A</v>
      </c>
      <c r="D2612" s="171" t="s">
        <v>4429</v>
      </c>
      <c r="E2612" s="165" t="s">
        <v>58</v>
      </c>
      <c r="F2612" s="81" t="s">
        <v>4430</v>
      </c>
      <c r="G2612" s="125" t="s">
        <v>4431</v>
      </c>
      <c r="H2612" s="81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77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1">
        <v>2607.0</v>
      </c>
      <c r="B2613" s="180" t="s">
        <v>4501</v>
      </c>
      <c r="C2613" s="82" t="str">
        <f>VLOOKUP($B$7:$B$5000,SUM!$L$6:$L$500,1,FALSE)</f>
        <v>#N/A</v>
      </c>
      <c r="D2613" s="171" t="s">
        <v>4429</v>
      </c>
      <c r="E2613" s="165" t="s">
        <v>58</v>
      </c>
      <c r="F2613" s="81" t="s">
        <v>4430</v>
      </c>
      <c r="G2613" s="125" t="s">
        <v>4431</v>
      </c>
      <c r="H2613" s="81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77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1">
        <v>2608.0</v>
      </c>
      <c r="B2614" s="180" t="s">
        <v>4502</v>
      </c>
      <c r="C2614" s="82" t="str">
        <f>VLOOKUP($B$7:$B$5000,SUM!$L$6:$L$500,1,FALSE)</f>
        <v>#N/A</v>
      </c>
      <c r="D2614" s="171" t="s">
        <v>4429</v>
      </c>
      <c r="E2614" s="165" t="s">
        <v>58</v>
      </c>
      <c r="F2614" s="81" t="s">
        <v>4430</v>
      </c>
      <c r="G2614" s="125" t="s">
        <v>4431</v>
      </c>
      <c r="H2614" s="81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77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1">
        <v>2609.0</v>
      </c>
      <c r="B2615" s="180" t="s">
        <v>4503</v>
      </c>
      <c r="C2615" s="82" t="str">
        <f>VLOOKUP($B$7:$B$5000,SUM!$L$6:$L$500,1,FALSE)</f>
        <v>#N/A</v>
      </c>
      <c r="D2615" s="171" t="s">
        <v>4429</v>
      </c>
      <c r="E2615" s="165" t="s">
        <v>58</v>
      </c>
      <c r="F2615" s="81" t="s">
        <v>4430</v>
      </c>
      <c r="G2615" s="125" t="s">
        <v>4431</v>
      </c>
      <c r="H2615" s="81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77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1">
        <v>2610.0</v>
      </c>
      <c r="B2616" s="180" t="s">
        <v>4504</v>
      </c>
      <c r="C2616" s="82" t="str">
        <f>VLOOKUP($B$7:$B$5000,SUM!$L$6:$L$500,1,FALSE)</f>
        <v>#N/A</v>
      </c>
      <c r="D2616" s="171" t="s">
        <v>4429</v>
      </c>
      <c r="E2616" s="165" t="s">
        <v>58</v>
      </c>
      <c r="F2616" s="81" t="s">
        <v>4430</v>
      </c>
      <c r="G2616" s="125" t="s">
        <v>4431</v>
      </c>
      <c r="H2616" s="81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77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1">
        <v>2611.0</v>
      </c>
      <c r="B2617" s="180" t="s">
        <v>4505</v>
      </c>
      <c r="C2617" s="82" t="str">
        <f>VLOOKUP($B$7:$B$5000,SUM!$L$6:$L$500,1,FALSE)</f>
        <v>#N/A</v>
      </c>
      <c r="D2617" s="171" t="s">
        <v>4429</v>
      </c>
      <c r="E2617" s="165" t="s">
        <v>58</v>
      </c>
      <c r="F2617" s="81" t="s">
        <v>4430</v>
      </c>
      <c r="G2617" s="125" t="s">
        <v>4467</v>
      </c>
      <c r="H2617" s="81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77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1">
        <v>2612.0</v>
      </c>
      <c r="B2618" s="180" t="s">
        <v>4506</v>
      </c>
      <c r="C2618" s="82" t="str">
        <f>VLOOKUP($B$7:$B$5000,SUM!$L$6:$L$500,1,FALSE)</f>
        <v>#N/A</v>
      </c>
      <c r="D2618" s="171" t="s">
        <v>4429</v>
      </c>
      <c r="E2618" s="165" t="s">
        <v>58</v>
      </c>
      <c r="F2618" s="81" t="s">
        <v>4430</v>
      </c>
      <c r="G2618" s="125" t="s">
        <v>4431</v>
      </c>
      <c r="H2618" s="81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77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1">
        <v>2613.0</v>
      </c>
      <c r="B2619" s="180" t="s">
        <v>4507</v>
      </c>
      <c r="C2619" s="82" t="str">
        <f>VLOOKUP($B$7:$B$5000,SUM!$L$6:$L$500,1,FALSE)</f>
        <v>#N/A</v>
      </c>
      <c r="D2619" s="171" t="s">
        <v>4429</v>
      </c>
      <c r="E2619" s="165" t="s">
        <v>58</v>
      </c>
      <c r="F2619" s="81" t="s">
        <v>4430</v>
      </c>
      <c r="G2619" s="125" t="s">
        <v>4474</v>
      </c>
      <c r="H2619" s="81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77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1">
        <v>2614.0</v>
      </c>
      <c r="B2620" s="180" t="s">
        <v>4508</v>
      </c>
      <c r="C2620" s="82" t="str">
        <f>VLOOKUP($B$7:$B$5000,SUM!$L$6:$L$500,1,FALSE)</f>
        <v>#N/A</v>
      </c>
      <c r="D2620" s="171" t="s">
        <v>4429</v>
      </c>
      <c r="E2620" s="165" t="s">
        <v>58</v>
      </c>
      <c r="F2620" s="81" t="s">
        <v>4430</v>
      </c>
      <c r="G2620" s="125" t="s">
        <v>4474</v>
      </c>
      <c r="H2620" s="81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77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1">
        <v>2615.0</v>
      </c>
      <c r="B2621" s="180" t="s">
        <v>4509</v>
      </c>
      <c r="C2621" s="82" t="str">
        <f>VLOOKUP($B$7:$B$5000,SUM!$L$6:$L$500,1,FALSE)</f>
        <v>#N/A</v>
      </c>
      <c r="D2621" s="171" t="s">
        <v>4429</v>
      </c>
      <c r="E2621" s="165" t="s">
        <v>58</v>
      </c>
      <c r="F2621" s="81" t="s">
        <v>4430</v>
      </c>
      <c r="G2621" s="125" t="s">
        <v>4431</v>
      </c>
      <c r="H2621" s="81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77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1">
        <v>2616.0</v>
      </c>
      <c r="B2622" s="180" t="s">
        <v>4510</v>
      </c>
      <c r="C2622" s="82" t="str">
        <f>VLOOKUP($B$7:$B$5000,SUM!$L$6:$L$500,1,FALSE)</f>
        <v>#N/A</v>
      </c>
      <c r="D2622" s="171" t="s">
        <v>4429</v>
      </c>
      <c r="E2622" s="165" t="s">
        <v>58</v>
      </c>
      <c r="F2622" s="81" t="s">
        <v>4430</v>
      </c>
      <c r="G2622" s="125" t="s">
        <v>4431</v>
      </c>
      <c r="H2622" s="81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77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1">
        <v>2617.0</v>
      </c>
      <c r="B2623" s="180" t="s">
        <v>4512</v>
      </c>
      <c r="C2623" s="82" t="str">
        <f>VLOOKUP($B$7:$B$5000,SUM!$L$6:$L$500,1,FALSE)</f>
        <v>#N/A</v>
      </c>
      <c r="D2623" s="171" t="s">
        <v>4429</v>
      </c>
      <c r="E2623" s="165" t="s">
        <v>58</v>
      </c>
      <c r="F2623" s="81" t="s">
        <v>4430</v>
      </c>
      <c r="G2623" s="125" t="s">
        <v>4431</v>
      </c>
      <c r="H2623" s="81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77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1">
        <v>2618.0</v>
      </c>
      <c r="B2624" s="180" t="s">
        <v>4513</v>
      </c>
      <c r="C2624" s="82" t="str">
        <f>VLOOKUP($B$7:$B$5000,SUM!$L$6:$L$500,1,FALSE)</f>
        <v>#N/A</v>
      </c>
      <c r="D2624" s="171" t="s">
        <v>4429</v>
      </c>
      <c r="E2624" s="165" t="s">
        <v>58</v>
      </c>
      <c r="F2624" s="81" t="s">
        <v>4430</v>
      </c>
      <c r="G2624" s="125" t="s">
        <v>4431</v>
      </c>
      <c r="H2624" s="81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77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1">
        <v>2619.0</v>
      </c>
      <c r="B2625" s="180" t="s">
        <v>4515</v>
      </c>
      <c r="C2625" s="82" t="str">
        <f>VLOOKUP($B$7:$B$5000,SUM!$L$6:$L$500,1,FALSE)</f>
        <v>#N/A</v>
      </c>
      <c r="D2625" s="171" t="s">
        <v>4429</v>
      </c>
      <c r="E2625" s="165" t="s">
        <v>58</v>
      </c>
      <c r="F2625" s="81" t="s">
        <v>4430</v>
      </c>
      <c r="G2625" s="125" t="s">
        <v>4431</v>
      </c>
      <c r="H2625" s="81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77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1">
        <v>2620.0</v>
      </c>
      <c r="B2626" s="180" t="s">
        <v>4516</v>
      </c>
      <c r="C2626" s="82" t="str">
        <f>VLOOKUP($B$7:$B$5000,SUM!$L$6:$L$500,1,FALSE)</f>
        <v>#N/A</v>
      </c>
      <c r="D2626" s="171" t="s">
        <v>4429</v>
      </c>
      <c r="E2626" s="165" t="s">
        <v>58</v>
      </c>
      <c r="F2626" s="81" t="s">
        <v>4430</v>
      </c>
      <c r="G2626" s="125" t="s">
        <v>4431</v>
      </c>
      <c r="H2626" s="81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77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1">
        <v>2621.0</v>
      </c>
      <c r="B2627" s="180" t="s">
        <v>4518</v>
      </c>
      <c r="C2627" s="82" t="str">
        <f>VLOOKUP($B$7:$B$5000,SUM!$L$6:$L$500,1,FALSE)</f>
        <v>#N/A</v>
      </c>
      <c r="D2627" s="171" t="s">
        <v>4429</v>
      </c>
      <c r="E2627" s="165" t="s">
        <v>58</v>
      </c>
      <c r="F2627" s="81" t="s">
        <v>4430</v>
      </c>
      <c r="G2627" s="125" t="s">
        <v>4431</v>
      </c>
      <c r="H2627" s="81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77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1">
        <v>2622.0</v>
      </c>
      <c r="B2628" s="180" t="s">
        <v>4519</v>
      </c>
      <c r="C2628" s="82" t="str">
        <f>VLOOKUP($B$7:$B$5000,SUM!$L$6:$L$500,1,FALSE)</f>
        <v>#N/A</v>
      </c>
      <c r="D2628" s="171" t="s">
        <v>4429</v>
      </c>
      <c r="E2628" s="165" t="s">
        <v>58</v>
      </c>
      <c r="F2628" s="81" t="s">
        <v>4430</v>
      </c>
      <c r="G2628" s="125" t="s">
        <v>4431</v>
      </c>
      <c r="H2628" s="81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77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1">
        <v>2623.0</v>
      </c>
      <c r="B2629" s="180" t="s">
        <v>4521</v>
      </c>
      <c r="C2629" s="82" t="str">
        <f>VLOOKUP($B$7:$B$5000,SUM!$L$6:$L$500,1,FALSE)</f>
        <v>#N/A</v>
      </c>
      <c r="D2629" s="171" t="s">
        <v>4429</v>
      </c>
      <c r="E2629" s="165" t="s">
        <v>58</v>
      </c>
      <c r="F2629" s="81" t="s">
        <v>4430</v>
      </c>
      <c r="G2629" s="125" t="s">
        <v>4431</v>
      </c>
      <c r="H2629" s="81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77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1">
        <v>2624.0</v>
      </c>
      <c r="B2630" s="180" t="s">
        <v>4523</v>
      </c>
      <c r="C2630" s="82" t="str">
        <f>VLOOKUP($B$7:$B$5000,SUM!$L$6:$L$500,1,FALSE)</f>
        <v>#N/A</v>
      </c>
      <c r="D2630" s="171" t="s">
        <v>4429</v>
      </c>
      <c r="E2630" s="165" t="s">
        <v>58</v>
      </c>
      <c r="F2630" s="81" t="s">
        <v>4430</v>
      </c>
      <c r="G2630" s="125" t="s">
        <v>4431</v>
      </c>
      <c r="H2630" s="81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77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1">
        <v>2625.0</v>
      </c>
      <c r="B2631" s="180" t="s">
        <v>4525</v>
      </c>
      <c r="C2631" s="82" t="str">
        <f>VLOOKUP($B$7:$B$5000,SUM!$L$6:$L$500,1,FALSE)</f>
        <v>#N/A</v>
      </c>
      <c r="D2631" s="171" t="s">
        <v>4429</v>
      </c>
      <c r="E2631" s="165" t="s">
        <v>58</v>
      </c>
      <c r="F2631" s="81" t="s">
        <v>4430</v>
      </c>
      <c r="G2631" s="125" t="s">
        <v>4431</v>
      </c>
      <c r="H2631" s="81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77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1">
        <v>2626.0</v>
      </c>
      <c r="B2632" s="180" t="s">
        <v>4527</v>
      </c>
      <c r="C2632" s="82" t="str">
        <f>VLOOKUP($B$7:$B$5000,SUM!$L$6:$L$500,1,FALSE)</f>
        <v>#N/A</v>
      </c>
      <c r="D2632" s="171" t="s">
        <v>4429</v>
      </c>
      <c r="E2632" s="165" t="s">
        <v>58</v>
      </c>
      <c r="F2632" s="81" t="s">
        <v>4430</v>
      </c>
      <c r="G2632" s="125" t="s">
        <v>4431</v>
      </c>
      <c r="H2632" s="81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77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1">
        <v>2627.0</v>
      </c>
      <c r="B2633" s="180" t="s">
        <v>4529</v>
      </c>
      <c r="C2633" s="82" t="str">
        <f>VLOOKUP($B$7:$B$5000,SUM!$L$6:$L$500,1,FALSE)</f>
        <v>#N/A</v>
      </c>
      <c r="D2633" s="171" t="s">
        <v>4429</v>
      </c>
      <c r="E2633" s="165" t="s">
        <v>58</v>
      </c>
      <c r="F2633" s="81" t="s">
        <v>4430</v>
      </c>
      <c r="G2633" s="125" t="s">
        <v>4431</v>
      </c>
      <c r="H2633" s="81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77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1">
        <v>2628.0</v>
      </c>
      <c r="B2634" s="180" t="s">
        <v>4531</v>
      </c>
      <c r="C2634" s="82" t="str">
        <f>VLOOKUP($B$7:$B$5000,SUM!$L$6:$L$500,1,FALSE)</f>
        <v>#N/A</v>
      </c>
      <c r="D2634" s="171" t="s">
        <v>4429</v>
      </c>
      <c r="E2634" s="165" t="s">
        <v>58</v>
      </c>
      <c r="F2634" s="81" t="s">
        <v>4430</v>
      </c>
      <c r="G2634" s="125" t="s">
        <v>4431</v>
      </c>
      <c r="H2634" s="81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77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1">
        <v>2629.0</v>
      </c>
      <c r="B2635" s="180" t="s">
        <v>4533</v>
      </c>
      <c r="C2635" s="82" t="str">
        <f>VLOOKUP($B$7:$B$5000,SUM!$L$6:$L$500,1,FALSE)</f>
        <v>#N/A</v>
      </c>
      <c r="D2635" s="171" t="s">
        <v>4429</v>
      </c>
      <c r="E2635" s="165" t="s">
        <v>58</v>
      </c>
      <c r="F2635" s="81" t="s">
        <v>4430</v>
      </c>
      <c r="G2635" s="125" t="s">
        <v>4431</v>
      </c>
      <c r="H2635" s="81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77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1">
        <v>2630.0</v>
      </c>
      <c r="B2636" s="180" t="s">
        <v>4534</v>
      </c>
      <c r="C2636" s="82" t="str">
        <f>VLOOKUP($B$7:$B$5000,SUM!$L$6:$L$500,1,FALSE)</f>
        <v>#N/A</v>
      </c>
      <c r="D2636" s="171" t="s">
        <v>4429</v>
      </c>
      <c r="E2636" s="165" t="s">
        <v>58</v>
      </c>
      <c r="F2636" s="81" t="s">
        <v>4430</v>
      </c>
      <c r="G2636" s="125" t="s">
        <v>4431</v>
      </c>
      <c r="H2636" s="81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77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1">
        <v>2631.0</v>
      </c>
      <c r="B2637" s="180" t="s">
        <v>4535</v>
      </c>
      <c r="C2637" s="82" t="str">
        <f>VLOOKUP($B$7:$B$5000,SUM!$L$6:$L$500,1,FALSE)</f>
        <v>#N/A</v>
      </c>
      <c r="D2637" s="171" t="s">
        <v>4536</v>
      </c>
      <c r="E2637" s="165" t="s">
        <v>58</v>
      </c>
      <c r="F2637" s="81" t="s">
        <v>4430</v>
      </c>
      <c r="G2637" s="125" t="s">
        <v>4537</v>
      </c>
      <c r="H2637" s="81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77">
        <v>46162.0</v>
      </c>
      <c r="O2637" s="103" t="s">
        <v>67</v>
      </c>
      <c r="P2637" s="103" t="s">
        <v>68</v>
      </c>
      <c r="Q2637" s="159">
        <v>46171.0</v>
      </c>
      <c r="R2637" s="148" t="s">
        <v>66</v>
      </c>
      <c r="S2637" s="152">
        <v>46173.0</v>
      </c>
      <c r="T2637" s="103"/>
      <c r="U2637" s="97" t="s">
        <v>31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1">
        <v>2632.0</v>
      </c>
      <c r="B2638" s="180" t="s">
        <v>4539</v>
      </c>
      <c r="C2638" s="82" t="str">
        <f>VLOOKUP($B$7:$B$5000,SUM!$L$6:$L$500,1,FALSE)</f>
        <v>#N/A</v>
      </c>
      <c r="D2638" s="171" t="s">
        <v>4536</v>
      </c>
      <c r="E2638" s="165" t="s">
        <v>58</v>
      </c>
      <c r="F2638" s="81" t="s">
        <v>4430</v>
      </c>
      <c r="G2638" s="125" t="s">
        <v>4537</v>
      </c>
      <c r="H2638" s="81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77">
        <v>46162.0</v>
      </c>
      <c r="O2638" s="103" t="s">
        <v>67</v>
      </c>
      <c r="P2638" s="103" t="s">
        <v>68</v>
      </c>
      <c r="Q2638" s="159">
        <v>46171.0</v>
      </c>
      <c r="R2638" s="148" t="s">
        <v>66</v>
      </c>
      <c r="S2638" s="152">
        <v>46173.0</v>
      </c>
      <c r="T2638" s="103"/>
      <c r="U2638" s="97" t="s">
        <v>31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1">
        <v>2633.0</v>
      </c>
      <c r="B2639" s="180" t="s">
        <v>4541</v>
      </c>
      <c r="C2639" s="82" t="str">
        <f>VLOOKUP($B$7:$B$5000,SUM!$L$6:$L$500,1,FALSE)</f>
        <v>#N/A</v>
      </c>
      <c r="D2639" s="171" t="s">
        <v>4536</v>
      </c>
      <c r="E2639" s="165" t="s">
        <v>58</v>
      </c>
      <c r="F2639" s="81" t="s">
        <v>4430</v>
      </c>
      <c r="G2639" s="180" t="s">
        <v>4542</v>
      </c>
      <c r="H2639" s="81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77">
        <v>46162.0</v>
      </c>
      <c r="O2639" s="103" t="s">
        <v>67</v>
      </c>
      <c r="P2639" s="103" t="s">
        <v>68</v>
      </c>
      <c r="Q2639" s="159">
        <v>46171.0</v>
      </c>
      <c r="R2639" s="148" t="s">
        <v>66</v>
      </c>
      <c r="S2639" s="152">
        <v>46173.0</v>
      </c>
      <c r="T2639" s="103"/>
      <c r="U2639" s="97" t="s">
        <v>31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1">
        <v>2634.0</v>
      </c>
      <c r="B2640" s="180" t="s">
        <v>4544</v>
      </c>
      <c r="C2640" s="82" t="str">
        <f>VLOOKUP($B$7:$B$5000,SUM!$L$6:$L$500,1,FALSE)</f>
        <v>#N/A</v>
      </c>
      <c r="D2640" s="171" t="s">
        <v>4536</v>
      </c>
      <c r="E2640" s="165" t="s">
        <v>58</v>
      </c>
      <c r="F2640" s="81" t="s">
        <v>4430</v>
      </c>
      <c r="G2640" s="180" t="s">
        <v>4542</v>
      </c>
      <c r="H2640" s="81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77">
        <v>46162.0</v>
      </c>
      <c r="O2640" s="103" t="s">
        <v>67</v>
      </c>
      <c r="P2640" s="103" t="s">
        <v>68</v>
      </c>
      <c r="Q2640" s="159">
        <v>46171.0</v>
      </c>
      <c r="R2640" s="148" t="s">
        <v>66</v>
      </c>
      <c r="S2640" s="152">
        <v>46173.0</v>
      </c>
      <c r="T2640" s="103"/>
      <c r="U2640" s="97" t="s">
        <v>31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1">
        <v>2635.0</v>
      </c>
      <c r="B2641" s="180" t="s">
        <v>4546</v>
      </c>
      <c r="C2641" s="82" t="str">
        <f>VLOOKUP($B$7:$B$5000,SUM!$L$6:$L$500,1,FALSE)</f>
        <v>#N/A</v>
      </c>
      <c r="D2641" s="171" t="s">
        <v>4536</v>
      </c>
      <c r="E2641" s="165" t="s">
        <v>58</v>
      </c>
      <c r="F2641" s="81" t="s">
        <v>4430</v>
      </c>
      <c r="G2641" s="180" t="s">
        <v>4542</v>
      </c>
      <c r="H2641" s="81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77">
        <v>46162.0</v>
      </c>
      <c r="O2641" s="103" t="s">
        <v>67</v>
      </c>
      <c r="P2641" s="103" t="s">
        <v>68</v>
      </c>
      <c r="Q2641" s="159">
        <v>46171.0</v>
      </c>
      <c r="R2641" s="148" t="s">
        <v>66</v>
      </c>
      <c r="S2641" s="152">
        <v>46173.0</v>
      </c>
      <c r="T2641" s="103"/>
      <c r="U2641" s="97" t="s">
        <v>31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1">
        <v>2636.0</v>
      </c>
      <c r="B2642" s="180" t="s">
        <v>4548</v>
      </c>
      <c r="C2642" s="82" t="str">
        <f>VLOOKUP($B$7:$B$5000,SUM!$L$6:$L$500,1,FALSE)</f>
        <v>#N/A</v>
      </c>
      <c r="D2642" s="171" t="s">
        <v>4536</v>
      </c>
      <c r="E2642" s="165" t="s">
        <v>58</v>
      </c>
      <c r="F2642" s="81" t="s">
        <v>4430</v>
      </c>
      <c r="G2642" s="180" t="s">
        <v>4542</v>
      </c>
      <c r="H2642" s="81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77">
        <v>46162.0</v>
      </c>
      <c r="O2642" s="103" t="s">
        <v>67</v>
      </c>
      <c r="P2642" s="103" t="s">
        <v>68</v>
      </c>
      <c r="Q2642" s="159">
        <v>46171.0</v>
      </c>
      <c r="R2642" s="148" t="s">
        <v>66</v>
      </c>
      <c r="S2642" s="152">
        <v>46173.0</v>
      </c>
      <c r="T2642" s="103"/>
      <c r="U2642" s="97" t="s">
        <v>31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1">
        <v>2637.0</v>
      </c>
      <c r="B2643" s="180" t="s">
        <v>4550</v>
      </c>
      <c r="C2643" s="82" t="str">
        <f>VLOOKUP($B$7:$B$5000,SUM!$L$6:$L$500,1,FALSE)</f>
        <v>#N/A</v>
      </c>
      <c r="D2643" s="171" t="s">
        <v>4536</v>
      </c>
      <c r="E2643" s="165" t="s">
        <v>58</v>
      </c>
      <c r="F2643" s="81" t="s">
        <v>4430</v>
      </c>
      <c r="G2643" s="180" t="s">
        <v>4542</v>
      </c>
      <c r="H2643" s="81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77">
        <v>46162.0</v>
      </c>
      <c r="O2643" s="103" t="s">
        <v>67</v>
      </c>
      <c r="P2643" s="103" t="s">
        <v>68</v>
      </c>
      <c r="Q2643" s="159">
        <v>46171.0</v>
      </c>
      <c r="R2643" s="148" t="s">
        <v>66</v>
      </c>
      <c r="S2643" s="152">
        <v>46173.0</v>
      </c>
      <c r="T2643" s="103"/>
      <c r="U2643" s="97" t="s">
        <v>31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1">
        <v>2638.0</v>
      </c>
      <c r="B2644" s="180" t="s">
        <v>4552</v>
      </c>
      <c r="C2644" s="82" t="str">
        <f>VLOOKUP($B$7:$B$5000,SUM!$L$6:$L$500,1,FALSE)</f>
        <v>#N/A</v>
      </c>
      <c r="D2644" s="171" t="s">
        <v>4536</v>
      </c>
      <c r="E2644" s="165" t="s">
        <v>58</v>
      </c>
      <c r="F2644" s="81" t="s">
        <v>4430</v>
      </c>
      <c r="G2644" s="180" t="s">
        <v>4542</v>
      </c>
      <c r="H2644" s="81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77">
        <v>46162.0</v>
      </c>
      <c r="O2644" s="103" t="s">
        <v>67</v>
      </c>
      <c r="P2644" s="103" t="s">
        <v>68</v>
      </c>
      <c r="Q2644" s="159">
        <v>46171.0</v>
      </c>
      <c r="R2644" s="148" t="s">
        <v>66</v>
      </c>
      <c r="S2644" s="152">
        <v>46173.0</v>
      </c>
      <c r="T2644" s="103"/>
      <c r="U2644" s="97" t="s">
        <v>31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1">
        <v>2639.0</v>
      </c>
      <c r="B2645" s="180" t="s">
        <v>4554</v>
      </c>
      <c r="C2645" s="82" t="str">
        <f>VLOOKUP($B$7:$B$5000,SUM!$L$6:$L$500,1,FALSE)</f>
        <v>#N/A</v>
      </c>
      <c r="D2645" s="171" t="s">
        <v>4536</v>
      </c>
      <c r="E2645" s="165" t="s">
        <v>58</v>
      </c>
      <c r="F2645" s="81" t="s">
        <v>4430</v>
      </c>
      <c r="G2645" s="180" t="s">
        <v>4542</v>
      </c>
      <c r="H2645" s="81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77">
        <v>46162.0</v>
      </c>
      <c r="O2645" s="103" t="s">
        <v>67</v>
      </c>
      <c r="P2645" s="103" t="s">
        <v>68</v>
      </c>
      <c r="Q2645" s="159">
        <v>46171.0</v>
      </c>
      <c r="R2645" s="148" t="s">
        <v>66</v>
      </c>
      <c r="S2645" s="152">
        <v>46173.0</v>
      </c>
      <c r="T2645" s="103"/>
      <c r="U2645" s="97" t="s">
        <v>31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1">
        <v>2640.0</v>
      </c>
      <c r="B2646" s="180" t="s">
        <v>4556</v>
      </c>
      <c r="C2646" s="82" t="str">
        <f>VLOOKUP($B$7:$B$5000,SUM!$L$6:$L$500,1,FALSE)</f>
        <v>#N/A</v>
      </c>
      <c r="D2646" s="171" t="s">
        <v>4536</v>
      </c>
      <c r="E2646" s="165" t="s">
        <v>58</v>
      </c>
      <c r="F2646" s="81" t="s">
        <v>4430</v>
      </c>
      <c r="G2646" s="180" t="s">
        <v>4542</v>
      </c>
      <c r="H2646" s="81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77">
        <v>46162.0</v>
      </c>
      <c r="O2646" s="103" t="s">
        <v>67</v>
      </c>
      <c r="P2646" s="103" t="s">
        <v>68</v>
      </c>
      <c r="Q2646" s="159">
        <v>46171.0</v>
      </c>
      <c r="R2646" s="148" t="s">
        <v>66</v>
      </c>
      <c r="S2646" s="152">
        <v>46173.0</v>
      </c>
      <c r="T2646" s="103"/>
      <c r="U2646" s="97" t="s">
        <v>31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1">
        <v>2641.0</v>
      </c>
      <c r="B2647" s="180" t="s">
        <v>4558</v>
      </c>
      <c r="C2647" s="82" t="str">
        <f>VLOOKUP($B$7:$B$5000,SUM!$L$6:$L$500,1,FALSE)</f>
        <v>#N/A</v>
      </c>
      <c r="D2647" s="171" t="s">
        <v>4536</v>
      </c>
      <c r="E2647" s="165" t="s">
        <v>58</v>
      </c>
      <c r="F2647" s="81" t="s">
        <v>4430</v>
      </c>
      <c r="G2647" s="180" t="s">
        <v>4542</v>
      </c>
      <c r="H2647" s="81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77">
        <v>46162.0</v>
      </c>
      <c r="O2647" s="103" t="s">
        <v>67</v>
      </c>
      <c r="P2647" s="103" t="s">
        <v>68</v>
      </c>
      <c r="Q2647" s="159">
        <v>46171.0</v>
      </c>
      <c r="R2647" s="148" t="s">
        <v>66</v>
      </c>
      <c r="S2647" s="152">
        <v>46173.0</v>
      </c>
      <c r="T2647" s="103"/>
      <c r="U2647" s="97" t="s">
        <v>31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1">
        <v>2642.0</v>
      </c>
      <c r="B2648" s="180" t="s">
        <v>4560</v>
      </c>
      <c r="C2648" s="82" t="str">
        <f>VLOOKUP($B$7:$B$5000,SUM!$L$6:$L$500,1,FALSE)</f>
        <v>#N/A</v>
      </c>
      <c r="D2648" s="171" t="s">
        <v>4536</v>
      </c>
      <c r="E2648" s="165" t="s">
        <v>58</v>
      </c>
      <c r="F2648" s="81" t="s">
        <v>4430</v>
      </c>
      <c r="G2648" s="180" t="s">
        <v>4542</v>
      </c>
      <c r="H2648" s="81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77">
        <v>46162.0</v>
      </c>
      <c r="O2648" s="103" t="s">
        <v>67</v>
      </c>
      <c r="P2648" s="103" t="s">
        <v>68</v>
      </c>
      <c r="Q2648" s="159">
        <v>46171.0</v>
      </c>
      <c r="R2648" s="148" t="s">
        <v>66</v>
      </c>
      <c r="S2648" s="152">
        <v>46173.0</v>
      </c>
      <c r="T2648" s="103"/>
      <c r="U2648" s="97" t="s">
        <v>31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1">
        <v>2643.0</v>
      </c>
      <c r="B2649" s="180" t="s">
        <v>4562</v>
      </c>
      <c r="C2649" s="82" t="str">
        <f>VLOOKUP($B$7:$B$5000,SUM!$L$6:$L$500,1,FALSE)</f>
        <v>#N/A</v>
      </c>
      <c r="D2649" s="171" t="s">
        <v>4536</v>
      </c>
      <c r="E2649" s="165" t="s">
        <v>58</v>
      </c>
      <c r="F2649" s="81" t="s">
        <v>4430</v>
      </c>
      <c r="G2649" s="180" t="s">
        <v>4542</v>
      </c>
      <c r="H2649" s="81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77">
        <v>46162.0</v>
      </c>
      <c r="O2649" s="103" t="s">
        <v>67</v>
      </c>
      <c r="P2649" s="103" t="s">
        <v>68</v>
      </c>
      <c r="Q2649" s="159">
        <v>46171.0</v>
      </c>
      <c r="R2649" s="148" t="s">
        <v>66</v>
      </c>
      <c r="S2649" s="152">
        <v>46173.0</v>
      </c>
      <c r="T2649" s="103"/>
      <c r="U2649" s="97" t="s">
        <v>31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1">
        <v>2644.0</v>
      </c>
      <c r="B2650" s="180" t="s">
        <v>4564</v>
      </c>
      <c r="C2650" s="82" t="str">
        <f>VLOOKUP($B$7:$B$5000,SUM!$L$6:$L$500,1,FALSE)</f>
        <v>#N/A</v>
      </c>
      <c r="D2650" s="171" t="s">
        <v>4536</v>
      </c>
      <c r="E2650" s="165" t="s">
        <v>58</v>
      </c>
      <c r="F2650" s="81" t="s">
        <v>4430</v>
      </c>
      <c r="G2650" s="180" t="s">
        <v>4542</v>
      </c>
      <c r="H2650" s="81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77">
        <v>46162.0</v>
      </c>
      <c r="O2650" s="103" t="s">
        <v>67</v>
      </c>
      <c r="P2650" s="103" t="s">
        <v>68</v>
      </c>
      <c r="Q2650" s="159">
        <v>46171.0</v>
      </c>
      <c r="R2650" s="148" t="s">
        <v>66</v>
      </c>
      <c r="S2650" s="152">
        <v>46173.0</v>
      </c>
      <c r="T2650" s="103"/>
      <c r="U2650" s="97" t="s">
        <v>31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1">
        <v>2645.0</v>
      </c>
      <c r="B2651" s="180" t="s">
        <v>4566</v>
      </c>
      <c r="C2651" s="82" t="str">
        <f>VLOOKUP($B$7:$B$5000,SUM!$L$6:$L$500,1,FALSE)</f>
        <v>#N/A</v>
      </c>
      <c r="D2651" s="171" t="s">
        <v>4536</v>
      </c>
      <c r="E2651" s="165" t="s">
        <v>58</v>
      </c>
      <c r="F2651" s="81" t="s">
        <v>4430</v>
      </c>
      <c r="G2651" s="180" t="s">
        <v>4542</v>
      </c>
      <c r="H2651" s="81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77">
        <v>46162.0</v>
      </c>
      <c r="O2651" s="103" t="s">
        <v>67</v>
      </c>
      <c r="P2651" s="103" t="s">
        <v>68</v>
      </c>
      <c r="Q2651" s="159">
        <v>46171.0</v>
      </c>
      <c r="R2651" s="148" t="s">
        <v>66</v>
      </c>
      <c r="S2651" s="152">
        <v>46173.0</v>
      </c>
      <c r="T2651" s="103"/>
      <c r="U2651" s="97" t="s">
        <v>31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1">
        <v>2646.0</v>
      </c>
      <c r="B2652" s="180" t="s">
        <v>4568</v>
      </c>
      <c r="C2652" s="82" t="str">
        <f>VLOOKUP($B$7:$B$5000,SUM!$L$6:$L$500,1,FALSE)</f>
        <v>#N/A</v>
      </c>
      <c r="D2652" s="171" t="s">
        <v>4536</v>
      </c>
      <c r="E2652" s="165" t="s">
        <v>58</v>
      </c>
      <c r="F2652" s="81" t="s">
        <v>4430</v>
      </c>
      <c r="G2652" s="125" t="s">
        <v>4537</v>
      </c>
      <c r="H2652" s="81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77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1">
        <v>2647.0</v>
      </c>
      <c r="B2653" s="180" t="s">
        <v>4570</v>
      </c>
      <c r="C2653" s="82" t="str">
        <f>VLOOKUP($B$7:$B$5000,SUM!$L$6:$L$500,1,FALSE)</f>
        <v>#N/A</v>
      </c>
      <c r="D2653" s="171" t="s">
        <v>4536</v>
      </c>
      <c r="E2653" s="165" t="s">
        <v>58</v>
      </c>
      <c r="F2653" s="81" t="s">
        <v>4430</v>
      </c>
      <c r="G2653" s="125" t="s">
        <v>4537</v>
      </c>
      <c r="H2653" s="81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77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1">
        <v>2648.0</v>
      </c>
      <c r="B2654" s="180" t="s">
        <v>4572</v>
      </c>
      <c r="C2654" s="82" t="str">
        <f>VLOOKUP($B$7:$B$5000,SUM!$L$6:$L$500,1,FALSE)</f>
        <v>#N/A</v>
      </c>
      <c r="D2654" s="171" t="s">
        <v>4536</v>
      </c>
      <c r="E2654" s="165" t="s">
        <v>58</v>
      </c>
      <c r="F2654" s="81" t="s">
        <v>4430</v>
      </c>
      <c r="G2654" s="180" t="s">
        <v>4542</v>
      </c>
      <c r="H2654" s="81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77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1">
        <v>2649.0</v>
      </c>
      <c r="B2655" s="180" t="s">
        <v>4573</v>
      </c>
      <c r="C2655" s="82" t="str">
        <f>VLOOKUP($B$7:$B$5000,SUM!$L$6:$L$500,1,FALSE)</f>
        <v>#N/A</v>
      </c>
      <c r="D2655" s="171" t="s">
        <v>4536</v>
      </c>
      <c r="E2655" s="165" t="s">
        <v>58</v>
      </c>
      <c r="F2655" s="81" t="s">
        <v>4430</v>
      </c>
      <c r="G2655" s="180" t="s">
        <v>4542</v>
      </c>
      <c r="H2655" s="81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77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1">
        <v>2650.0</v>
      </c>
      <c r="B2656" s="180" t="s">
        <v>4574</v>
      </c>
      <c r="C2656" s="82" t="str">
        <f>VLOOKUP($B$7:$B$5000,SUM!$L$6:$L$500,1,FALSE)</f>
        <v>#N/A</v>
      </c>
      <c r="D2656" s="171" t="s">
        <v>4536</v>
      </c>
      <c r="E2656" s="165" t="s">
        <v>58</v>
      </c>
      <c r="F2656" s="81" t="s">
        <v>4430</v>
      </c>
      <c r="G2656" s="180" t="s">
        <v>4542</v>
      </c>
      <c r="H2656" s="81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77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1">
        <v>2651.0</v>
      </c>
      <c r="B2657" s="180" t="s">
        <v>4575</v>
      </c>
      <c r="C2657" s="82" t="str">
        <f>VLOOKUP($B$7:$B$5000,SUM!$L$6:$L$500,1,FALSE)</f>
        <v>#N/A</v>
      </c>
      <c r="D2657" s="171" t="s">
        <v>4536</v>
      </c>
      <c r="E2657" s="165" t="s">
        <v>58</v>
      </c>
      <c r="F2657" s="81" t="s">
        <v>4430</v>
      </c>
      <c r="G2657" s="180" t="s">
        <v>4542</v>
      </c>
      <c r="H2657" s="81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77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1">
        <v>2652.0</v>
      </c>
      <c r="B2658" s="180" t="s">
        <v>4576</v>
      </c>
      <c r="C2658" s="82" t="str">
        <f>VLOOKUP($B$7:$B$5000,SUM!$L$6:$L$500,1,FALSE)</f>
        <v>#N/A</v>
      </c>
      <c r="D2658" s="171" t="s">
        <v>4536</v>
      </c>
      <c r="E2658" s="165" t="s">
        <v>58</v>
      </c>
      <c r="F2658" s="81" t="s">
        <v>4430</v>
      </c>
      <c r="G2658" s="180" t="s">
        <v>4542</v>
      </c>
      <c r="H2658" s="81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77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1">
        <v>2653.0</v>
      </c>
      <c r="B2659" s="180" t="s">
        <v>4577</v>
      </c>
      <c r="C2659" s="82" t="str">
        <f>VLOOKUP($B$7:$B$5000,SUM!$L$6:$L$500,1,FALSE)</f>
        <v>#N/A</v>
      </c>
      <c r="D2659" s="171" t="s">
        <v>4536</v>
      </c>
      <c r="E2659" s="165" t="s">
        <v>58</v>
      </c>
      <c r="F2659" s="81" t="s">
        <v>4430</v>
      </c>
      <c r="G2659" s="180" t="s">
        <v>4542</v>
      </c>
      <c r="H2659" s="81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77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1">
        <v>2654.0</v>
      </c>
      <c r="B2660" s="180" t="s">
        <v>4578</v>
      </c>
      <c r="C2660" s="82" t="str">
        <f>VLOOKUP($B$7:$B$5000,SUM!$L$6:$L$500,1,FALSE)</f>
        <v>#N/A</v>
      </c>
      <c r="D2660" s="171" t="s">
        <v>4536</v>
      </c>
      <c r="E2660" s="165" t="s">
        <v>58</v>
      </c>
      <c r="F2660" s="81" t="s">
        <v>4430</v>
      </c>
      <c r="G2660" s="180" t="s">
        <v>4542</v>
      </c>
      <c r="H2660" s="81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77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1">
        <v>2655.0</v>
      </c>
      <c r="B2661" s="180" t="s">
        <v>4579</v>
      </c>
      <c r="C2661" s="82" t="str">
        <f>VLOOKUP($B$7:$B$5000,SUM!$L$6:$L$500,1,FALSE)</f>
        <v>#N/A</v>
      </c>
      <c r="D2661" s="171" t="s">
        <v>4536</v>
      </c>
      <c r="E2661" s="165" t="s">
        <v>58</v>
      </c>
      <c r="F2661" s="81" t="s">
        <v>4430</v>
      </c>
      <c r="G2661" s="180" t="s">
        <v>4542</v>
      </c>
      <c r="H2661" s="81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77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1">
        <v>2656.0</v>
      </c>
      <c r="B2662" s="180" t="s">
        <v>4580</v>
      </c>
      <c r="C2662" s="82" t="str">
        <f>VLOOKUP($B$7:$B$5000,SUM!$L$6:$L$500,1,FALSE)</f>
        <v>#N/A</v>
      </c>
      <c r="D2662" s="171" t="s">
        <v>4536</v>
      </c>
      <c r="E2662" s="165" t="s">
        <v>58</v>
      </c>
      <c r="F2662" s="81" t="s">
        <v>4430</v>
      </c>
      <c r="G2662" s="180" t="s">
        <v>4542</v>
      </c>
      <c r="H2662" s="81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77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1">
        <v>2657.0</v>
      </c>
      <c r="B2663" s="180" t="s">
        <v>4581</v>
      </c>
      <c r="C2663" s="82" t="str">
        <f>VLOOKUP($B$7:$B$5000,SUM!$L$6:$L$500,1,FALSE)</f>
        <v>#N/A</v>
      </c>
      <c r="D2663" s="171" t="s">
        <v>4536</v>
      </c>
      <c r="E2663" s="165" t="s">
        <v>58</v>
      </c>
      <c r="F2663" s="81" t="s">
        <v>4430</v>
      </c>
      <c r="G2663" s="180" t="s">
        <v>4542</v>
      </c>
      <c r="H2663" s="81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77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1">
        <v>2658.0</v>
      </c>
      <c r="B2664" s="180" t="s">
        <v>4582</v>
      </c>
      <c r="C2664" s="82" t="str">
        <f>VLOOKUP($B$7:$B$5000,SUM!$L$6:$L$500,1,FALSE)</f>
        <v>#N/A</v>
      </c>
      <c r="D2664" s="171" t="s">
        <v>4536</v>
      </c>
      <c r="E2664" s="165" t="s">
        <v>58</v>
      </c>
      <c r="F2664" s="81" t="s">
        <v>4430</v>
      </c>
      <c r="G2664" s="180" t="s">
        <v>4542</v>
      </c>
      <c r="H2664" s="81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77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1">
        <v>2659.0</v>
      </c>
      <c r="B2665" s="180" t="s">
        <v>4583</v>
      </c>
      <c r="C2665" s="82" t="str">
        <f>VLOOKUP($B$7:$B$5000,SUM!$L$6:$L$500,1,FALSE)</f>
        <v>#N/A</v>
      </c>
      <c r="D2665" s="171" t="s">
        <v>4536</v>
      </c>
      <c r="E2665" s="165" t="s">
        <v>58</v>
      </c>
      <c r="F2665" s="81" t="s">
        <v>4430</v>
      </c>
      <c r="G2665" s="180" t="s">
        <v>4542</v>
      </c>
      <c r="H2665" s="81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77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1">
        <v>2660.0</v>
      </c>
      <c r="B2666" s="180" t="s">
        <v>4584</v>
      </c>
      <c r="C2666" s="82" t="str">
        <f>VLOOKUP($B$7:$B$5000,SUM!$L$6:$L$500,1,FALSE)</f>
        <v>#N/A</v>
      </c>
      <c r="D2666" s="171" t="s">
        <v>4536</v>
      </c>
      <c r="E2666" s="165" t="s">
        <v>58</v>
      </c>
      <c r="F2666" s="81" t="s">
        <v>4430</v>
      </c>
      <c r="G2666" s="180" t="s">
        <v>4542</v>
      </c>
      <c r="H2666" s="81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77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1">
        <v>2661.0</v>
      </c>
      <c r="B2667" s="180" t="s">
        <v>4585</v>
      </c>
      <c r="C2667" s="82" t="str">
        <f>VLOOKUP($B$7:$B$5000,SUM!$L$6:$L$500,1,FALSE)</f>
        <v>#N/A</v>
      </c>
      <c r="D2667" s="171" t="s">
        <v>4536</v>
      </c>
      <c r="E2667" s="165" t="s">
        <v>58</v>
      </c>
      <c r="F2667" s="81" t="s">
        <v>4430</v>
      </c>
      <c r="G2667" s="180" t="s">
        <v>4542</v>
      </c>
      <c r="H2667" s="81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77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1">
        <v>2662.0</v>
      </c>
      <c r="B2668" s="180" t="s">
        <v>4587</v>
      </c>
      <c r="C2668" s="82" t="str">
        <f>VLOOKUP($B$7:$B$5000,SUM!$L$6:$L$500,1,FALSE)</f>
        <v>#N/A</v>
      </c>
      <c r="D2668" s="171" t="s">
        <v>4536</v>
      </c>
      <c r="E2668" s="165" t="s">
        <v>58</v>
      </c>
      <c r="F2668" s="81" t="s">
        <v>4430</v>
      </c>
      <c r="G2668" s="180" t="s">
        <v>4542</v>
      </c>
      <c r="H2668" s="81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77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1">
        <v>2663.0</v>
      </c>
      <c r="B2669" s="180" t="s">
        <v>4588</v>
      </c>
      <c r="C2669" s="82" t="str">
        <f>VLOOKUP($B$7:$B$5000,SUM!$L$6:$L$500,1,FALSE)</f>
        <v>#N/A</v>
      </c>
      <c r="D2669" s="171" t="s">
        <v>4536</v>
      </c>
      <c r="E2669" s="165" t="s">
        <v>58</v>
      </c>
      <c r="F2669" s="81" t="s">
        <v>4430</v>
      </c>
      <c r="G2669" s="180" t="s">
        <v>4542</v>
      </c>
      <c r="H2669" s="81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77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1">
        <v>2664.0</v>
      </c>
      <c r="B2670" s="180" t="s">
        <v>4590</v>
      </c>
      <c r="C2670" s="82" t="str">
        <f>VLOOKUP($B$7:$B$5000,SUM!$L$6:$L$500,1,FALSE)</f>
        <v>#N/A</v>
      </c>
      <c r="D2670" s="171" t="s">
        <v>4536</v>
      </c>
      <c r="E2670" s="165" t="s">
        <v>58</v>
      </c>
      <c r="F2670" s="81" t="s">
        <v>4430</v>
      </c>
      <c r="G2670" s="180" t="s">
        <v>4542</v>
      </c>
      <c r="H2670" s="81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77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1">
        <v>2665.0</v>
      </c>
      <c r="B2671" s="180" t="s">
        <v>4591</v>
      </c>
      <c r="C2671" s="82" t="str">
        <f>VLOOKUP($B$7:$B$5000,SUM!$L$6:$L$500,1,FALSE)</f>
        <v>#N/A</v>
      </c>
      <c r="D2671" s="171" t="s">
        <v>4536</v>
      </c>
      <c r="E2671" s="165" t="s">
        <v>58</v>
      </c>
      <c r="F2671" s="81" t="s">
        <v>4430</v>
      </c>
      <c r="G2671" s="180" t="s">
        <v>4542</v>
      </c>
      <c r="H2671" s="81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77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1">
        <v>2666.0</v>
      </c>
      <c r="B2672" s="180" t="s">
        <v>4592</v>
      </c>
      <c r="C2672" s="82" t="str">
        <f>VLOOKUP($B$7:$B$5000,SUM!$L$6:$L$500,1,FALSE)</f>
        <v>#N/A</v>
      </c>
      <c r="D2672" s="171" t="s">
        <v>4536</v>
      </c>
      <c r="E2672" s="165" t="s">
        <v>58</v>
      </c>
      <c r="F2672" s="81" t="s">
        <v>4430</v>
      </c>
      <c r="G2672" s="180" t="s">
        <v>4542</v>
      </c>
      <c r="H2672" s="81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77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1">
        <v>2667.0</v>
      </c>
      <c r="B2673" s="180" t="s">
        <v>4594</v>
      </c>
      <c r="C2673" s="82" t="str">
        <f>VLOOKUP($B$7:$B$5000,SUM!$L$6:$L$500,1,FALSE)</f>
        <v>#N/A</v>
      </c>
      <c r="D2673" s="171" t="s">
        <v>4536</v>
      </c>
      <c r="E2673" s="165" t="s">
        <v>58</v>
      </c>
      <c r="F2673" s="81" t="s">
        <v>4430</v>
      </c>
      <c r="G2673" s="180" t="s">
        <v>4542</v>
      </c>
      <c r="H2673" s="81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77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1">
        <v>2668.0</v>
      </c>
      <c r="B2674" s="180" t="s">
        <v>4595</v>
      </c>
      <c r="C2674" s="82" t="str">
        <f>VLOOKUP($B$7:$B$5000,SUM!$L$6:$L$500,1,FALSE)</f>
        <v>#N/A</v>
      </c>
      <c r="D2674" s="171" t="s">
        <v>4536</v>
      </c>
      <c r="E2674" s="165" t="s">
        <v>58</v>
      </c>
      <c r="F2674" s="81" t="s">
        <v>4430</v>
      </c>
      <c r="G2674" s="180" t="s">
        <v>4542</v>
      </c>
      <c r="H2674" s="81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77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1">
        <v>2669.0</v>
      </c>
      <c r="B2675" s="180" t="s">
        <v>4597</v>
      </c>
      <c r="C2675" s="82" t="str">
        <f>VLOOKUP($B$7:$B$5000,SUM!$L$6:$L$500,1,FALSE)</f>
        <v>#N/A</v>
      </c>
      <c r="D2675" s="171" t="s">
        <v>4536</v>
      </c>
      <c r="E2675" s="165" t="s">
        <v>58</v>
      </c>
      <c r="F2675" s="81" t="s">
        <v>4430</v>
      </c>
      <c r="G2675" s="180" t="s">
        <v>4542</v>
      </c>
      <c r="H2675" s="81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77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1">
        <v>2670.0</v>
      </c>
      <c r="B2676" s="180" t="s">
        <v>4598</v>
      </c>
      <c r="C2676" s="82" t="str">
        <f>VLOOKUP($B$7:$B$5000,SUM!$L$6:$L$500,1,FALSE)</f>
        <v>#N/A</v>
      </c>
      <c r="D2676" s="171" t="s">
        <v>4536</v>
      </c>
      <c r="E2676" s="165" t="s">
        <v>58</v>
      </c>
      <c r="F2676" s="81" t="s">
        <v>4430</v>
      </c>
      <c r="G2676" s="180" t="s">
        <v>4542</v>
      </c>
      <c r="H2676" s="81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77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1">
        <v>2671.0</v>
      </c>
      <c r="B2677" s="180" t="s">
        <v>4599</v>
      </c>
      <c r="C2677" s="82" t="str">
        <f>VLOOKUP($B$7:$B$5000,SUM!$L$6:$L$500,1,FALSE)</f>
        <v>#N/A</v>
      </c>
      <c r="D2677" s="171" t="s">
        <v>4536</v>
      </c>
      <c r="E2677" s="165" t="s">
        <v>58</v>
      </c>
      <c r="F2677" s="81" t="s">
        <v>4430</v>
      </c>
      <c r="G2677" s="180" t="s">
        <v>4542</v>
      </c>
      <c r="H2677" s="81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77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1">
        <v>2672.0</v>
      </c>
      <c r="B2678" s="180" t="s">
        <v>4600</v>
      </c>
      <c r="C2678" s="82" t="str">
        <f>VLOOKUP($B$7:$B$5000,SUM!$L$6:$L$500,1,FALSE)</f>
        <v>#N/A</v>
      </c>
      <c r="D2678" s="171" t="s">
        <v>4536</v>
      </c>
      <c r="E2678" s="165" t="s">
        <v>58</v>
      </c>
      <c r="F2678" s="81" t="s">
        <v>4430</v>
      </c>
      <c r="G2678" s="180" t="s">
        <v>4542</v>
      </c>
      <c r="H2678" s="81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77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1">
        <v>2673.0</v>
      </c>
      <c r="B2679" s="180" t="s">
        <v>4602</v>
      </c>
      <c r="C2679" s="82" t="str">
        <f>VLOOKUP($B$7:$B$5000,SUM!$L$6:$L$500,1,FALSE)</f>
        <v>#N/A</v>
      </c>
      <c r="D2679" s="171" t="s">
        <v>4536</v>
      </c>
      <c r="E2679" s="165" t="s">
        <v>58</v>
      </c>
      <c r="F2679" s="81" t="s">
        <v>4430</v>
      </c>
      <c r="G2679" s="180" t="s">
        <v>4542</v>
      </c>
      <c r="H2679" s="81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77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1">
        <v>2674.0</v>
      </c>
      <c r="B2680" s="180" t="s">
        <v>4603</v>
      </c>
      <c r="C2680" s="82" t="str">
        <f>VLOOKUP($B$7:$B$5000,SUM!$L$6:$L$500,1,FALSE)</f>
        <v>#N/A</v>
      </c>
      <c r="D2680" s="171" t="s">
        <v>4604</v>
      </c>
      <c r="E2680" s="165" t="s">
        <v>58</v>
      </c>
      <c r="F2680" s="81" t="s">
        <v>4430</v>
      </c>
      <c r="G2680" s="180" t="s">
        <v>4605</v>
      </c>
      <c r="H2680" s="81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77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1">
        <v>2675.0</v>
      </c>
      <c r="B2681" s="180" t="s">
        <v>4607</v>
      </c>
      <c r="C2681" s="82" t="str">
        <f>VLOOKUP($B$7:$B$5000,SUM!$L$6:$L$500,1,FALSE)</f>
        <v>#N/A</v>
      </c>
      <c r="D2681" s="171" t="s">
        <v>4604</v>
      </c>
      <c r="E2681" s="165" t="s">
        <v>58</v>
      </c>
      <c r="F2681" s="81" t="s">
        <v>4430</v>
      </c>
      <c r="G2681" s="180" t="s">
        <v>4608</v>
      </c>
      <c r="H2681" s="81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77">
        <v>46162.0</v>
      </c>
      <c r="O2681" s="103" t="s">
        <v>67</v>
      </c>
      <c r="P2681" s="103" t="s">
        <v>68</v>
      </c>
      <c r="Q2681" s="153">
        <v>46169.0</v>
      </c>
      <c r="R2681" s="154" t="s">
        <v>66</v>
      </c>
      <c r="S2681" s="155">
        <v>46188.0</v>
      </c>
      <c r="T2681" s="156"/>
      <c r="U2681" s="154" t="s">
        <v>31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1">
        <v>2676.0</v>
      </c>
      <c r="B2682" s="180" t="s">
        <v>4610</v>
      </c>
      <c r="C2682" s="82" t="str">
        <f>VLOOKUP($B$7:$B$5000,SUM!$L$6:$L$500,1,FALSE)</f>
        <v>#N/A</v>
      </c>
      <c r="D2682" s="171" t="s">
        <v>4604</v>
      </c>
      <c r="E2682" s="165" t="s">
        <v>58</v>
      </c>
      <c r="F2682" s="81" t="s">
        <v>4430</v>
      </c>
      <c r="G2682" s="180" t="s">
        <v>4608</v>
      </c>
      <c r="H2682" s="81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77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1">
        <v>2677.0</v>
      </c>
      <c r="B2683" s="180" t="s">
        <v>4612</v>
      </c>
      <c r="C2683" s="82" t="str">
        <f>VLOOKUP($B$7:$B$5000,SUM!$L$6:$L$500,1,FALSE)</f>
        <v>#N/A</v>
      </c>
      <c r="D2683" s="171" t="s">
        <v>4604</v>
      </c>
      <c r="E2683" s="165" t="s">
        <v>58</v>
      </c>
      <c r="F2683" s="81" t="s">
        <v>4430</v>
      </c>
      <c r="G2683" s="180" t="s">
        <v>4608</v>
      </c>
      <c r="H2683" s="81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77">
        <v>46162.0</v>
      </c>
      <c r="O2683" s="103" t="s">
        <v>67</v>
      </c>
      <c r="P2683" s="103" t="s">
        <v>68</v>
      </c>
      <c r="Q2683" s="153">
        <v>46169.0</v>
      </c>
      <c r="R2683" s="154" t="s">
        <v>66</v>
      </c>
      <c r="S2683" s="155">
        <v>46188.0</v>
      </c>
      <c r="T2683" s="156"/>
      <c r="U2683" s="154" t="s">
        <v>31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1">
        <v>2678.0</v>
      </c>
      <c r="B2684" s="180" t="s">
        <v>4614</v>
      </c>
      <c r="C2684" s="82" t="str">
        <f>VLOOKUP($B$7:$B$5000,SUM!$L$6:$L$500,1,FALSE)</f>
        <v>#N/A</v>
      </c>
      <c r="D2684" s="171" t="s">
        <v>4604</v>
      </c>
      <c r="E2684" s="165" t="s">
        <v>58</v>
      </c>
      <c r="F2684" s="81" t="s">
        <v>4430</v>
      </c>
      <c r="G2684" s="180" t="s">
        <v>4608</v>
      </c>
      <c r="H2684" s="81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77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1">
        <v>2679.0</v>
      </c>
      <c r="B2685" s="180" t="s">
        <v>4616</v>
      </c>
      <c r="C2685" s="82" t="str">
        <f>VLOOKUP($B$7:$B$5000,SUM!$L$6:$L$500,1,FALSE)</f>
        <v>#N/A</v>
      </c>
      <c r="D2685" s="171" t="s">
        <v>4604</v>
      </c>
      <c r="E2685" s="165" t="s">
        <v>58</v>
      </c>
      <c r="F2685" s="81" t="s">
        <v>4430</v>
      </c>
      <c r="G2685" s="180" t="s">
        <v>4608</v>
      </c>
      <c r="H2685" s="81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77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1">
        <v>2680.0</v>
      </c>
      <c r="B2686" s="180" t="s">
        <v>4618</v>
      </c>
      <c r="C2686" s="82" t="str">
        <f>VLOOKUP($B$7:$B$5000,SUM!$L$6:$L$500,1,FALSE)</f>
        <v>#N/A</v>
      </c>
      <c r="D2686" s="171" t="s">
        <v>4604</v>
      </c>
      <c r="E2686" s="165" t="s">
        <v>58</v>
      </c>
      <c r="F2686" s="81" t="s">
        <v>4430</v>
      </c>
      <c r="G2686" s="180" t="s">
        <v>4608</v>
      </c>
      <c r="H2686" s="81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77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1">
        <v>2681.0</v>
      </c>
      <c r="B2687" s="180" t="s">
        <v>4620</v>
      </c>
      <c r="C2687" s="82" t="str">
        <f>VLOOKUP($B$7:$B$5000,SUM!$L$6:$L$500,1,FALSE)</f>
        <v>#N/A</v>
      </c>
      <c r="D2687" s="171" t="s">
        <v>4604</v>
      </c>
      <c r="E2687" s="165" t="s">
        <v>58</v>
      </c>
      <c r="F2687" s="81" t="s">
        <v>4430</v>
      </c>
      <c r="G2687" s="180" t="s">
        <v>4608</v>
      </c>
      <c r="H2687" s="81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77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1">
        <v>2682.0</v>
      </c>
      <c r="B2688" s="180" t="s">
        <v>4622</v>
      </c>
      <c r="C2688" s="82" t="str">
        <f>VLOOKUP($B$7:$B$5000,SUM!$L$6:$L$500,1,FALSE)</f>
        <v>#N/A</v>
      </c>
      <c r="D2688" s="171" t="s">
        <v>4604</v>
      </c>
      <c r="E2688" s="165" t="s">
        <v>58</v>
      </c>
      <c r="F2688" s="81" t="s">
        <v>4430</v>
      </c>
      <c r="G2688" s="180" t="s">
        <v>4608</v>
      </c>
      <c r="H2688" s="81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77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1">
        <v>2683.0</v>
      </c>
      <c r="B2689" s="180" t="s">
        <v>4624</v>
      </c>
      <c r="C2689" s="82" t="str">
        <f>VLOOKUP($B$7:$B$5000,SUM!$L$6:$L$500,1,FALSE)</f>
        <v>#N/A</v>
      </c>
      <c r="D2689" s="171" t="s">
        <v>4604</v>
      </c>
      <c r="E2689" s="165" t="s">
        <v>58</v>
      </c>
      <c r="F2689" s="81" t="s">
        <v>4430</v>
      </c>
      <c r="G2689" s="180" t="s">
        <v>4608</v>
      </c>
      <c r="H2689" s="81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77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1">
        <v>2684.0</v>
      </c>
      <c r="B2690" s="180" t="s">
        <v>4626</v>
      </c>
      <c r="C2690" s="82" t="str">
        <f>VLOOKUP($B$7:$B$5000,SUM!$L$6:$L$500,1,FALSE)</f>
        <v>#N/A</v>
      </c>
      <c r="D2690" s="171" t="s">
        <v>4604</v>
      </c>
      <c r="E2690" s="165" t="s">
        <v>58</v>
      </c>
      <c r="F2690" s="81" t="s">
        <v>4430</v>
      </c>
      <c r="G2690" s="125" t="s">
        <v>4627</v>
      </c>
      <c r="H2690" s="81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77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1">
        <v>2685.0</v>
      </c>
      <c r="B2691" s="180" t="s">
        <v>4629</v>
      </c>
      <c r="C2691" s="82" t="str">
        <f>VLOOKUP($B$7:$B$5000,SUM!$L$6:$L$500,1,FALSE)</f>
        <v>#N/A</v>
      </c>
      <c r="D2691" s="171" t="s">
        <v>4604</v>
      </c>
      <c r="E2691" s="165" t="s">
        <v>58</v>
      </c>
      <c r="F2691" s="81" t="s">
        <v>4430</v>
      </c>
      <c r="G2691" s="125" t="s">
        <v>4630</v>
      </c>
      <c r="H2691" s="81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77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1">
        <v>2686.0</v>
      </c>
      <c r="B2692" s="180" t="s">
        <v>4632</v>
      </c>
      <c r="C2692" s="82" t="str">
        <f>VLOOKUP($B$7:$B$5000,SUM!$L$6:$L$500,1,FALSE)</f>
        <v>#N/A</v>
      </c>
      <c r="D2692" s="171" t="s">
        <v>4604</v>
      </c>
      <c r="E2692" s="165" t="s">
        <v>58</v>
      </c>
      <c r="F2692" s="81" t="s">
        <v>4430</v>
      </c>
      <c r="G2692" s="125" t="s">
        <v>4633</v>
      </c>
      <c r="H2692" s="81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77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1">
        <v>2687.0</v>
      </c>
      <c r="B2693" s="180" t="s">
        <v>4635</v>
      </c>
      <c r="C2693" s="82" t="str">
        <f>VLOOKUP($B$7:$B$5000,SUM!$L$6:$L$500,1,FALSE)</f>
        <v>#N/A</v>
      </c>
      <c r="D2693" s="171" t="s">
        <v>4604</v>
      </c>
      <c r="E2693" s="165" t="s">
        <v>58</v>
      </c>
      <c r="F2693" s="81" t="s">
        <v>4430</v>
      </c>
      <c r="G2693" s="125" t="s">
        <v>4633</v>
      </c>
      <c r="H2693" s="81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77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1">
        <v>2688.0</v>
      </c>
      <c r="B2694" s="180" t="s">
        <v>4637</v>
      </c>
      <c r="C2694" s="82" t="str">
        <f>VLOOKUP($B$7:$B$5000,SUM!$L$6:$L$500,1,FALSE)</f>
        <v>#N/A</v>
      </c>
      <c r="D2694" s="171" t="s">
        <v>4604</v>
      </c>
      <c r="E2694" s="165" t="s">
        <v>58</v>
      </c>
      <c r="F2694" s="81" t="s">
        <v>4430</v>
      </c>
      <c r="G2694" s="125" t="s">
        <v>4633</v>
      </c>
      <c r="H2694" s="81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77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1">
        <v>2689.0</v>
      </c>
      <c r="B2695" s="180" t="s">
        <v>4639</v>
      </c>
      <c r="C2695" s="82" t="str">
        <f>VLOOKUP($B$7:$B$5000,SUM!$L$6:$L$500,1,FALSE)</f>
        <v>#N/A</v>
      </c>
      <c r="D2695" s="171" t="s">
        <v>4604</v>
      </c>
      <c r="E2695" s="165" t="s">
        <v>58</v>
      </c>
      <c r="F2695" s="81" t="s">
        <v>4430</v>
      </c>
      <c r="G2695" s="125" t="s">
        <v>4633</v>
      </c>
      <c r="H2695" s="81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77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1">
        <v>2690.0</v>
      </c>
      <c r="B2696" s="180" t="s">
        <v>4641</v>
      </c>
      <c r="C2696" s="82" t="str">
        <f>VLOOKUP($B$7:$B$5000,SUM!$L$6:$L$500,1,FALSE)</f>
        <v>#N/A</v>
      </c>
      <c r="D2696" s="171" t="s">
        <v>4604</v>
      </c>
      <c r="E2696" s="165" t="s">
        <v>58</v>
      </c>
      <c r="F2696" s="81" t="s">
        <v>4430</v>
      </c>
      <c r="G2696" s="125" t="s">
        <v>4633</v>
      </c>
      <c r="H2696" s="81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77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1">
        <v>2691.0</v>
      </c>
      <c r="B2697" s="180" t="s">
        <v>4643</v>
      </c>
      <c r="C2697" s="82" t="str">
        <f>VLOOKUP($B$7:$B$5000,SUM!$L$6:$L$500,1,FALSE)</f>
        <v>#N/A</v>
      </c>
      <c r="D2697" s="171" t="s">
        <v>4604</v>
      </c>
      <c r="E2697" s="165" t="s">
        <v>58</v>
      </c>
      <c r="F2697" s="81" t="s">
        <v>4430</v>
      </c>
      <c r="G2697" s="125" t="s">
        <v>4633</v>
      </c>
      <c r="H2697" s="81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77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1">
        <v>2692.0</v>
      </c>
      <c r="B2698" s="180" t="s">
        <v>4645</v>
      </c>
      <c r="C2698" s="82" t="str">
        <f>VLOOKUP($B$7:$B$5000,SUM!$L$6:$L$500,1,FALSE)</f>
        <v>#N/A</v>
      </c>
      <c r="D2698" s="171" t="s">
        <v>4604</v>
      </c>
      <c r="E2698" s="165" t="s">
        <v>58</v>
      </c>
      <c r="F2698" s="81" t="s">
        <v>4430</v>
      </c>
      <c r="G2698" s="125" t="s">
        <v>4633</v>
      </c>
      <c r="H2698" s="81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77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1">
        <v>2693.0</v>
      </c>
      <c r="B2699" s="180" t="s">
        <v>4647</v>
      </c>
      <c r="C2699" s="82" t="str">
        <f>VLOOKUP($B$7:$B$5000,SUM!$L$6:$L$500,1,FALSE)</f>
        <v>#N/A</v>
      </c>
      <c r="D2699" s="171" t="s">
        <v>4604</v>
      </c>
      <c r="E2699" s="165" t="s">
        <v>58</v>
      </c>
      <c r="F2699" s="81" t="s">
        <v>4430</v>
      </c>
      <c r="G2699" s="125" t="s">
        <v>4608</v>
      </c>
      <c r="H2699" s="81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77">
        <v>46162.0</v>
      </c>
      <c r="O2699" s="103" t="s">
        <v>67</v>
      </c>
      <c r="P2699" s="103" t="s">
        <v>68</v>
      </c>
      <c r="Q2699" s="153">
        <v>46169.0</v>
      </c>
      <c r="R2699" s="154" t="s">
        <v>66</v>
      </c>
      <c r="S2699" s="155">
        <v>46188.0</v>
      </c>
      <c r="T2699" s="156"/>
      <c r="U2699" s="154" t="s">
        <v>31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1">
        <v>2694.0</v>
      </c>
      <c r="B2700" s="180" t="s">
        <v>4649</v>
      </c>
      <c r="C2700" s="82" t="str">
        <f>VLOOKUP($B$7:$B$5000,SUM!$L$6:$L$500,1,FALSE)</f>
        <v>#N/A</v>
      </c>
      <c r="D2700" s="171" t="s">
        <v>4604</v>
      </c>
      <c r="E2700" s="165" t="s">
        <v>58</v>
      </c>
      <c r="F2700" s="81" t="s">
        <v>4430</v>
      </c>
      <c r="G2700" s="125" t="s">
        <v>4608</v>
      </c>
      <c r="H2700" s="81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77">
        <v>46162.0</v>
      </c>
      <c r="O2700" s="103" t="s">
        <v>67</v>
      </c>
      <c r="P2700" s="103" t="s">
        <v>68</v>
      </c>
      <c r="Q2700" s="153">
        <v>46169.0</v>
      </c>
      <c r="R2700" s="154" t="s">
        <v>66</v>
      </c>
      <c r="S2700" s="155">
        <v>46188.0</v>
      </c>
      <c r="T2700" s="156"/>
      <c r="U2700" s="154" t="s">
        <v>31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1">
        <v>2695.0</v>
      </c>
      <c r="B2701" s="180" t="s">
        <v>4651</v>
      </c>
      <c r="C2701" s="82" t="str">
        <f>VLOOKUP($B$7:$B$5000,SUM!$L$6:$L$500,1,FALSE)</f>
        <v>#N/A</v>
      </c>
      <c r="D2701" s="171" t="s">
        <v>4604</v>
      </c>
      <c r="E2701" s="165" t="s">
        <v>58</v>
      </c>
      <c r="F2701" s="81" t="s">
        <v>4430</v>
      </c>
      <c r="G2701" s="125" t="s">
        <v>4608</v>
      </c>
      <c r="H2701" s="81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77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1">
        <v>2696.0</v>
      </c>
      <c r="B2702" s="180" t="s">
        <v>4653</v>
      </c>
      <c r="C2702" s="82" t="str">
        <f>VLOOKUP($B$7:$B$5000,SUM!$L$6:$L$500,1,FALSE)</f>
        <v>#N/A</v>
      </c>
      <c r="D2702" s="171" t="s">
        <v>4604</v>
      </c>
      <c r="E2702" s="165" t="s">
        <v>58</v>
      </c>
      <c r="F2702" s="81" t="s">
        <v>4430</v>
      </c>
      <c r="G2702" s="125" t="s">
        <v>4608</v>
      </c>
      <c r="H2702" s="81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77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1">
        <v>2697.0</v>
      </c>
      <c r="B2703" s="180" t="s">
        <v>4655</v>
      </c>
      <c r="C2703" s="82" t="str">
        <f>VLOOKUP($B$7:$B$5000,SUM!$L$6:$L$500,1,FALSE)</f>
        <v>#N/A</v>
      </c>
      <c r="D2703" s="171" t="s">
        <v>4604</v>
      </c>
      <c r="E2703" s="165" t="s">
        <v>58</v>
      </c>
      <c r="F2703" s="81" t="s">
        <v>4430</v>
      </c>
      <c r="G2703" s="125" t="s">
        <v>4608</v>
      </c>
      <c r="H2703" s="81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77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1">
        <v>2698.0</v>
      </c>
      <c r="B2704" s="180" t="s">
        <v>4657</v>
      </c>
      <c r="C2704" s="82" t="str">
        <f>VLOOKUP($B$7:$B$5000,SUM!$L$6:$L$500,1,FALSE)</f>
        <v>#N/A</v>
      </c>
      <c r="D2704" s="171" t="s">
        <v>4604</v>
      </c>
      <c r="E2704" s="165" t="s">
        <v>58</v>
      </c>
      <c r="F2704" s="81" t="s">
        <v>4430</v>
      </c>
      <c r="G2704" s="125" t="s">
        <v>4608</v>
      </c>
      <c r="H2704" s="81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77">
        <v>46162.0</v>
      </c>
      <c r="O2704" s="103" t="s">
        <v>67</v>
      </c>
      <c r="P2704" s="103" t="s">
        <v>68</v>
      </c>
      <c r="Q2704" s="153">
        <v>46169.0</v>
      </c>
      <c r="R2704" s="154" t="s">
        <v>66</v>
      </c>
      <c r="S2704" s="155">
        <v>46188.0</v>
      </c>
      <c r="T2704" s="156"/>
      <c r="U2704" s="154" t="s">
        <v>31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1">
        <v>2699.0</v>
      </c>
      <c r="B2705" s="180" t="s">
        <v>4659</v>
      </c>
      <c r="C2705" s="82" t="str">
        <f>VLOOKUP($B$7:$B$5000,SUM!$L$6:$L$500,1,FALSE)</f>
        <v>#N/A</v>
      </c>
      <c r="D2705" s="171" t="s">
        <v>4604</v>
      </c>
      <c r="E2705" s="165" t="s">
        <v>58</v>
      </c>
      <c r="F2705" s="81" t="s">
        <v>4430</v>
      </c>
      <c r="G2705" s="125" t="s">
        <v>4608</v>
      </c>
      <c r="H2705" s="81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77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1">
        <v>2700.0</v>
      </c>
      <c r="B2706" s="180" t="s">
        <v>4661</v>
      </c>
      <c r="C2706" s="82" t="str">
        <f>VLOOKUP($B$7:$B$5000,SUM!$L$6:$L$500,1,FALSE)</f>
        <v>#N/A</v>
      </c>
      <c r="D2706" s="171" t="s">
        <v>4604</v>
      </c>
      <c r="E2706" s="165" t="s">
        <v>58</v>
      </c>
      <c r="F2706" s="81" t="s">
        <v>4430</v>
      </c>
      <c r="G2706" s="125" t="s">
        <v>4608</v>
      </c>
      <c r="H2706" s="81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77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1">
        <v>2701.0</v>
      </c>
      <c r="B2707" s="180" t="s">
        <v>4663</v>
      </c>
      <c r="C2707" s="82" t="str">
        <f>VLOOKUP($B$7:$B$5000,SUM!$L$6:$L$500,1,FALSE)</f>
        <v>#N/A</v>
      </c>
      <c r="D2707" s="171" t="s">
        <v>4604</v>
      </c>
      <c r="E2707" s="165" t="s">
        <v>58</v>
      </c>
      <c r="F2707" s="81" t="s">
        <v>4430</v>
      </c>
      <c r="G2707" s="125" t="s">
        <v>4608</v>
      </c>
      <c r="H2707" s="81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77">
        <v>46162.0</v>
      </c>
      <c r="O2707" s="103" t="s">
        <v>67</v>
      </c>
      <c r="P2707" s="103" t="s">
        <v>68</v>
      </c>
      <c r="Q2707" s="153">
        <v>46169.0</v>
      </c>
      <c r="R2707" s="154" t="s">
        <v>66</v>
      </c>
      <c r="S2707" s="155">
        <v>46188.0</v>
      </c>
      <c r="T2707" s="156"/>
      <c r="U2707" s="154" t="s">
        <v>31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1">
        <v>2702.0</v>
      </c>
      <c r="B2708" s="180" t="s">
        <v>4665</v>
      </c>
      <c r="C2708" s="82" t="str">
        <f>VLOOKUP($B$7:$B$5000,SUM!$L$6:$L$500,1,FALSE)</f>
        <v>#N/A</v>
      </c>
      <c r="D2708" s="171" t="s">
        <v>4604</v>
      </c>
      <c r="E2708" s="165" t="s">
        <v>58</v>
      </c>
      <c r="F2708" s="81" t="s">
        <v>4430</v>
      </c>
      <c r="G2708" s="125" t="s">
        <v>4608</v>
      </c>
      <c r="H2708" s="81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77">
        <v>46162.0</v>
      </c>
      <c r="O2708" s="103" t="s">
        <v>67</v>
      </c>
      <c r="P2708" s="103" t="s">
        <v>68</v>
      </c>
      <c r="Q2708" s="153">
        <v>46169.0</v>
      </c>
      <c r="R2708" s="154" t="s">
        <v>66</v>
      </c>
      <c r="S2708" s="155">
        <v>46188.0</v>
      </c>
      <c r="T2708" s="156"/>
      <c r="U2708" s="154" t="s">
        <v>31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1">
        <v>2703.0</v>
      </c>
      <c r="B2709" s="180" t="s">
        <v>4667</v>
      </c>
      <c r="C2709" s="82" t="str">
        <f>VLOOKUP($B$7:$B$5000,SUM!$L$6:$L$500,1,FALSE)</f>
        <v>#N/A</v>
      </c>
      <c r="D2709" s="171" t="s">
        <v>4604</v>
      </c>
      <c r="E2709" s="165" t="s">
        <v>58</v>
      </c>
      <c r="F2709" s="81" t="s">
        <v>4430</v>
      </c>
      <c r="G2709" s="125" t="s">
        <v>4608</v>
      </c>
      <c r="H2709" s="81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77">
        <v>46162.0</v>
      </c>
      <c r="O2709" s="103" t="s">
        <v>67</v>
      </c>
      <c r="P2709" s="103" t="s">
        <v>68</v>
      </c>
      <c r="Q2709" s="153">
        <v>46169.0</v>
      </c>
      <c r="R2709" s="154" t="s">
        <v>66</v>
      </c>
      <c r="S2709" s="155">
        <v>46188.0</v>
      </c>
      <c r="T2709" s="156"/>
      <c r="U2709" s="154" t="s">
        <v>31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1">
        <v>2704.0</v>
      </c>
      <c r="B2710" s="180" t="s">
        <v>4669</v>
      </c>
      <c r="C2710" s="82" t="str">
        <f>VLOOKUP($B$7:$B$5000,SUM!$L$6:$L$500,1,FALSE)</f>
        <v>#N/A</v>
      </c>
      <c r="D2710" s="171" t="s">
        <v>4604</v>
      </c>
      <c r="E2710" s="165" t="s">
        <v>58</v>
      </c>
      <c r="F2710" s="81" t="s">
        <v>4430</v>
      </c>
      <c r="G2710" s="125" t="s">
        <v>4608</v>
      </c>
      <c r="H2710" s="81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77">
        <v>46162.0</v>
      </c>
      <c r="O2710" s="103" t="s">
        <v>67</v>
      </c>
      <c r="P2710" s="103" t="s">
        <v>68</v>
      </c>
      <c r="Q2710" s="153">
        <v>46169.0</v>
      </c>
      <c r="R2710" s="154" t="s">
        <v>66</v>
      </c>
      <c r="S2710" s="155">
        <v>46188.0</v>
      </c>
      <c r="T2710" s="156"/>
      <c r="U2710" s="154" t="s">
        <v>31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1">
        <v>2705.0</v>
      </c>
      <c r="B2711" s="180" t="s">
        <v>4671</v>
      </c>
      <c r="C2711" s="82" t="str">
        <f>VLOOKUP($B$7:$B$5000,SUM!$L$6:$L$500,1,FALSE)</f>
        <v>#N/A</v>
      </c>
      <c r="D2711" s="171" t="s">
        <v>4604</v>
      </c>
      <c r="E2711" s="165" t="s">
        <v>58</v>
      </c>
      <c r="F2711" s="81" t="s">
        <v>4430</v>
      </c>
      <c r="G2711" s="125" t="s">
        <v>4608</v>
      </c>
      <c r="H2711" s="81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77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1">
        <v>2706.0</v>
      </c>
      <c r="B2712" s="180" t="s">
        <v>4673</v>
      </c>
      <c r="C2712" s="82" t="str">
        <f>VLOOKUP($B$7:$B$5000,SUM!$L$6:$L$500,1,FALSE)</f>
        <v>#N/A</v>
      </c>
      <c r="D2712" s="171" t="s">
        <v>4604</v>
      </c>
      <c r="E2712" s="165" t="s">
        <v>58</v>
      </c>
      <c r="F2712" s="81" t="s">
        <v>4430</v>
      </c>
      <c r="G2712" s="125" t="s">
        <v>4608</v>
      </c>
      <c r="H2712" s="81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77">
        <v>46162.0</v>
      </c>
      <c r="O2712" s="103" t="s">
        <v>67</v>
      </c>
      <c r="P2712" s="103" t="s">
        <v>68</v>
      </c>
      <c r="Q2712" s="153">
        <v>46169.0</v>
      </c>
      <c r="R2712" s="154" t="s">
        <v>66</v>
      </c>
      <c r="S2712" s="155">
        <v>46188.0</v>
      </c>
      <c r="T2712" s="156"/>
      <c r="U2712" s="154" t="s">
        <v>31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1">
        <v>2707.0</v>
      </c>
      <c r="B2713" s="180" t="s">
        <v>4675</v>
      </c>
      <c r="C2713" s="82" t="str">
        <f>VLOOKUP($B$7:$B$5000,SUM!$L$6:$L$500,1,FALSE)</f>
        <v>#N/A</v>
      </c>
      <c r="D2713" s="171" t="s">
        <v>4604</v>
      </c>
      <c r="E2713" s="165" t="s">
        <v>58</v>
      </c>
      <c r="F2713" s="81" t="s">
        <v>4430</v>
      </c>
      <c r="G2713" s="125" t="s">
        <v>4608</v>
      </c>
      <c r="H2713" s="81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77">
        <v>46162.0</v>
      </c>
      <c r="O2713" s="103" t="s">
        <v>67</v>
      </c>
      <c r="P2713" s="103" t="s">
        <v>68</v>
      </c>
      <c r="Q2713" s="153">
        <v>46169.0</v>
      </c>
      <c r="R2713" s="154" t="s">
        <v>66</v>
      </c>
      <c r="S2713" s="155">
        <v>46188.0</v>
      </c>
      <c r="T2713" s="156"/>
      <c r="U2713" s="154" t="s">
        <v>31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1">
        <v>2708.0</v>
      </c>
      <c r="B2714" s="180" t="s">
        <v>4677</v>
      </c>
      <c r="C2714" s="82" t="str">
        <f>VLOOKUP($B$7:$B$5000,SUM!$L$6:$L$500,1,FALSE)</f>
        <v>#N/A</v>
      </c>
      <c r="D2714" s="171" t="s">
        <v>4604</v>
      </c>
      <c r="E2714" s="165" t="s">
        <v>58</v>
      </c>
      <c r="F2714" s="81" t="s">
        <v>4430</v>
      </c>
      <c r="G2714" s="125" t="s">
        <v>4608</v>
      </c>
      <c r="H2714" s="81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77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1">
        <v>2709.0</v>
      </c>
      <c r="B2715" s="180" t="s">
        <v>4679</v>
      </c>
      <c r="C2715" s="82" t="str">
        <f>VLOOKUP($B$7:$B$5000,SUM!$L$6:$L$500,1,FALSE)</f>
        <v>#N/A</v>
      </c>
      <c r="D2715" s="171" t="s">
        <v>4604</v>
      </c>
      <c r="E2715" s="165" t="s">
        <v>58</v>
      </c>
      <c r="F2715" s="81" t="s">
        <v>4430</v>
      </c>
      <c r="G2715" s="125" t="s">
        <v>4608</v>
      </c>
      <c r="H2715" s="81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77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1">
        <v>2710.0</v>
      </c>
      <c r="B2716" s="180" t="s">
        <v>4681</v>
      </c>
      <c r="C2716" s="82" t="str">
        <f>VLOOKUP($B$7:$B$5000,SUM!$L$6:$L$500,1,FALSE)</f>
        <v>#N/A</v>
      </c>
      <c r="D2716" s="171" t="s">
        <v>4604</v>
      </c>
      <c r="E2716" s="165" t="s">
        <v>58</v>
      </c>
      <c r="F2716" s="81" t="s">
        <v>4430</v>
      </c>
      <c r="G2716" s="125" t="s">
        <v>4608</v>
      </c>
      <c r="H2716" s="81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77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1">
        <v>2711.0</v>
      </c>
      <c r="B2717" s="180" t="s">
        <v>4683</v>
      </c>
      <c r="C2717" s="82" t="str">
        <f>VLOOKUP($B$7:$B$5000,SUM!$L$6:$L$500,1,FALSE)</f>
        <v>#N/A</v>
      </c>
      <c r="D2717" s="171" t="s">
        <v>4604</v>
      </c>
      <c r="E2717" s="165" t="s">
        <v>58</v>
      </c>
      <c r="F2717" s="81" t="s">
        <v>4430</v>
      </c>
      <c r="G2717" s="125" t="s">
        <v>4608</v>
      </c>
      <c r="H2717" s="81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77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1">
        <v>2712.0</v>
      </c>
      <c r="B2718" s="180" t="s">
        <v>4685</v>
      </c>
      <c r="C2718" s="82" t="str">
        <f>VLOOKUP($B$7:$B$5000,SUM!$L$6:$L$500,1,FALSE)</f>
        <v>#N/A</v>
      </c>
      <c r="D2718" s="171" t="s">
        <v>4604</v>
      </c>
      <c r="E2718" s="165" t="s">
        <v>58</v>
      </c>
      <c r="F2718" s="81" t="s">
        <v>4430</v>
      </c>
      <c r="G2718" s="125" t="s">
        <v>4608</v>
      </c>
      <c r="H2718" s="81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77">
        <v>46162.0</v>
      </c>
      <c r="O2718" s="103" t="s">
        <v>67</v>
      </c>
      <c r="P2718" s="103" t="s">
        <v>68</v>
      </c>
      <c r="Q2718" s="153">
        <v>46169.0</v>
      </c>
      <c r="R2718" s="154" t="s">
        <v>66</v>
      </c>
      <c r="S2718" s="155">
        <v>46188.0</v>
      </c>
      <c r="T2718" s="156"/>
      <c r="U2718" s="154" t="s">
        <v>31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1">
        <v>2713.0</v>
      </c>
      <c r="B2719" s="180" t="s">
        <v>4687</v>
      </c>
      <c r="C2719" s="82" t="str">
        <f>VLOOKUP($B$7:$B$5000,SUM!$L$6:$L$500,1,FALSE)</f>
        <v>#N/A</v>
      </c>
      <c r="D2719" s="171" t="s">
        <v>4604</v>
      </c>
      <c r="E2719" s="165" t="s">
        <v>58</v>
      </c>
      <c r="F2719" s="81" t="s">
        <v>4430</v>
      </c>
      <c r="G2719" s="125" t="s">
        <v>4608</v>
      </c>
      <c r="H2719" s="81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77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1">
        <v>2714.0</v>
      </c>
      <c r="B2720" s="180" t="s">
        <v>4689</v>
      </c>
      <c r="C2720" s="82" t="str">
        <f>VLOOKUP($B$7:$B$5000,SUM!$L$6:$L$500,1,FALSE)</f>
        <v>#N/A</v>
      </c>
      <c r="D2720" s="171" t="s">
        <v>4604</v>
      </c>
      <c r="E2720" s="165" t="s">
        <v>58</v>
      </c>
      <c r="F2720" s="81" t="s">
        <v>4430</v>
      </c>
      <c r="G2720" s="125" t="s">
        <v>4608</v>
      </c>
      <c r="H2720" s="81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77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1">
        <v>2715.0</v>
      </c>
      <c r="B2721" s="180" t="s">
        <v>4691</v>
      </c>
      <c r="C2721" s="82" t="str">
        <f>VLOOKUP($B$7:$B$5000,SUM!$L$6:$L$500,1,FALSE)</f>
        <v>#N/A</v>
      </c>
      <c r="D2721" s="171" t="s">
        <v>4604</v>
      </c>
      <c r="E2721" s="165" t="s">
        <v>58</v>
      </c>
      <c r="F2721" s="81" t="s">
        <v>4430</v>
      </c>
      <c r="G2721" s="125" t="s">
        <v>4608</v>
      </c>
      <c r="H2721" s="81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77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1">
        <v>2716.0</v>
      </c>
      <c r="B2722" s="180" t="s">
        <v>4693</v>
      </c>
      <c r="C2722" s="82" t="str">
        <f>VLOOKUP($B$7:$B$5000,SUM!$L$6:$L$500,1,FALSE)</f>
        <v>#N/A</v>
      </c>
      <c r="D2722" s="171" t="s">
        <v>4604</v>
      </c>
      <c r="E2722" s="165" t="s">
        <v>58</v>
      </c>
      <c r="F2722" s="81" t="s">
        <v>4430</v>
      </c>
      <c r="G2722" s="125" t="s">
        <v>4608</v>
      </c>
      <c r="H2722" s="81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77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1">
        <v>2717.0</v>
      </c>
      <c r="B2723" s="180" t="s">
        <v>4695</v>
      </c>
      <c r="C2723" s="82" t="str">
        <f>VLOOKUP($B$7:$B$5000,SUM!$L$6:$L$500,1,FALSE)</f>
        <v>#N/A</v>
      </c>
      <c r="D2723" s="171" t="s">
        <v>4604</v>
      </c>
      <c r="E2723" s="165" t="s">
        <v>58</v>
      </c>
      <c r="F2723" s="81" t="s">
        <v>4430</v>
      </c>
      <c r="G2723" s="125" t="s">
        <v>4608</v>
      </c>
      <c r="H2723" s="81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77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1">
        <v>2718.0</v>
      </c>
      <c r="B2724" s="180" t="s">
        <v>4697</v>
      </c>
      <c r="C2724" s="82" t="str">
        <f>VLOOKUP($B$7:$B$5000,SUM!$L$6:$L$500,1,FALSE)</f>
        <v>#N/A</v>
      </c>
      <c r="D2724" s="171" t="s">
        <v>4604</v>
      </c>
      <c r="E2724" s="165" t="s">
        <v>58</v>
      </c>
      <c r="F2724" s="81" t="s">
        <v>4430</v>
      </c>
      <c r="G2724" s="125" t="s">
        <v>4608</v>
      </c>
      <c r="H2724" s="81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77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1">
        <v>2719.0</v>
      </c>
      <c r="B2725" s="180" t="s">
        <v>4699</v>
      </c>
      <c r="C2725" s="82" t="str">
        <f>VLOOKUP($B$7:$B$5000,SUM!$L$6:$L$500,1,FALSE)</f>
        <v>#N/A</v>
      </c>
      <c r="D2725" s="171" t="s">
        <v>4604</v>
      </c>
      <c r="E2725" s="165" t="s">
        <v>58</v>
      </c>
      <c r="F2725" s="81" t="s">
        <v>4430</v>
      </c>
      <c r="G2725" s="125" t="s">
        <v>4608</v>
      </c>
      <c r="H2725" s="81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77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1">
        <v>2720.0</v>
      </c>
      <c r="B2726" s="180" t="s">
        <v>4701</v>
      </c>
      <c r="C2726" s="82" t="str">
        <f>VLOOKUP($B$7:$B$5000,SUM!$L$6:$L$500,1,FALSE)</f>
        <v>#N/A</v>
      </c>
      <c r="D2726" s="171" t="s">
        <v>4604</v>
      </c>
      <c r="E2726" s="165" t="s">
        <v>58</v>
      </c>
      <c r="F2726" s="81" t="s">
        <v>4430</v>
      </c>
      <c r="G2726" s="180" t="s">
        <v>4605</v>
      </c>
      <c r="H2726" s="81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77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1">
        <v>2721.0</v>
      </c>
      <c r="B2727" s="180" t="s">
        <v>4702</v>
      </c>
      <c r="C2727" s="82" t="str">
        <f>VLOOKUP($B$7:$B$5000,SUM!$L$6:$L$500,1,FALSE)</f>
        <v>#N/A</v>
      </c>
      <c r="D2727" s="171" t="s">
        <v>4604</v>
      </c>
      <c r="E2727" s="165" t="s">
        <v>58</v>
      </c>
      <c r="F2727" s="81" t="s">
        <v>4430</v>
      </c>
      <c r="G2727" s="180" t="s">
        <v>4608</v>
      </c>
      <c r="H2727" s="81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77">
        <v>46162.0</v>
      </c>
      <c r="O2727" s="103" t="s">
        <v>67</v>
      </c>
      <c r="P2727" s="103" t="s">
        <v>68</v>
      </c>
      <c r="Q2727" s="157">
        <v>46170.0</v>
      </c>
      <c r="R2727" s="90" t="s">
        <v>66</v>
      </c>
      <c r="S2727" s="152">
        <v>46171.0</v>
      </c>
      <c r="T2727" s="103"/>
      <c r="U2727" s="97" t="s">
        <v>31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1">
        <v>2722.0</v>
      </c>
      <c r="B2728" s="180" t="s">
        <v>4703</v>
      </c>
      <c r="C2728" s="82" t="str">
        <f>VLOOKUP($B$7:$B$5000,SUM!$L$6:$L$500,1,FALSE)</f>
        <v>#N/A</v>
      </c>
      <c r="D2728" s="171" t="s">
        <v>4604</v>
      </c>
      <c r="E2728" s="165" t="s">
        <v>58</v>
      </c>
      <c r="F2728" s="81" t="s">
        <v>4430</v>
      </c>
      <c r="G2728" s="180" t="s">
        <v>4608</v>
      </c>
      <c r="H2728" s="81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77">
        <v>46162.0</v>
      </c>
      <c r="O2728" s="103" t="s">
        <v>67</v>
      </c>
      <c r="P2728" s="103" t="s">
        <v>68</v>
      </c>
      <c r="Q2728" s="157">
        <v>46170.0</v>
      </c>
      <c r="R2728" s="90" t="s">
        <v>66</v>
      </c>
      <c r="S2728" s="152">
        <v>46171.0</v>
      </c>
      <c r="T2728" s="103"/>
      <c r="U2728" s="97" t="s">
        <v>31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1">
        <v>2723.0</v>
      </c>
      <c r="B2729" s="180" t="s">
        <v>4704</v>
      </c>
      <c r="C2729" s="82" t="str">
        <f>VLOOKUP($B$7:$B$5000,SUM!$L$6:$L$500,1,FALSE)</f>
        <v>#N/A</v>
      </c>
      <c r="D2729" s="171" t="s">
        <v>4604</v>
      </c>
      <c r="E2729" s="165" t="s">
        <v>58</v>
      </c>
      <c r="F2729" s="81" t="s">
        <v>4430</v>
      </c>
      <c r="G2729" s="180" t="s">
        <v>4608</v>
      </c>
      <c r="H2729" s="81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77">
        <v>46162.0</v>
      </c>
      <c r="O2729" s="103" t="s">
        <v>67</v>
      </c>
      <c r="P2729" s="103" t="s">
        <v>68</v>
      </c>
      <c r="Q2729" s="157">
        <v>46170.0</v>
      </c>
      <c r="R2729" s="90" t="s">
        <v>66</v>
      </c>
      <c r="S2729" s="152">
        <v>46171.0</v>
      </c>
      <c r="T2729" s="103"/>
      <c r="U2729" s="97" t="s">
        <v>31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1">
        <v>2724.0</v>
      </c>
      <c r="B2730" s="180" t="s">
        <v>4705</v>
      </c>
      <c r="C2730" s="82" t="str">
        <f>VLOOKUP($B$7:$B$5000,SUM!$L$6:$L$500,1,FALSE)</f>
        <v>#N/A</v>
      </c>
      <c r="D2730" s="171" t="s">
        <v>4604</v>
      </c>
      <c r="E2730" s="165" t="s">
        <v>58</v>
      </c>
      <c r="F2730" s="81" t="s">
        <v>4430</v>
      </c>
      <c r="G2730" s="180" t="s">
        <v>4608</v>
      </c>
      <c r="H2730" s="81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77">
        <v>46162.0</v>
      </c>
      <c r="O2730" s="103" t="s">
        <v>67</v>
      </c>
      <c r="P2730" s="103" t="s">
        <v>68</v>
      </c>
      <c r="Q2730" s="157">
        <v>46170.0</v>
      </c>
      <c r="R2730" s="90" t="s">
        <v>66</v>
      </c>
      <c r="S2730" s="152">
        <v>46171.0</v>
      </c>
      <c r="T2730" s="103"/>
      <c r="U2730" s="97" t="s">
        <v>31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1">
        <v>2725.0</v>
      </c>
      <c r="B2731" s="180" t="s">
        <v>4706</v>
      </c>
      <c r="C2731" s="82" t="str">
        <f>VLOOKUP($B$7:$B$5000,SUM!$L$6:$L$500,1,FALSE)</f>
        <v>#N/A</v>
      </c>
      <c r="D2731" s="171" t="s">
        <v>4604</v>
      </c>
      <c r="E2731" s="165" t="s">
        <v>58</v>
      </c>
      <c r="F2731" s="81" t="s">
        <v>4430</v>
      </c>
      <c r="G2731" s="180" t="s">
        <v>4608</v>
      </c>
      <c r="H2731" s="81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77">
        <v>46162.0</v>
      </c>
      <c r="O2731" s="103" t="s">
        <v>67</v>
      </c>
      <c r="P2731" s="103" t="s">
        <v>68</v>
      </c>
      <c r="Q2731" s="157">
        <v>46170.0</v>
      </c>
      <c r="R2731" s="90" t="s">
        <v>66</v>
      </c>
      <c r="S2731" s="152">
        <v>46171.0</v>
      </c>
      <c r="T2731" s="103"/>
      <c r="U2731" s="97" t="s">
        <v>31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1">
        <v>2726.0</v>
      </c>
      <c r="B2732" s="180" t="s">
        <v>4707</v>
      </c>
      <c r="C2732" s="82" t="str">
        <f>VLOOKUP($B$7:$B$5000,SUM!$L$6:$L$500,1,FALSE)</f>
        <v>#N/A</v>
      </c>
      <c r="D2732" s="171" t="s">
        <v>4604</v>
      </c>
      <c r="E2732" s="165" t="s">
        <v>58</v>
      </c>
      <c r="F2732" s="81" t="s">
        <v>4430</v>
      </c>
      <c r="G2732" s="180" t="s">
        <v>4608</v>
      </c>
      <c r="H2732" s="81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77">
        <v>46162.0</v>
      </c>
      <c r="O2732" s="103" t="s">
        <v>67</v>
      </c>
      <c r="P2732" s="103" t="s">
        <v>68</v>
      </c>
      <c r="Q2732" s="157">
        <v>46170.0</v>
      </c>
      <c r="R2732" s="90" t="s">
        <v>66</v>
      </c>
      <c r="S2732" s="152">
        <v>46171.0</v>
      </c>
      <c r="T2732" s="103"/>
      <c r="U2732" s="97" t="s">
        <v>31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1">
        <v>2727.0</v>
      </c>
      <c r="B2733" s="180" t="s">
        <v>4708</v>
      </c>
      <c r="C2733" s="82" t="str">
        <f>VLOOKUP($B$7:$B$5000,SUM!$L$6:$L$500,1,FALSE)</f>
        <v>#N/A</v>
      </c>
      <c r="D2733" s="171" t="s">
        <v>4604</v>
      </c>
      <c r="E2733" s="165" t="s">
        <v>58</v>
      </c>
      <c r="F2733" s="81" t="s">
        <v>4430</v>
      </c>
      <c r="G2733" s="180" t="s">
        <v>4608</v>
      </c>
      <c r="H2733" s="81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77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1">
        <v>2728.0</v>
      </c>
      <c r="B2734" s="180" t="s">
        <v>4709</v>
      </c>
      <c r="C2734" s="82" t="str">
        <f>VLOOKUP($B$7:$B$5000,SUM!$L$6:$L$500,1,FALSE)</f>
        <v>#N/A</v>
      </c>
      <c r="D2734" s="171" t="s">
        <v>4604</v>
      </c>
      <c r="E2734" s="165" t="s">
        <v>58</v>
      </c>
      <c r="F2734" s="81" t="s">
        <v>4430</v>
      </c>
      <c r="G2734" s="180" t="s">
        <v>4608</v>
      </c>
      <c r="H2734" s="81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77">
        <v>46162.0</v>
      </c>
      <c r="O2734" s="103" t="s">
        <v>67</v>
      </c>
      <c r="P2734" s="103" t="s">
        <v>68</v>
      </c>
      <c r="Q2734" s="159">
        <v>46171.0</v>
      </c>
      <c r="R2734" s="148" t="s">
        <v>66</v>
      </c>
      <c r="S2734" s="152">
        <v>46173.0</v>
      </c>
      <c r="T2734" s="103"/>
      <c r="U2734" s="97" t="s">
        <v>31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1">
        <v>2729.0</v>
      </c>
      <c r="B2735" s="180" t="s">
        <v>4710</v>
      </c>
      <c r="C2735" s="82" t="str">
        <f>VLOOKUP($B$7:$B$5000,SUM!$L$6:$L$500,1,FALSE)</f>
        <v>#N/A</v>
      </c>
      <c r="D2735" s="171" t="s">
        <v>4604</v>
      </c>
      <c r="E2735" s="165" t="s">
        <v>58</v>
      </c>
      <c r="F2735" s="81" t="s">
        <v>4430</v>
      </c>
      <c r="G2735" s="180" t="s">
        <v>4608</v>
      </c>
      <c r="H2735" s="81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77">
        <v>46162.0</v>
      </c>
      <c r="O2735" s="103" t="s">
        <v>67</v>
      </c>
      <c r="P2735" s="103" t="s">
        <v>68</v>
      </c>
      <c r="Q2735" s="159">
        <v>46171.0</v>
      </c>
      <c r="R2735" s="148" t="s">
        <v>66</v>
      </c>
      <c r="S2735" s="152">
        <v>46173.0</v>
      </c>
      <c r="T2735" s="103"/>
      <c r="U2735" s="97" t="s">
        <v>31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1">
        <v>2730.0</v>
      </c>
      <c r="B2736" s="180" t="s">
        <v>4711</v>
      </c>
      <c r="C2736" s="82" t="str">
        <f>VLOOKUP($B$7:$B$5000,SUM!$L$6:$L$500,1,FALSE)</f>
        <v>#N/A</v>
      </c>
      <c r="D2736" s="171" t="s">
        <v>4604</v>
      </c>
      <c r="E2736" s="165" t="s">
        <v>58</v>
      </c>
      <c r="F2736" s="81" t="s">
        <v>4430</v>
      </c>
      <c r="G2736" s="189" t="s">
        <v>4627</v>
      </c>
      <c r="H2736" s="81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77">
        <v>46162.0</v>
      </c>
      <c r="O2736" s="103" t="s">
        <v>67</v>
      </c>
      <c r="P2736" s="103" t="s">
        <v>68</v>
      </c>
      <c r="Q2736" s="159">
        <v>46171.0</v>
      </c>
      <c r="R2736" s="148" t="s">
        <v>66</v>
      </c>
      <c r="S2736" s="152">
        <v>46173.0</v>
      </c>
      <c r="T2736" s="103"/>
      <c r="U2736" s="97" t="s">
        <v>31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1">
        <v>2731.0</v>
      </c>
      <c r="B2737" s="180" t="s">
        <v>4712</v>
      </c>
      <c r="C2737" s="82" t="str">
        <f>VLOOKUP($B$7:$B$5000,SUM!$L$6:$L$500,1,FALSE)</f>
        <v>#N/A</v>
      </c>
      <c r="D2737" s="171" t="s">
        <v>4604</v>
      </c>
      <c r="E2737" s="165" t="s">
        <v>58</v>
      </c>
      <c r="F2737" s="81" t="s">
        <v>4430</v>
      </c>
      <c r="G2737" s="125" t="s">
        <v>4630</v>
      </c>
      <c r="H2737" s="81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77">
        <v>46162.0</v>
      </c>
      <c r="O2737" s="103" t="s">
        <v>67</v>
      </c>
      <c r="P2737" s="103" t="s">
        <v>68</v>
      </c>
      <c r="Q2737" s="159">
        <v>46171.0</v>
      </c>
      <c r="R2737" s="148" t="s">
        <v>66</v>
      </c>
      <c r="S2737" s="152">
        <v>46173.0</v>
      </c>
      <c r="T2737" s="103"/>
      <c r="U2737" s="97" t="s">
        <v>31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1">
        <v>2732.0</v>
      </c>
      <c r="B2738" s="180" t="s">
        <v>4713</v>
      </c>
      <c r="C2738" s="82" t="str">
        <f>VLOOKUP($B$7:$B$5000,SUM!$L$6:$L$500,1,FALSE)</f>
        <v>#N/A</v>
      </c>
      <c r="D2738" s="171" t="s">
        <v>4604</v>
      </c>
      <c r="E2738" s="165" t="s">
        <v>58</v>
      </c>
      <c r="F2738" s="81" t="s">
        <v>4430</v>
      </c>
      <c r="G2738" s="125" t="s">
        <v>4633</v>
      </c>
      <c r="H2738" s="81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77">
        <v>46162.0</v>
      </c>
      <c r="O2738" s="103" t="s">
        <v>67</v>
      </c>
      <c r="P2738" s="103" t="s">
        <v>68</v>
      </c>
      <c r="Q2738" s="159">
        <v>46171.0</v>
      </c>
      <c r="R2738" s="148" t="s">
        <v>66</v>
      </c>
      <c r="S2738" s="152">
        <v>46173.0</v>
      </c>
      <c r="T2738" s="103"/>
      <c r="U2738" s="97" t="s">
        <v>31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1">
        <v>2733.0</v>
      </c>
      <c r="B2739" s="180" t="s">
        <v>4714</v>
      </c>
      <c r="C2739" s="82" t="str">
        <f>VLOOKUP($B$7:$B$5000,SUM!$L$6:$L$500,1,FALSE)</f>
        <v>#N/A</v>
      </c>
      <c r="D2739" s="171" t="s">
        <v>4604</v>
      </c>
      <c r="E2739" s="165" t="s">
        <v>58</v>
      </c>
      <c r="F2739" s="81" t="s">
        <v>4430</v>
      </c>
      <c r="G2739" s="125" t="s">
        <v>4633</v>
      </c>
      <c r="H2739" s="81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77">
        <v>46162.0</v>
      </c>
      <c r="O2739" s="103" t="s">
        <v>67</v>
      </c>
      <c r="P2739" s="103" t="s">
        <v>68</v>
      </c>
      <c r="Q2739" s="159">
        <v>46171.0</v>
      </c>
      <c r="R2739" s="148" t="s">
        <v>66</v>
      </c>
      <c r="S2739" s="152">
        <v>46173.0</v>
      </c>
      <c r="T2739" s="103"/>
      <c r="U2739" s="97" t="s">
        <v>31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1">
        <v>2734.0</v>
      </c>
      <c r="B2740" s="180" t="s">
        <v>4715</v>
      </c>
      <c r="C2740" s="82" t="str">
        <f>VLOOKUP($B$7:$B$5000,SUM!$L$6:$L$500,1,FALSE)</f>
        <v>#N/A</v>
      </c>
      <c r="D2740" s="171" t="s">
        <v>4604</v>
      </c>
      <c r="E2740" s="165" t="s">
        <v>58</v>
      </c>
      <c r="F2740" s="81" t="s">
        <v>4430</v>
      </c>
      <c r="G2740" s="125" t="s">
        <v>4633</v>
      </c>
      <c r="H2740" s="81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77">
        <v>46162.0</v>
      </c>
      <c r="O2740" s="103" t="s">
        <v>67</v>
      </c>
      <c r="P2740" s="103" t="s">
        <v>68</v>
      </c>
      <c r="Q2740" s="159">
        <v>46171.0</v>
      </c>
      <c r="R2740" s="148" t="s">
        <v>66</v>
      </c>
      <c r="S2740" s="152">
        <v>46173.0</v>
      </c>
      <c r="T2740" s="103"/>
      <c r="U2740" s="97" t="s">
        <v>31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1">
        <v>2735.0</v>
      </c>
      <c r="B2741" s="180" t="s">
        <v>4716</v>
      </c>
      <c r="C2741" s="82" t="str">
        <f>VLOOKUP($B$7:$B$5000,SUM!$L$6:$L$500,1,FALSE)</f>
        <v>#N/A</v>
      </c>
      <c r="D2741" s="171" t="s">
        <v>4604</v>
      </c>
      <c r="E2741" s="165" t="s">
        <v>58</v>
      </c>
      <c r="F2741" s="81" t="s">
        <v>4430</v>
      </c>
      <c r="G2741" s="125" t="s">
        <v>4633</v>
      </c>
      <c r="H2741" s="81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77">
        <v>46162.0</v>
      </c>
      <c r="O2741" s="103" t="s">
        <v>67</v>
      </c>
      <c r="P2741" s="103" t="s">
        <v>68</v>
      </c>
      <c r="Q2741" s="159">
        <v>46171.0</v>
      </c>
      <c r="R2741" s="148" t="s">
        <v>66</v>
      </c>
      <c r="S2741" s="152">
        <v>46173.0</v>
      </c>
      <c r="T2741" s="103"/>
      <c r="U2741" s="97" t="s">
        <v>31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1">
        <v>2736.0</v>
      </c>
      <c r="B2742" s="180" t="s">
        <v>4717</v>
      </c>
      <c r="C2742" s="82" t="str">
        <f>VLOOKUP($B$7:$B$5000,SUM!$L$6:$L$500,1,FALSE)</f>
        <v>#N/A</v>
      </c>
      <c r="D2742" s="171" t="s">
        <v>4604</v>
      </c>
      <c r="E2742" s="165" t="s">
        <v>58</v>
      </c>
      <c r="F2742" s="81" t="s">
        <v>4430</v>
      </c>
      <c r="G2742" s="125" t="s">
        <v>4633</v>
      </c>
      <c r="H2742" s="81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77">
        <v>46162.0</v>
      </c>
      <c r="O2742" s="103" t="s">
        <v>67</v>
      </c>
      <c r="P2742" s="103" t="s">
        <v>68</v>
      </c>
      <c r="Q2742" s="159">
        <v>46171.0</v>
      </c>
      <c r="R2742" s="148" t="s">
        <v>66</v>
      </c>
      <c r="S2742" s="152">
        <v>46173.0</v>
      </c>
      <c r="T2742" s="103"/>
      <c r="U2742" s="97" t="s">
        <v>31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1">
        <v>2737.0</v>
      </c>
      <c r="B2743" s="180" t="s">
        <v>4718</v>
      </c>
      <c r="C2743" s="82" t="str">
        <f>VLOOKUP($B$7:$B$5000,SUM!$L$6:$L$500,1,FALSE)</f>
        <v>#N/A</v>
      </c>
      <c r="D2743" s="171" t="s">
        <v>4604</v>
      </c>
      <c r="E2743" s="165" t="s">
        <v>58</v>
      </c>
      <c r="F2743" s="81" t="s">
        <v>4430</v>
      </c>
      <c r="G2743" s="125" t="s">
        <v>4633</v>
      </c>
      <c r="H2743" s="81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77">
        <v>46162.0</v>
      </c>
      <c r="O2743" s="103" t="s">
        <v>67</v>
      </c>
      <c r="P2743" s="103" t="s">
        <v>68</v>
      </c>
      <c r="Q2743" s="159">
        <v>46171.0</v>
      </c>
      <c r="R2743" s="148" t="s">
        <v>66</v>
      </c>
      <c r="S2743" s="152">
        <v>46173.0</v>
      </c>
      <c r="T2743" s="103"/>
      <c r="U2743" s="97" t="s">
        <v>31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1">
        <v>2738.0</v>
      </c>
      <c r="B2744" s="180" t="s">
        <v>4719</v>
      </c>
      <c r="C2744" s="82" t="str">
        <f>VLOOKUP($B$7:$B$5000,SUM!$L$6:$L$500,1,FALSE)</f>
        <v>#N/A</v>
      </c>
      <c r="D2744" s="171" t="s">
        <v>4604</v>
      </c>
      <c r="E2744" s="165" t="s">
        <v>58</v>
      </c>
      <c r="F2744" s="81" t="s">
        <v>4430</v>
      </c>
      <c r="G2744" s="125" t="s">
        <v>4633</v>
      </c>
      <c r="H2744" s="81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77">
        <v>46162.0</v>
      </c>
      <c r="O2744" s="103" t="s">
        <v>67</v>
      </c>
      <c r="P2744" s="103" t="s">
        <v>68</v>
      </c>
      <c r="Q2744" s="159">
        <v>46171.0</v>
      </c>
      <c r="R2744" s="148" t="s">
        <v>66</v>
      </c>
      <c r="S2744" s="152">
        <v>46173.0</v>
      </c>
      <c r="T2744" s="103"/>
      <c r="U2744" s="97" t="s">
        <v>31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1">
        <v>2739.0</v>
      </c>
      <c r="B2745" s="180" t="s">
        <v>4720</v>
      </c>
      <c r="C2745" s="82" t="str">
        <f>VLOOKUP($B$7:$B$5000,SUM!$L$6:$L$500,1,FALSE)</f>
        <v>#N/A</v>
      </c>
      <c r="D2745" s="171" t="s">
        <v>4604</v>
      </c>
      <c r="E2745" s="165" t="s">
        <v>58</v>
      </c>
      <c r="F2745" s="81" t="s">
        <v>4430</v>
      </c>
      <c r="G2745" s="125" t="s">
        <v>4608</v>
      </c>
      <c r="H2745" s="81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77">
        <v>46162.0</v>
      </c>
      <c r="O2745" s="103" t="s">
        <v>67</v>
      </c>
      <c r="P2745" s="103" t="s">
        <v>68</v>
      </c>
      <c r="Q2745" s="157">
        <v>46170.0</v>
      </c>
      <c r="R2745" s="90" t="s">
        <v>66</v>
      </c>
      <c r="S2745" s="152">
        <v>46171.0</v>
      </c>
      <c r="T2745" s="103"/>
      <c r="U2745" s="97" t="s">
        <v>31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1">
        <v>2740.0</v>
      </c>
      <c r="B2746" s="180" t="s">
        <v>4721</v>
      </c>
      <c r="C2746" s="82" t="str">
        <f>VLOOKUP($B$7:$B$5000,SUM!$L$6:$L$500,1,FALSE)</f>
        <v>#N/A</v>
      </c>
      <c r="D2746" s="171" t="s">
        <v>4604</v>
      </c>
      <c r="E2746" s="165" t="s">
        <v>58</v>
      </c>
      <c r="F2746" s="81" t="s">
        <v>4430</v>
      </c>
      <c r="G2746" s="125" t="s">
        <v>4608</v>
      </c>
      <c r="H2746" s="81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77">
        <v>46162.0</v>
      </c>
      <c r="O2746" s="103" t="s">
        <v>67</v>
      </c>
      <c r="P2746" s="103" t="s">
        <v>68</v>
      </c>
      <c r="Q2746" s="157">
        <v>46170.0</v>
      </c>
      <c r="R2746" s="90" t="s">
        <v>66</v>
      </c>
      <c r="S2746" s="152">
        <v>46171.0</v>
      </c>
      <c r="T2746" s="103"/>
      <c r="U2746" s="97" t="s">
        <v>31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1">
        <v>2741.0</v>
      </c>
      <c r="B2747" s="180" t="s">
        <v>4722</v>
      </c>
      <c r="C2747" s="82" t="str">
        <f>VLOOKUP($B$7:$B$5000,SUM!$L$6:$L$500,1,FALSE)</f>
        <v>#N/A</v>
      </c>
      <c r="D2747" s="171" t="s">
        <v>4604</v>
      </c>
      <c r="E2747" s="165" t="s">
        <v>58</v>
      </c>
      <c r="F2747" s="81" t="s">
        <v>4430</v>
      </c>
      <c r="G2747" s="125" t="s">
        <v>4608</v>
      </c>
      <c r="H2747" s="81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77">
        <v>46162.0</v>
      </c>
      <c r="O2747" s="103" t="s">
        <v>67</v>
      </c>
      <c r="P2747" s="103" t="s">
        <v>68</v>
      </c>
      <c r="Q2747" s="157">
        <v>46170.0</v>
      </c>
      <c r="R2747" s="90" t="s">
        <v>66</v>
      </c>
      <c r="S2747" s="152">
        <v>46171.0</v>
      </c>
      <c r="T2747" s="103"/>
      <c r="U2747" s="97" t="s">
        <v>31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1">
        <v>2742.0</v>
      </c>
      <c r="B2748" s="180" t="s">
        <v>4723</v>
      </c>
      <c r="C2748" s="82" t="str">
        <f>VLOOKUP($B$7:$B$5000,SUM!$L$6:$L$500,1,FALSE)</f>
        <v>#N/A</v>
      </c>
      <c r="D2748" s="171" t="s">
        <v>4604</v>
      </c>
      <c r="E2748" s="165" t="s">
        <v>58</v>
      </c>
      <c r="F2748" s="81" t="s">
        <v>4430</v>
      </c>
      <c r="G2748" s="125" t="s">
        <v>4608</v>
      </c>
      <c r="H2748" s="81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77">
        <v>46162.0</v>
      </c>
      <c r="O2748" s="103" t="s">
        <v>67</v>
      </c>
      <c r="P2748" s="103" t="s">
        <v>68</v>
      </c>
      <c r="Q2748" s="157">
        <v>46170.0</v>
      </c>
      <c r="R2748" s="90" t="s">
        <v>66</v>
      </c>
      <c r="S2748" s="152">
        <v>46171.0</v>
      </c>
      <c r="T2748" s="103"/>
      <c r="U2748" s="97" t="s">
        <v>31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1">
        <v>2743.0</v>
      </c>
      <c r="B2749" s="180" t="s">
        <v>4724</v>
      </c>
      <c r="C2749" s="82" t="str">
        <f>VLOOKUP($B$7:$B$5000,SUM!$L$6:$L$500,1,FALSE)</f>
        <v>#N/A</v>
      </c>
      <c r="D2749" s="171" t="s">
        <v>4604</v>
      </c>
      <c r="E2749" s="165" t="s">
        <v>58</v>
      </c>
      <c r="F2749" s="81" t="s">
        <v>4430</v>
      </c>
      <c r="G2749" s="125" t="s">
        <v>4608</v>
      </c>
      <c r="H2749" s="81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77">
        <v>46162.0</v>
      </c>
      <c r="O2749" s="103" t="s">
        <v>67</v>
      </c>
      <c r="P2749" s="103" t="s">
        <v>68</v>
      </c>
      <c r="Q2749" s="157">
        <v>46170.0</v>
      </c>
      <c r="R2749" s="90" t="s">
        <v>66</v>
      </c>
      <c r="S2749" s="152">
        <v>46171.0</v>
      </c>
      <c r="T2749" s="103"/>
      <c r="U2749" s="97" t="s">
        <v>31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1">
        <v>2744.0</v>
      </c>
      <c r="B2750" s="180" t="s">
        <v>4725</v>
      </c>
      <c r="C2750" s="82" t="str">
        <f>VLOOKUP($B$7:$B$5000,SUM!$L$6:$L$500,1,FALSE)</f>
        <v>#N/A</v>
      </c>
      <c r="D2750" s="171" t="s">
        <v>4604</v>
      </c>
      <c r="E2750" s="165" t="s">
        <v>58</v>
      </c>
      <c r="F2750" s="81" t="s">
        <v>4430</v>
      </c>
      <c r="G2750" s="125" t="s">
        <v>4608</v>
      </c>
      <c r="H2750" s="81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77">
        <v>46162.0</v>
      </c>
      <c r="O2750" s="103" t="s">
        <v>67</v>
      </c>
      <c r="P2750" s="103" t="s">
        <v>68</v>
      </c>
      <c r="Q2750" s="157">
        <v>46170.0</v>
      </c>
      <c r="R2750" s="90" t="s">
        <v>66</v>
      </c>
      <c r="S2750" s="152">
        <v>46171.0</v>
      </c>
      <c r="T2750" s="103"/>
      <c r="U2750" s="97" t="s">
        <v>31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1">
        <v>2745.0</v>
      </c>
      <c r="B2751" s="180" t="s">
        <v>4726</v>
      </c>
      <c r="C2751" s="82" t="str">
        <f>VLOOKUP($B$7:$B$5000,SUM!$L$6:$L$500,1,FALSE)</f>
        <v>#N/A</v>
      </c>
      <c r="D2751" s="171" t="s">
        <v>4604</v>
      </c>
      <c r="E2751" s="165" t="s">
        <v>58</v>
      </c>
      <c r="F2751" s="81" t="s">
        <v>4430</v>
      </c>
      <c r="G2751" s="125" t="s">
        <v>4608</v>
      </c>
      <c r="H2751" s="81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77">
        <v>46162.0</v>
      </c>
      <c r="O2751" s="103" t="s">
        <v>67</v>
      </c>
      <c r="P2751" s="103" t="s">
        <v>68</v>
      </c>
      <c r="Q2751" s="157">
        <v>46170.0</v>
      </c>
      <c r="R2751" s="90" t="s">
        <v>66</v>
      </c>
      <c r="S2751" s="152">
        <v>46171.0</v>
      </c>
      <c r="T2751" s="103"/>
      <c r="U2751" s="97" t="s">
        <v>31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1">
        <v>2746.0</v>
      </c>
      <c r="B2752" s="180" t="s">
        <v>4727</v>
      </c>
      <c r="C2752" s="82" t="str">
        <f>VLOOKUP($B$7:$B$5000,SUM!$L$6:$L$500,1,FALSE)</f>
        <v>#N/A</v>
      </c>
      <c r="D2752" s="171" t="s">
        <v>4604</v>
      </c>
      <c r="E2752" s="165" t="s">
        <v>58</v>
      </c>
      <c r="F2752" s="81" t="s">
        <v>4430</v>
      </c>
      <c r="G2752" s="125" t="s">
        <v>4608</v>
      </c>
      <c r="H2752" s="81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77">
        <v>46162.0</v>
      </c>
      <c r="O2752" s="103" t="s">
        <v>67</v>
      </c>
      <c r="P2752" s="103" t="s">
        <v>68</v>
      </c>
      <c r="Q2752" s="157">
        <v>46170.0</v>
      </c>
      <c r="R2752" s="90" t="s">
        <v>66</v>
      </c>
      <c r="S2752" s="152">
        <v>46171.0</v>
      </c>
      <c r="T2752" s="103"/>
      <c r="U2752" s="97" t="s">
        <v>31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1">
        <v>2747.0</v>
      </c>
      <c r="B2753" s="180" t="s">
        <v>4728</v>
      </c>
      <c r="C2753" s="82" t="str">
        <f>VLOOKUP($B$7:$B$5000,SUM!$L$6:$L$500,1,FALSE)</f>
        <v>#N/A</v>
      </c>
      <c r="D2753" s="171" t="s">
        <v>4604</v>
      </c>
      <c r="E2753" s="165" t="s">
        <v>58</v>
      </c>
      <c r="F2753" s="81" t="s">
        <v>4430</v>
      </c>
      <c r="G2753" s="125" t="s">
        <v>4608</v>
      </c>
      <c r="H2753" s="81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77">
        <v>46162.0</v>
      </c>
      <c r="O2753" s="103" t="s">
        <v>67</v>
      </c>
      <c r="P2753" s="103" t="s">
        <v>68</v>
      </c>
      <c r="Q2753" s="157">
        <v>46170.0</v>
      </c>
      <c r="R2753" s="90" t="s">
        <v>66</v>
      </c>
      <c r="S2753" s="152">
        <v>46171.0</v>
      </c>
      <c r="T2753" s="103"/>
      <c r="U2753" s="97" t="s">
        <v>31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1">
        <v>2748.0</v>
      </c>
      <c r="B2754" s="180" t="s">
        <v>4729</v>
      </c>
      <c r="C2754" s="82" t="str">
        <f>VLOOKUP($B$7:$B$5000,SUM!$L$6:$L$500,1,FALSE)</f>
        <v>#N/A</v>
      </c>
      <c r="D2754" s="171" t="s">
        <v>4604</v>
      </c>
      <c r="E2754" s="165" t="s">
        <v>58</v>
      </c>
      <c r="F2754" s="81" t="s">
        <v>4430</v>
      </c>
      <c r="G2754" s="125" t="s">
        <v>4608</v>
      </c>
      <c r="H2754" s="81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77">
        <v>46162.0</v>
      </c>
      <c r="O2754" s="103" t="s">
        <v>67</v>
      </c>
      <c r="P2754" s="103" t="s">
        <v>68</v>
      </c>
      <c r="Q2754" s="157">
        <v>46170.0</v>
      </c>
      <c r="R2754" s="90" t="s">
        <v>66</v>
      </c>
      <c r="S2754" s="152">
        <v>46171.0</v>
      </c>
      <c r="T2754" s="103"/>
      <c r="U2754" s="97" t="s">
        <v>31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1">
        <v>2749.0</v>
      </c>
      <c r="B2755" s="180" t="s">
        <v>4730</v>
      </c>
      <c r="C2755" s="82" t="str">
        <f>VLOOKUP($B$7:$B$5000,SUM!$L$6:$L$500,1,FALSE)</f>
        <v>#N/A</v>
      </c>
      <c r="D2755" s="171" t="s">
        <v>4604</v>
      </c>
      <c r="E2755" s="165" t="s">
        <v>58</v>
      </c>
      <c r="F2755" s="81" t="s">
        <v>4430</v>
      </c>
      <c r="G2755" s="125" t="s">
        <v>4608</v>
      </c>
      <c r="H2755" s="81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77">
        <v>46162.0</v>
      </c>
      <c r="O2755" s="103" t="s">
        <v>67</v>
      </c>
      <c r="P2755" s="103" t="s">
        <v>68</v>
      </c>
      <c r="Q2755" s="157">
        <v>46170.0</v>
      </c>
      <c r="R2755" s="90" t="s">
        <v>66</v>
      </c>
      <c r="S2755" s="152">
        <v>46171.0</v>
      </c>
      <c r="T2755" s="103"/>
      <c r="U2755" s="97" t="s">
        <v>31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1">
        <v>2750.0</v>
      </c>
      <c r="B2756" s="180" t="s">
        <v>4731</v>
      </c>
      <c r="C2756" s="82" t="str">
        <f>VLOOKUP($B$7:$B$5000,SUM!$L$6:$L$500,1,FALSE)</f>
        <v>#N/A</v>
      </c>
      <c r="D2756" s="171" t="s">
        <v>4604</v>
      </c>
      <c r="E2756" s="165" t="s">
        <v>58</v>
      </c>
      <c r="F2756" s="81" t="s">
        <v>4430</v>
      </c>
      <c r="G2756" s="125" t="s">
        <v>4608</v>
      </c>
      <c r="H2756" s="81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77">
        <v>46162.0</v>
      </c>
      <c r="O2756" s="103" t="s">
        <v>67</v>
      </c>
      <c r="P2756" s="103" t="s">
        <v>68</v>
      </c>
      <c r="Q2756" s="157">
        <v>46170.0</v>
      </c>
      <c r="R2756" s="90" t="s">
        <v>66</v>
      </c>
      <c r="S2756" s="152">
        <v>46171.0</v>
      </c>
      <c r="T2756" s="103"/>
      <c r="U2756" s="97" t="s">
        <v>31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1">
        <v>2751.0</v>
      </c>
      <c r="B2757" s="180" t="s">
        <v>4732</v>
      </c>
      <c r="C2757" s="82" t="str">
        <f>VLOOKUP($B$7:$B$5000,SUM!$L$6:$L$500,1,FALSE)</f>
        <v>#N/A</v>
      </c>
      <c r="D2757" s="171" t="s">
        <v>4604</v>
      </c>
      <c r="E2757" s="165" t="s">
        <v>58</v>
      </c>
      <c r="F2757" s="81" t="s">
        <v>4430</v>
      </c>
      <c r="G2757" s="125" t="s">
        <v>4608</v>
      </c>
      <c r="H2757" s="81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77">
        <v>46162.0</v>
      </c>
      <c r="O2757" s="103" t="s">
        <v>67</v>
      </c>
      <c r="P2757" s="103" t="s">
        <v>68</v>
      </c>
      <c r="Q2757" s="157">
        <v>46170.0</v>
      </c>
      <c r="R2757" s="90" t="s">
        <v>66</v>
      </c>
      <c r="S2757" s="152">
        <v>46171.0</v>
      </c>
      <c r="T2757" s="103"/>
      <c r="U2757" s="97" t="s">
        <v>31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1">
        <v>2752.0</v>
      </c>
      <c r="B2758" s="180" t="s">
        <v>4733</v>
      </c>
      <c r="C2758" s="82" t="str">
        <f>VLOOKUP($B$7:$B$5000,SUM!$L$6:$L$500,1,FALSE)</f>
        <v>#N/A</v>
      </c>
      <c r="D2758" s="171" t="s">
        <v>4604</v>
      </c>
      <c r="E2758" s="165" t="s">
        <v>58</v>
      </c>
      <c r="F2758" s="81" t="s">
        <v>4430</v>
      </c>
      <c r="G2758" s="125" t="s">
        <v>4608</v>
      </c>
      <c r="H2758" s="81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77">
        <v>46162.0</v>
      </c>
      <c r="O2758" s="103" t="s">
        <v>67</v>
      </c>
      <c r="P2758" s="103" t="s">
        <v>68</v>
      </c>
      <c r="Q2758" s="157">
        <v>46170.0</v>
      </c>
      <c r="R2758" s="90" t="s">
        <v>66</v>
      </c>
      <c r="S2758" s="152">
        <v>46171.0</v>
      </c>
      <c r="T2758" s="103"/>
      <c r="U2758" s="97" t="s">
        <v>31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1">
        <v>2753.0</v>
      </c>
      <c r="B2759" s="180" t="s">
        <v>4734</v>
      </c>
      <c r="C2759" s="82" t="str">
        <f>VLOOKUP($B$7:$B$5000,SUM!$L$6:$L$500,1,FALSE)</f>
        <v>#N/A</v>
      </c>
      <c r="D2759" s="171" t="s">
        <v>4604</v>
      </c>
      <c r="E2759" s="165" t="s">
        <v>58</v>
      </c>
      <c r="F2759" s="81" t="s">
        <v>4430</v>
      </c>
      <c r="G2759" s="125" t="s">
        <v>4608</v>
      </c>
      <c r="H2759" s="81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77">
        <v>46162.0</v>
      </c>
      <c r="O2759" s="103" t="s">
        <v>67</v>
      </c>
      <c r="P2759" s="103" t="s">
        <v>68</v>
      </c>
      <c r="Q2759" s="157">
        <v>46170.0</v>
      </c>
      <c r="R2759" s="90" t="s">
        <v>66</v>
      </c>
      <c r="S2759" s="152">
        <v>46171.0</v>
      </c>
      <c r="T2759" s="103"/>
      <c r="U2759" s="97" t="s">
        <v>31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1">
        <v>2754.0</v>
      </c>
      <c r="B2760" s="180" t="s">
        <v>4735</v>
      </c>
      <c r="C2760" s="82" t="str">
        <f>VLOOKUP($B$7:$B$5000,SUM!$L$6:$L$500,1,FALSE)</f>
        <v>#N/A</v>
      </c>
      <c r="D2760" s="171" t="s">
        <v>4604</v>
      </c>
      <c r="E2760" s="165" t="s">
        <v>58</v>
      </c>
      <c r="F2760" s="81" t="s">
        <v>4430</v>
      </c>
      <c r="G2760" s="125" t="s">
        <v>4608</v>
      </c>
      <c r="H2760" s="81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77">
        <v>46162.0</v>
      </c>
      <c r="O2760" s="103" t="s">
        <v>67</v>
      </c>
      <c r="P2760" s="103" t="s">
        <v>68</v>
      </c>
      <c r="Q2760" s="157">
        <v>46170.0</v>
      </c>
      <c r="R2760" s="90" t="s">
        <v>66</v>
      </c>
      <c r="S2760" s="152">
        <v>46171.0</v>
      </c>
      <c r="T2760" s="103"/>
      <c r="U2760" s="97" t="s">
        <v>31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1">
        <v>2755.0</v>
      </c>
      <c r="B2761" s="180" t="s">
        <v>4736</v>
      </c>
      <c r="C2761" s="82" t="str">
        <f>VLOOKUP($B$7:$B$5000,SUM!$L$6:$L$500,1,FALSE)</f>
        <v>#N/A</v>
      </c>
      <c r="D2761" s="171" t="s">
        <v>4604</v>
      </c>
      <c r="E2761" s="165" t="s">
        <v>58</v>
      </c>
      <c r="F2761" s="81" t="s">
        <v>4430</v>
      </c>
      <c r="G2761" s="125" t="s">
        <v>4608</v>
      </c>
      <c r="H2761" s="81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77">
        <v>46162.0</v>
      </c>
      <c r="O2761" s="103" t="s">
        <v>67</v>
      </c>
      <c r="P2761" s="103" t="s">
        <v>68</v>
      </c>
      <c r="Q2761" s="157">
        <v>46170.0</v>
      </c>
      <c r="R2761" s="90" t="s">
        <v>66</v>
      </c>
      <c r="S2761" s="152">
        <v>46171.0</v>
      </c>
      <c r="T2761" s="103"/>
      <c r="U2761" s="97" t="s">
        <v>31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1">
        <v>2756.0</v>
      </c>
      <c r="B2762" s="180" t="s">
        <v>4737</v>
      </c>
      <c r="C2762" s="82" t="str">
        <f>VLOOKUP($B$7:$B$5000,SUM!$L$6:$L$500,1,FALSE)</f>
        <v>#N/A</v>
      </c>
      <c r="D2762" s="171" t="s">
        <v>4604</v>
      </c>
      <c r="E2762" s="165" t="s">
        <v>58</v>
      </c>
      <c r="F2762" s="81" t="s">
        <v>4430</v>
      </c>
      <c r="G2762" s="125" t="s">
        <v>4608</v>
      </c>
      <c r="H2762" s="81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77">
        <v>46162.0</v>
      </c>
      <c r="O2762" s="103" t="s">
        <v>67</v>
      </c>
      <c r="P2762" s="103" t="s">
        <v>68</v>
      </c>
      <c r="Q2762" s="157">
        <v>46170.0</v>
      </c>
      <c r="R2762" s="90" t="s">
        <v>66</v>
      </c>
      <c r="S2762" s="152">
        <v>46171.0</v>
      </c>
      <c r="T2762" s="103"/>
      <c r="U2762" s="97" t="s">
        <v>31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1">
        <v>2757.0</v>
      </c>
      <c r="B2763" s="180" t="s">
        <v>4738</v>
      </c>
      <c r="C2763" s="82" t="str">
        <f>VLOOKUP($B$7:$B$5000,SUM!$L$6:$L$500,1,FALSE)</f>
        <v>#N/A</v>
      </c>
      <c r="D2763" s="171" t="s">
        <v>4604</v>
      </c>
      <c r="E2763" s="165" t="s">
        <v>58</v>
      </c>
      <c r="F2763" s="81" t="s">
        <v>4430</v>
      </c>
      <c r="G2763" s="125" t="s">
        <v>4608</v>
      </c>
      <c r="H2763" s="81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77">
        <v>46162.0</v>
      </c>
      <c r="O2763" s="103" t="s">
        <v>67</v>
      </c>
      <c r="P2763" s="103" t="s">
        <v>68</v>
      </c>
      <c r="Q2763" s="157">
        <v>46170.0</v>
      </c>
      <c r="R2763" s="90" t="s">
        <v>66</v>
      </c>
      <c r="S2763" s="152">
        <v>46171.0</v>
      </c>
      <c r="T2763" s="103"/>
      <c r="U2763" s="97" t="s">
        <v>31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1">
        <v>2758.0</v>
      </c>
      <c r="B2764" s="180" t="s">
        <v>4739</v>
      </c>
      <c r="C2764" s="82" t="str">
        <f>VLOOKUP($B$7:$B$5000,SUM!$L$6:$L$500,1,FALSE)</f>
        <v>#N/A</v>
      </c>
      <c r="D2764" s="171" t="s">
        <v>4604</v>
      </c>
      <c r="E2764" s="165" t="s">
        <v>58</v>
      </c>
      <c r="F2764" s="81" t="s">
        <v>4430</v>
      </c>
      <c r="G2764" s="125" t="s">
        <v>4608</v>
      </c>
      <c r="H2764" s="81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77">
        <v>46162.0</v>
      </c>
      <c r="O2764" s="103" t="s">
        <v>67</v>
      </c>
      <c r="P2764" s="103" t="s">
        <v>68</v>
      </c>
      <c r="Q2764" s="157">
        <v>46170.0</v>
      </c>
      <c r="R2764" s="90" t="s">
        <v>66</v>
      </c>
      <c r="S2764" s="152">
        <v>46171.0</v>
      </c>
      <c r="T2764" s="103"/>
      <c r="U2764" s="97" t="s">
        <v>31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1">
        <v>2759.0</v>
      </c>
      <c r="B2765" s="180" t="s">
        <v>4740</v>
      </c>
      <c r="C2765" s="82" t="str">
        <f>VLOOKUP($B$7:$B$5000,SUM!$L$6:$L$500,1,FALSE)</f>
        <v>#N/A</v>
      </c>
      <c r="D2765" s="171" t="s">
        <v>4604</v>
      </c>
      <c r="E2765" s="165" t="s">
        <v>58</v>
      </c>
      <c r="F2765" s="81" t="s">
        <v>4430</v>
      </c>
      <c r="G2765" s="125" t="s">
        <v>4608</v>
      </c>
      <c r="H2765" s="81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77">
        <v>46162.0</v>
      </c>
      <c r="O2765" s="103" t="s">
        <v>67</v>
      </c>
      <c r="P2765" s="103" t="s">
        <v>68</v>
      </c>
      <c r="Q2765" s="157">
        <v>46170.0</v>
      </c>
      <c r="R2765" s="90" t="s">
        <v>66</v>
      </c>
      <c r="S2765" s="152">
        <v>46171.0</v>
      </c>
      <c r="T2765" s="103"/>
      <c r="U2765" s="97" t="s">
        <v>31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1">
        <v>2760.0</v>
      </c>
      <c r="B2766" s="180" t="s">
        <v>4741</v>
      </c>
      <c r="C2766" s="82" t="str">
        <f>VLOOKUP($B$7:$B$5000,SUM!$L$6:$L$500,1,FALSE)</f>
        <v>#N/A</v>
      </c>
      <c r="D2766" s="171" t="s">
        <v>4604</v>
      </c>
      <c r="E2766" s="165" t="s">
        <v>58</v>
      </c>
      <c r="F2766" s="81" t="s">
        <v>4430</v>
      </c>
      <c r="G2766" s="125" t="s">
        <v>4608</v>
      </c>
      <c r="H2766" s="81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77">
        <v>46162.0</v>
      </c>
      <c r="O2766" s="103" t="s">
        <v>67</v>
      </c>
      <c r="P2766" s="103" t="s">
        <v>68</v>
      </c>
      <c r="Q2766" s="157">
        <v>46170.0</v>
      </c>
      <c r="R2766" s="90" t="s">
        <v>66</v>
      </c>
      <c r="S2766" s="152">
        <v>46171.0</v>
      </c>
      <c r="T2766" s="103"/>
      <c r="U2766" s="97" t="s">
        <v>31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1">
        <v>2761.0</v>
      </c>
      <c r="B2767" s="180" t="s">
        <v>4742</v>
      </c>
      <c r="C2767" s="82" t="str">
        <f>VLOOKUP($B$7:$B$5000,SUM!$L$6:$L$500,1,FALSE)</f>
        <v>#N/A</v>
      </c>
      <c r="D2767" s="171" t="s">
        <v>4604</v>
      </c>
      <c r="E2767" s="165" t="s">
        <v>58</v>
      </c>
      <c r="F2767" s="81" t="s">
        <v>4430</v>
      </c>
      <c r="G2767" s="125" t="s">
        <v>4608</v>
      </c>
      <c r="H2767" s="81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77">
        <v>46162.0</v>
      </c>
      <c r="O2767" s="103" t="s">
        <v>67</v>
      </c>
      <c r="P2767" s="103" t="s">
        <v>68</v>
      </c>
      <c r="Q2767" s="157">
        <v>46170.0</v>
      </c>
      <c r="R2767" s="90" t="s">
        <v>66</v>
      </c>
      <c r="S2767" s="152">
        <v>46171.0</v>
      </c>
      <c r="T2767" s="103"/>
      <c r="U2767" s="97" t="s">
        <v>31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1">
        <v>2762.0</v>
      </c>
      <c r="B2768" s="180" t="s">
        <v>4743</v>
      </c>
      <c r="C2768" s="82" t="str">
        <f>VLOOKUP($B$7:$B$5000,SUM!$L$6:$L$500,1,FALSE)</f>
        <v>#N/A</v>
      </c>
      <c r="D2768" s="171" t="s">
        <v>4604</v>
      </c>
      <c r="E2768" s="165" t="s">
        <v>58</v>
      </c>
      <c r="F2768" s="81" t="s">
        <v>4430</v>
      </c>
      <c r="G2768" s="125" t="s">
        <v>4608</v>
      </c>
      <c r="H2768" s="81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77">
        <v>46162.0</v>
      </c>
      <c r="O2768" s="103" t="s">
        <v>67</v>
      </c>
      <c r="P2768" s="103" t="s">
        <v>68</v>
      </c>
      <c r="Q2768" s="157">
        <v>46170.0</v>
      </c>
      <c r="R2768" s="90" t="s">
        <v>66</v>
      </c>
      <c r="S2768" s="152">
        <v>46171.0</v>
      </c>
      <c r="T2768" s="103"/>
      <c r="U2768" s="97" t="s">
        <v>31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1">
        <v>2763.0</v>
      </c>
      <c r="B2769" s="180" t="s">
        <v>4744</v>
      </c>
      <c r="C2769" s="82" t="str">
        <f>VLOOKUP($B$7:$B$5000,SUM!$L$6:$L$500,1,FALSE)</f>
        <v>#N/A</v>
      </c>
      <c r="D2769" s="171" t="s">
        <v>4604</v>
      </c>
      <c r="E2769" s="165" t="s">
        <v>58</v>
      </c>
      <c r="F2769" s="81" t="s">
        <v>4430</v>
      </c>
      <c r="G2769" s="125" t="s">
        <v>4608</v>
      </c>
      <c r="H2769" s="81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77">
        <v>46162.0</v>
      </c>
      <c r="O2769" s="103" t="s">
        <v>67</v>
      </c>
      <c r="P2769" s="103" t="s">
        <v>68</v>
      </c>
      <c r="Q2769" s="159">
        <v>46171.0</v>
      </c>
      <c r="R2769" s="148" t="s">
        <v>66</v>
      </c>
      <c r="S2769" s="152">
        <v>46173.0</v>
      </c>
      <c r="T2769" s="103"/>
      <c r="U2769" s="97" t="s">
        <v>31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1">
        <v>2764.0</v>
      </c>
      <c r="B2770" s="180" t="s">
        <v>4745</v>
      </c>
      <c r="C2770" s="82" t="str">
        <f>VLOOKUP($B$7:$B$5000,SUM!$L$6:$L$500,1,FALSE)</f>
        <v>#N/A</v>
      </c>
      <c r="D2770" s="171" t="s">
        <v>4604</v>
      </c>
      <c r="E2770" s="165" t="s">
        <v>58</v>
      </c>
      <c r="F2770" s="81" t="s">
        <v>4430</v>
      </c>
      <c r="G2770" s="125" t="s">
        <v>4608</v>
      </c>
      <c r="H2770" s="81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77">
        <v>46162.0</v>
      </c>
      <c r="O2770" s="103" t="s">
        <v>67</v>
      </c>
      <c r="P2770" s="103" t="s">
        <v>68</v>
      </c>
      <c r="Q2770" s="157">
        <v>46170.0</v>
      </c>
      <c r="R2770" s="90" t="s">
        <v>66</v>
      </c>
      <c r="S2770" s="152">
        <v>46171.0</v>
      </c>
      <c r="T2770" s="103"/>
      <c r="U2770" s="97" t="s">
        <v>31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1">
        <v>2765.0</v>
      </c>
      <c r="B2771" s="180" t="s">
        <v>4746</v>
      </c>
      <c r="C2771" s="82" t="str">
        <f>VLOOKUP($B$7:$B$5000,SUM!$L$6:$L$500,1,FALSE)</f>
        <v>#N/A</v>
      </c>
      <c r="D2771" s="171" t="s">
        <v>4604</v>
      </c>
      <c r="E2771" s="165" t="s">
        <v>58</v>
      </c>
      <c r="F2771" s="81" t="s">
        <v>4430</v>
      </c>
      <c r="G2771" s="125" t="s">
        <v>4608</v>
      </c>
      <c r="H2771" s="81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77">
        <v>46162.0</v>
      </c>
      <c r="O2771" s="103" t="s">
        <v>67</v>
      </c>
      <c r="P2771" s="103" t="s">
        <v>68</v>
      </c>
      <c r="Q2771" s="157">
        <v>46170.0</v>
      </c>
      <c r="R2771" s="90" t="s">
        <v>66</v>
      </c>
      <c r="S2771" s="152">
        <v>46171.0</v>
      </c>
      <c r="T2771" s="103"/>
      <c r="U2771" s="97" t="s">
        <v>31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1">
        <v>2766.0</v>
      </c>
      <c r="B2772" s="180" t="s">
        <v>4747</v>
      </c>
      <c r="C2772" s="82" t="str">
        <f>VLOOKUP($B$7:$B$5000,SUM!$L$6:$L$500,1,FALSE)</f>
        <v>#N/A</v>
      </c>
      <c r="D2772" s="171" t="s">
        <v>4748</v>
      </c>
      <c r="E2772" s="165" t="s">
        <v>58</v>
      </c>
      <c r="F2772" s="81" t="s">
        <v>4749</v>
      </c>
      <c r="G2772" s="125" t="s">
        <v>4627</v>
      </c>
      <c r="H2772" s="180" t="s">
        <v>4750</v>
      </c>
      <c r="I2772" s="87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77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1">
        <v>2767.0</v>
      </c>
      <c r="B2773" s="180" t="s">
        <v>4752</v>
      </c>
      <c r="C2773" s="82" t="str">
        <f>VLOOKUP($B$7:$B$5000,SUM!$L$6:$L$500,1,FALSE)</f>
        <v>#N/A</v>
      </c>
      <c r="D2773" s="171" t="s">
        <v>4748</v>
      </c>
      <c r="E2773" s="165" t="s">
        <v>58</v>
      </c>
      <c r="F2773" s="81" t="s">
        <v>4749</v>
      </c>
      <c r="G2773" s="125" t="s">
        <v>4627</v>
      </c>
      <c r="H2773" s="81" t="s">
        <v>4753</v>
      </c>
      <c r="I2773" s="87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77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1">
        <v>2768.0</v>
      </c>
      <c r="B2774" s="180" t="s">
        <v>4754</v>
      </c>
      <c r="C2774" s="82" t="str">
        <f>VLOOKUP($B$7:$B$5000,SUM!$L$6:$L$500,1,FALSE)</f>
        <v>#N/A</v>
      </c>
      <c r="D2774" s="171" t="s">
        <v>4748</v>
      </c>
      <c r="E2774" s="165" t="s">
        <v>58</v>
      </c>
      <c r="F2774" s="81" t="s">
        <v>4749</v>
      </c>
      <c r="G2774" s="125" t="s">
        <v>4627</v>
      </c>
      <c r="H2774" s="81" t="s">
        <v>4755</v>
      </c>
      <c r="I2774" s="87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77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1">
        <v>2769.0</v>
      </c>
      <c r="B2775" s="180" t="s">
        <v>4756</v>
      </c>
      <c r="C2775" s="82" t="str">
        <f>VLOOKUP($B$7:$B$5000,SUM!$L$6:$L$500,1,FALSE)</f>
        <v>#N/A</v>
      </c>
      <c r="D2775" s="171" t="s">
        <v>4748</v>
      </c>
      <c r="E2775" s="165" t="s">
        <v>58</v>
      </c>
      <c r="F2775" s="81" t="s">
        <v>4749</v>
      </c>
      <c r="G2775" s="125" t="s">
        <v>4608</v>
      </c>
      <c r="H2775" s="81" t="s">
        <v>4757</v>
      </c>
      <c r="I2775" s="87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77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1">
        <v>2770.0</v>
      </c>
      <c r="B2776" s="180" t="s">
        <v>4758</v>
      </c>
      <c r="C2776" s="82" t="str">
        <f>VLOOKUP($B$7:$B$5000,SUM!$L$6:$L$500,1,FALSE)</f>
        <v>#N/A</v>
      </c>
      <c r="D2776" s="171" t="s">
        <v>4748</v>
      </c>
      <c r="E2776" s="165" t="s">
        <v>58</v>
      </c>
      <c r="F2776" s="81" t="s">
        <v>4749</v>
      </c>
      <c r="G2776" s="125" t="s">
        <v>4608</v>
      </c>
      <c r="H2776" s="81" t="s">
        <v>4759</v>
      </c>
      <c r="I2776" s="87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77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1">
        <v>2771.0</v>
      </c>
      <c r="B2777" s="180" t="s">
        <v>4760</v>
      </c>
      <c r="C2777" s="82" t="str">
        <f>VLOOKUP($B$7:$B$5000,SUM!$L$6:$L$500,1,FALSE)</f>
        <v>#N/A</v>
      </c>
      <c r="D2777" s="171" t="s">
        <v>4748</v>
      </c>
      <c r="E2777" s="165" t="s">
        <v>58</v>
      </c>
      <c r="F2777" s="81" t="s">
        <v>4749</v>
      </c>
      <c r="G2777" s="125" t="s">
        <v>4608</v>
      </c>
      <c r="H2777" s="81" t="s">
        <v>4761</v>
      </c>
      <c r="I2777" s="87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77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1">
        <v>2772.0</v>
      </c>
      <c r="B2778" s="180" t="s">
        <v>4762</v>
      </c>
      <c r="C2778" s="82" t="str">
        <f>VLOOKUP($B$7:$B$5000,SUM!$L$6:$L$500,1,FALSE)</f>
        <v>#N/A</v>
      </c>
      <c r="D2778" s="171" t="s">
        <v>4748</v>
      </c>
      <c r="E2778" s="165" t="s">
        <v>58</v>
      </c>
      <c r="F2778" s="81" t="s">
        <v>4749</v>
      </c>
      <c r="G2778" s="125" t="s">
        <v>4608</v>
      </c>
      <c r="H2778" s="81" t="s">
        <v>4763</v>
      </c>
      <c r="I2778" s="87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77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28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1">
        <v>2773.0</v>
      </c>
      <c r="B2779" s="180" t="s">
        <v>4764</v>
      </c>
      <c r="C2779" s="82" t="str">
        <f>VLOOKUP($B$7:$B$5000,SUM!$L$6:$L$500,1,FALSE)</f>
        <v>#N/A</v>
      </c>
      <c r="D2779" s="171" t="s">
        <v>4748</v>
      </c>
      <c r="E2779" s="165" t="s">
        <v>58</v>
      </c>
      <c r="F2779" s="81" t="s">
        <v>4749</v>
      </c>
      <c r="G2779" s="125" t="s">
        <v>4608</v>
      </c>
      <c r="H2779" s="81" t="s">
        <v>4765</v>
      </c>
      <c r="I2779" s="87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77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28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1">
        <v>2774.0</v>
      </c>
      <c r="B2780" s="180" t="s">
        <v>4766</v>
      </c>
      <c r="C2780" s="82" t="str">
        <f>VLOOKUP($B$7:$B$5000,SUM!$L$6:$L$500,1,FALSE)</f>
        <v>#N/A</v>
      </c>
      <c r="D2780" s="171" t="s">
        <v>4748</v>
      </c>
      <c r="E2780" s="165" t="s">
        <v>58</v>
      </c>
      <c r="F2780" s="81" t="s">
        <v>4749</v>
      </c>
      <c r="G2780" s="125" t="s">
        <v>4608</v>
      </c>
      <c r="H2780" s="81" t="s">
        <v>4767</v>
      </c>
      <c r="I2780" s="87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77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28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1">
        <v>2775.0</v>
      </c>
      <c r="B2781" s="180" t="s">
        <v>4768</v>
      </c>
      <c r="C2781" s="82" t="str">
        <f>VLOOKUP($B$7:$B$5000,SUM!$L$6:$L$500,1,FALSE)</f>
        <v>#N/A</v>
      </c>
      <c r="D2781" s="171" t="s">
        <v>4748</v>
      </c>
      <c r="E2781" s="165" t="s">
        <v>58</v>
      </c>
      <c r="F2781" s="81" t="s">
        <v>4749</v>
      </c>
      <c r="G2781" s="125" t="s">
        <v>4627</v>
      </c>
      <c r="H2781" s="180" t="s">
        <v>4750</v>
      </c>
      <c r="I2781" s="87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77">
        <v>46165.0</v>
      </c>
      <c r="O2781" s="103" t="s">
        <v>67</v>
      </c>
      <c r="P2781" s="103" t="s">
        <v>68</v>
      </c>
      <c r="Q2781" s="151">
        <v>46172.0</v>
      </c>
      <c r="R2781" s="107" t="s">
        <v>66</v>
      </c>
      <c r="S2781" s="107" t="s">
        <v>227</v>
      </c>
      <c r="T2781" s="108"/>
      <c r="U2781" s="107" t="s">
        <v>31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1">
        <v>2776.0</v>
      </c>
      <c r="B2782" s="180" t="s">
        <v>4770</v>
      </c>
      <c r="C2782" s="82" t="str">
        <f>VLOOKUP($B$7:$B$5000,SUM!$L$6:$L$500,1,FALSE)</f>
        <v>#N/A</v>
      </c>
      <c r="D2782" s="171" t="s">
        <v>4748</v>
      </c>
      <c r="E2782" s="165" t="s">
        <v>58</v>
      </c>
      <c r="F2782" s="81" t="s">
        <v>4749</v>
      </c>
      <c r="G2782" s="125" t="s">
        <v>4627</v>
      </c>
      <c r="H2782" s="81" t="s">
        <v>4753</v>
      </c>
      <c r="I2782" s="87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77">
        <v>46165.0</v>
      </c>
      <c r="O2782" s="103" t="s">
        <v>67</v>
      </c>
      <c r="P2782" s="103" t="s">
        <v>68</v>
      </c>
      <c r="Q2782" s="151">
        <v>46172.0</v>
      </c>
      <c r="R2782" s="107" t="s">
        <v>66</v>
      </c>
      <c r="S2782" s="107" t="s">
        <v>227</v>
      </c>
      <c r="T2782" s="108"/>
      <c r="U2782" s="107" t="s">
        <v>31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1">
        <v>2777.0</v>
      </c>
      <c r="B2783" s="180" t="s">
        <v>4771</v>
      </c>
      <c r="C2783" s="82" t="str">
        <f>VLOOKUP($B$7:$B$5000,SUM!$L$6:$L$500,1,FALSE)</f>
        <v>#N/A</v>
      </c>
      <c r="D2783" s="171" t="s">
        <v>4748</v>
      </c>
      <c r="E2783" s="165" t="s">
        <v>58</v>
      </c>
      <c r="F2783" s="81" t="s">
        <v>4749</v>
      </c>
      <c r="G2783" s="125" t="s">
        <v>4627</v>
      </c>
      <c r="H2783" s="81" t="s">
        <v>4755</v>
      </c>
      <c r="I2783" s="87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77">
        <v>46165.0</v>
      </c>
      <c r="O2783" s="103" t="s">
        <v>67</v>
      </c>
      <c r="P2783" s="103" t="s">
        <v>68</v>
      </c>
      <c r="Q2783" s="151">
        <v>46172.0</v>
      </c>
      <c r="R2783" s="107" t="s">
        <v>66</v>
      </c>
      <c r="S2783" s="107" t="s">
        <v>227</v>
      </c>
      <c r="T2783" s="108"/>
      <c r="U2783" s="107" t="s">
        <v>31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1">
        <v>2778.0</v>
      </c>
      <c r="B2784" s="180" t="s">
        <v>4772</v>
      </c>
      <c r="C2784" s="82" t="str">
        <f>VLOOKUP($B$7:$B$5000,SUM!$L$6:$L$500,1,FALSE)</f>
        <v>#N/A</v>
      </c>
      <c r="D2784" s="171" t="s">
        <v>4748</v>
      </c>
      <c r="E2784" s="165" t="s">
        <v>58</v>
      </c>
      <c r="F2784" s="81" t="s">
        <v>4749</v>
      </c>
      <c r="G2784" s="125" t="s">
        <v>4627</v>
      </c>
      <c r="H2784" s="180" t="s">
        <v>4750</v>
      </c>
      <c r="I2784" s="87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77">
        <v>46165.0</v>
      </c>
      <c r="O2784" s="103" t="s">
        <v>67</v>
      </c>
      <c r="P2784" s="103" t="s">
        <v>68</v>
      </c>
      <c r="Q2784" s="151">
        <v>46172.0</v>
      </c>
      <c r="R2784" s="107" t="s">
        <v>66</v>
      </c>
      <c r="S2784" s="107" t="s">
        <v>227</v>
      </c>
      <c r="T2784" s="108"/>
      <c r="U2784" s="107" t="s">
        <v>31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1">
        <v>2779.0</v>
      </c>
      <c r="B2785" s="180" t="s">
        <v>4774</v>
      </c>
      <c r="C2785" s="82" t="str">
        <f>VLOOKUP($B$7:$B$5000,SUM!$L$6:$L$500,1,FALSE)</f>
        <v>#N/A</v>
      </c>
      <c r="D2785" s="171" t="s">
        <v>4748</v>
      </c>
      <c r="E2785" s="165" t="s">
        <v>58</v>
      </c>
      <c r="F2785" s="81" t="s">
        <v>4749</v>
      </c>
      <c r="G2785" s="125" t="s">
        <v>4627</v>
      </c>
      <c r="H2785" s="81" t="s">
        <v>4753</v>
      </c>
      <c r="I2785" s="87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77">
        <v>46165.0</v>
      </c>
      <c r="O2785" s="103" t="s">
        <v>67</v>
      </c>
      <c r="P2785" s="103" t="s">
        <v>68</v>
      </c>
      <c r="Q2785" s="151">
        <v>46172.0</v>
      </c>
      <c r="R2785" s="107" t="s">
        <v>66</v>
      </c>
      <c r="S2785" s="107" t="s">
        <v>227</v>
      </c>
      <c r="T2785" s="108"/>
      <c r="U2785" s="107" t="s">
        <v>31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1">
        <v>2780.0</v>
      </c>
      <c r="B2786" s="180" t="s">
        <v>4775</v>
      </c>
      <c r="C2786" s="82" t="str">
        <f>VLOOKUP($B$7:$B$5000,SUM!$L$6:$L$500,1,FALSE)</f>
        <v>#N/A</v>
      </c>
      <c r="D2786" s="171" t="s">
        <v>4748</v>
      </c>
      <c r="E2786" s="165" t="s">
        <v>58</v>
      </c>
      <c r="F2786" s="81" t="s">
        <v>4749</v>
      </c>
      <c r="G2786" s="125" t="s">
        <v>4627</v>
      </c>
      <c r="H2786" s="81" t="s">
        <v>4755</v>
      </c>
      <c r="I2786" s="87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77">
        <v>46165.0</v>
      </c>
      <c r="O2786" s="103" t="s">
        <v>67</v>
      </c>
      <c r="P2786" s="103" t="s">
        <v>68</v>
      </c>
      <c r="Q2786" s="151">
        <v>46172.0</v>
      </c>
      <c r="R2786" s="107" t="s">
        <v>66</v>
      </c>
      <c r="S2786" s="107" t="s">
        <v>227</v>
      </c>
      <c r="T2786" s="108"/>
      <c r="U2786" s="107" t="s">
        <v>31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1">
        <v>2781.0</v>
      </c>
      <c r="B2787" s="180" t="s">
        <v>4776</v>
      </c>
      <c r="C2787" s="82" t="str">
        <f>VLOOKUP($B$7:$B$5000,SUM!$L$6:$L$500,1,FALSE)</f>
        <v>#N/A</v>
      </c>
      <c r="D2787" s="171" t="s">
        <v>4777</v>
      </c>
      <c r="E2787" s="165" t="s">
        <v>58</v>
      </c>
      <c r="F2787" s="81" t="s">
        <v>105</v>
      </c>
      <c r="G2787" s="125" t="s">
        <v>4778</v>
      </c>
      <c r="H2787" s="81" t="s">
        <v>4779</v>
      </c>
      <c r="I2787" s="149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77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1">
        <v>2782.0</v>
      </c>
      <c r="B2788" s="180" t="s">
        <v>4781</v>
      </c>
      <c r="C2788" s="82" t="str">
        <f>VLOOKUP($B$7:$B$5000,SUM!$L$6:$L$500,1,FALSE)</f>
        <v>#N/A</v>
      </c>
      <c r="D2788" s="171" t="s">
        <v>4777</v>
      </c>
      <c r="E2788" s="165" t="s">
        <v>58</v>
      </c>
      <c r="F2788" s="81" t="s">
        <v>105</v>
      </c>
      <c r="G2788" s="125" t="s">
        <v>4778</v>
      </c>
      <c r="H2788" s="81" t="s">
        <v>4779</v>
      </c>
      <c r="I2788" s="149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77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1">
        <v>2783.0</v>
      </c>
      <c r="B2789" s="180" t="s">
        <v>4783</v>
      </c>
      <c r="C2789" s="82" t="str">
        <f>VLOOKUP($B$7:$B$5000,SUM!$L$6:$L$500,1,FALSE)</f>
        <v>#N/A</v>
      </c>
      <c r="D2789" s="171" t="s">
        <v>4777</v>
      </c>
      <c r="E2789" s="165" t="s">
        <v>58</v>
      </c>
      <c r="F2789" s="81" t="s">
        <v>105</v>
      </c>
      <c r="G2789" s="125" t="s">
        <v>4778</v>
      </c>
      <c r="H2789" s="81" t="s">
        <v>4779</v>
      </c>
      <c r="I2789" s="149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77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1">
        <v>2784.0</v>
      </c>
      <c r="B2790" s="180" t="s">
        <v>4785</v>
      </c>
      <c r="C2790" s="82" t="str">
        <f>VLOOKUP($B$7:$B$5000,SUM!$L$6:$L$500,1,FALSE)</f>
        <v>#N/A</v>
      </c>
      <c r="D2790" s="171" t="s">
        <v>4777</v>
      </c>
      <c r="E2790" s="165" t="s">
        <v>58</v>
      </c>
      <c r="F2790" s="81" t="s">
        <v>105</v>
      </c>
      <c r="G2790" s="125" t="s">
        <v>4778</v>
      </c>
      <c r="H2790" s="81" t="s">
        <v>4786</v>
      </c>
      <c r="I2790" s="149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77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31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1">
        <v>2785.0</v>
      </c>
      <c r="B2791" s="180" t="s">
        <v>4787</v>
      </c>
      <c r="C2791" s="82" t="str">
        <f>VLOOKUP($B$7:$B$5000,SUM!$L$6:$L$500,1,FALSE)</f>
        <v>#N/A</v>
      </c>
      <c r="D2791" s="171" t="s">
        <v>4777</v>
      </c>
      <c r="E2791" s="165" t="s">
        <v>58</v>
      </c>
      <c r="F2791" s="81" t="s">
        <v>105</v>
      </c>
      <c r="G2791" s="125" t="s">
        <v>4778</v>
      </c>
      <c r="H2791" s="81" t="s">
        <v>4786</v>
      </c>
      <c r="I2791" s="149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77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1">
        <v>2786.0</v>
      </c>
      <c r="B2792" s="180" t="s">
        <v>4788</v>
      </c>
      <c r="C2792" s="82" t="str">
        <f>VLOOKUP($B$7:$B$5000,SUM!$L$6:$L$500,1,FALSE)</f>
        <v>#N/A</v>
      </c>
      <c r="D2792" s="171" t="s">
        <v>4777</v>
      </c>
      <c r="E2792" s="165" t="s">
        <v>58</v>
      </c>
      <c r="F2792" s="81" t="s">
        <v>105</v>
      </c>
      <c r="G2792" s="125" t="s">
        <v>4778</v>
      </c>
      <c r="H2792" s="81" t="s">
        <v>4786</v>
      </c>
      <c r="I2792" s="149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77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1">
        <v>2787.0</v>
      </c>
      <c r="B2793" s="180" t="s">
        <v>4789</v>
      </c>
      <c r="C2793" s="82" t="str">
        <f>VLOOKUP($B$7:$B$5000,SUM!$L$6:$L$500,1,FALSE)</f>
        <v>#N/A</v>
      </c>
      <c r="D2793" s="171" t="s">
        <v>4777</v>
      </c>
      <c r="E2793" s="165" t="s">
        <v>58</v>
      </c>
      <c r="F2793" s="81" t="s">
        <v>105</v>
      </c>
      <c r="G2793" s="125" t="s">
        <v>4790</v>
      </c>
      <c r="H2793" s="81" t="s">
        <v>4791</v>
      </c>
      <c r="I2793" s="149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77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31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1">
        <v>2788.0</v>
      </c>
      <c r="B2794" s="180" t="s">
        <v>4793</v>
      </c>
      <c r="C2794" s="82" t="str">
        <f>VLOOKUP($B$7:$B$5000,SUM!$L$6:$L$500,1,FALSE)</f>
        <v>#N/A</v>
      </c>
      <c r="D2794" s="171" t="s">
        <v>4777</v>
      </c>
      <c r="E2794" s="165" t="s">
        <v>58</v>
      </c>
      <c r="F2794" s="81" t="s">
        <v>105</v>
      </c>
      <c r="G2794" s="125" t="s">
        <v>4790</v>
      </c>
      <c r="H2794" s="81" t="s">
        <v>4791</v>
      </c>
      <c r="I2794" s="149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77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1">
        <v>2789.0</v>
      </c>
      <c r="B2795" s="180" t="s">
        <v>4795</v>
      </c>
      <c r="C2795" s="82" t="str">
        <f>VLOOKUP($B$7:$B$5000,SUM!$L$6:$L$500,1,FALSE)</f>
        <v>#N/A</v>
      </c>
      <c r="D2795" s="171" t="s">
        <v>4777</v>
      </c>
      <c r="E2795" s="165" t="s">
        <v>58</v>
      </c>
      <c r="F2795" s="81" t="s">
        <v>105</v>
      </c>
      <c r="G2795" s="125" t="s">
        <v>4790</v>
      </c>
      <c r="H2795" s="81" t="s">
        <v>4791</v>
      </c>
      <c r="I2795" s="149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77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1">
        <v>2790.0</v>
      </c>
      <c r="B2796" s="180" t="s">
        <v>4797</v>
      </c>
      <c r="C2796" s="82" t="str">
        <f>VLOOKUP($B$7:$B$5000,SUM!$L$6:$L$500,1,FALSE)</f>
        <v>#N/A</v>
      </c>
      <c r="D2796" s="171" t="s">
        <v>4777</v>
      </c>
      <c r="E2796" s="165" t="s">
        <v>58</v>
      </c>
      <c r="F2796" s="81" t="s">
        <v>105</v>
      </c>
      <c r="G2796" s="125" t="s">
        <v>4790</v>
      </c>
      <c r="H2796" s="81" t="s">
        <v>4798</v>
      </c>
      <c r="I2796" s="149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77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31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1">
        <v>2791.0</v>
      </c>
      <c r="B2797" s="180" t="s">
        <v>4799</v>
      </c>
      <c r="C2797" s="82" t="str">
        <f>VLOOKUP($B$7:$B$5000,SUM!$L$6:$L$500,1,FALSE)</f>
        <v>#N/A</v>
      </c>
      <c r="D2797" s="171" t="s">
        <v>4777</v>
      </c>
      <c r="E2797" s="165" t="s">
        <v>58</v>
      </c>
      <c r="F2797" s="81" t="s">
        <v>105</v>
      </c>
      <c r="G2797" s="125" t="s">
        <v>4790</v>
      </c>
      <c r="H2797" s="81" t="s">
        <v>4798</v>
      </c>
      <c r="I2797" s="149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77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1">
        <v>2792.0</v>
      </c>
      <c r="B2798" s="180" t="s">
        <v>4800</v>
      </c>
      <c r="C2798" s="82" t="str">
        <f>VLOOKUP($B$7:$B$5000,SUM!$L$6:$L$500,1,FALSE)</f>
        <v>#N/A</v>
      </c>
      <c r="D2798" s="171" t="s">
        <v>4777</v>
      </c>
      <c r="E2798" s="165" t="s">
        <v>58</v>
      </c>
      <c r="F2798" s="81" t="s">
        <v>105</v>
      </c>
      <c r="G2798" s="125" t="s">
        <v>4790</v>
      </c>
      <c r="H2798" s="81" t="s">
        <v>4798</v>
      </c>
      <c r="I2798" s="149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77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1">
        <v>2793.0</v>
      </c>
      <c r="B2799" s="180" t="s">
        <v>4801</v>
      </c>
      <c r="C2799" s="82" t="str">
        <f>VLOOKUP($B$7:$B$5000,SUM!$L$6:$L$500,1,FALSE)</f>
        <v>#N/A</v>
      </c>
      <c r="D2799" s="171" t="s">
        <v>4777</v>
      </c>
      <c r="E2799" s="165" t="s">
        <v>58</v>
      </c>
      <c r="F2799" s="81" t="s">
        <v>105</v>
      </c>
      <c r="G2799" s="125" t="s">
        <v>4802</v>
      </c>
      <c r="H2799" s="81" t="s">
        <v>4803</v>
      </c>
      <c r="I2799" s="149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77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1">
        <v>2794.0</v>
      </c>
      <c r="B2800" s="180" t="s">
        <v>4805</v>
      </c>
      <c r="C2800" s="82" t="str">
        <f>VLOOKUP($B$7:$B$5000,SUM!$L$6:$L$500,1,FALSE)</f>
        <v>#N/A</v>
      </c>
      <c r="D2800" s="171" t="s">
        <v>4777</v>
      </c>
      <c r="E2800" s="165" t="s">
        <v>58</v>
      </c>
      <c r="F2800" s="81" t="s">
        <v>105</v>
      </c>
      <c r="G2800" s="125" t="s">
        <v>4802</v>
      </c>
      <c r="H2800" s="81" t="s">
        <v>4803</v>
      </c>
      <c r="I2800" s="149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77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1">
        <v>2795.0</v>
      </c>
      <c r="B2801" s="180" t="s">
        <v>4807</v>
      </c>
      <c r="C2801" s="82" t="str">
        <f>VLOOKUP($B$7:$B$5000,SUM!$L$6:$L$500,1,FALSE)</f>
        <v>#N/A</v>
      </c>
      <c r="D2801" s="171" t="s">
        <v>4777</v>
      </c>
      <c r="E2801" s="165" t="s">
        <v>58</v>
      </c>
      <c r="F2801" s="81" t="s">
        <v>105</v>
      </c>
      <c r="G2801" s="125" t="s">
        <v>4802</v>
      </c>
      <c r="H2801" s="81" t="s">
        <v>4803</v>
      </c>
      <c r="I2801" s="149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77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1">
        <v>2796.0</v>
      </c>
      <c r="B2802" s="180" t="s">
        <v>4809</v>
      </c>
      <c r="C2802" s="82" t="str">
        <f>VLOOKUP($B$7:$B$5000,SUM!$L$6:$L$500,1,FALSE)</f>
        <v>#N/A</v>
      </c>
      <c r="D2802" s="171" t="s">
        <v>4810</v>
      </c>
      <c r="E2802" s="165" t="s">
        <v>58</v>
      </c>
      <c r="F2802" s="81" t="s">
        <v>4430</v>
      </c>
      <c r="G2802" s="125" t="s">
        <v>3016</v>
      </c>
      <c r="H2802" s="81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77">
        <v>46166.0</v>
      </c>
      <c r="O2802" s="103" t="s">
        <v>67</v>
      </c>
      <c r="P2802" s="103" t="s">
        <v>68</v>
      </c>
      <c r="Q2802" s="151">
        <v>46172.0</v>
      </c>
      <c r="R2802" s="107" t="s">
        <v>66</v>
      </c>
      <c r="S2802" s="107" t="s">
        <v>227</v>
      </c>
      <c r="T2802" s="108"/>
      <c r="U2802" s="107" t="s">
        <v>31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1">
        <v>2797.0</v>
      </c>
      <c r="B2803" s="180" t="s">
        <v>4812</v>
      </c>
      <c r="C2803" s="82" t="str">
        <f>VLOOKUP($B$7:$B$5000,SUM!$L$6:$L$500,1,FALSE)</f>
        <v>#N/A</v>
      </c>
      <c r="D2803" s="171" t="s">
        <v>4810</v>
      </c>
      <c r="E2803" s="165" t="s">
        <v>58</v>
      </c>
      <c r="F2803" s="81" t="s">
        <v>4430</v>
      </c>
      <c r="G2803" s="125" t="s">
        <v>3016</v>
      </c>
      <c r="H2803" s="81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77">
        <v>46166.0</v>
      </c>
      <c r="O2803" s="103" t="s">
        <v>67</v>
      </c>
      <c r="P2803" s="103" t="s">
        <v>68</v>
      </c>
      <c r="Q2803" s="151">
        <v>46172.0</v>
      </c>
      <c r="R2803" s="107" t="s">
        <v>66</v>
      </c>
      <c r="S2803" s="107" t="s">
        <v>227</v>
      </c>
      <c r="T2803" s="108"/>
      <c r="U2803" s="107" t="s">
        <v>31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1">
        <v>2798.0</v>
      </c>
      <c r="B2804" s="180" t="s">
        <v>4814</v>
      </c>
      <c r="C2804" s="82" t="str">
        <f>VLOOKUP($B$7:$B$5000,SUM!$L$6:$L$500,1,FALSE)</f>
        <v>#N/A</v>
      </c>
      <c r="D2804" s="171" t="s">
        <v>4810</v>
      </c>
      <c r="E2804" s="165" t="s">
        <v>58</v>
      </c>
      <c r="F2804" s="81" t="s">
        <v>4430</v>
      </c>
      <c r="G2804" s="125" t="s">
        <v>3016</v>
      </c>
      <c r="H2804" s="81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77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1">
        <v>2799.0</v>
      </c>
      <c r="B2805" s="180" t="s">
        <v>4816</v>
      </c>
      <c r="C2805" s="82" t="str">
        <f>VLOOKUP($B$7:$B$5000,SUM!$L$6:$L$500,1,FALSE)</f>
        <v>#N/A</v>
      </c>
      <c r="D2805" s="171" t="s">
        <v>4810</v>
      </c>
      <c r="E2805" s="165" t="s">
        <v>58</v>
      </c>
      <c r="F2805" s="81" t="s">
        <v>4430</v>
      </c>
      <c r="G2805" s="125" t="s">
        <v>3016</v>
      </c>
      <c r="H2805" s="81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77">
        <v>46166.0</v>
      </c>
      <c r="O2805" s="103" t="s">
        <v>67</v>
      </c>
      <c r="P2805" s="103" t="s">
        <v>68</v>
      </c>
      <c r="Q2805" s="151">
        <v>46172.0</v>
      </c>
      <c r="R2805" s="107" t="s">
        <v>66</v>
      </c>
      <c r="S2805" s="107" t="s">
        <v>227</v>
      </c>
      <c r="T2805" s="108"/>
      <c r="U2805" s="107" t="s">
        <v>31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1">
        <v>2800.0</v>
      </c>
      <c r="B2806" s="180" t="s">
        <v>4818</v>
      </c>
      <c r="C2806" s="82" t="str">
        <f>VLOOKUP($B$7:$B$5000,SUM!$L$6:$L$500,1,FALSE)</f>
        <v>#N/A</v>
      </c>
      <c r="D2806" s="171" t="s">
        <v>4810</v>
      </c>
      <c r="E2806" s="165" t="s">
        <v>58</v>
      </c>
      <c r="F2806" s="81" t="s">
        <v>4430</v>
      </c>
      <c r="G2806" s="125" t="s">
        <v>3016</v>
      </c>
      <c r="H2806" s="81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77">
        <v>46166.0</v>
      </c>
      <c r="O2806" s="103" t="s">
        <v>67</v>
      </c>
      <c r="P2806" s="103" t="s">
        <v>68</v>
      </c>
      <c r="Q2806" s="151">
        <v>46172.0</v>
      </c>
      <c r="R2806" s="107" t="s">
        <v>66</v>
      </c>
      <c r="S2806" s="107" t="s">
        <v>227</v>
      </c>
      <c r="T2806" s="108"/>
      <c r="U2806" s="107" t="s">
        <v>31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1">
        <v>2801.0</v>
      </c>
      <c r="B2807" s="180" t="s">
        <v>4820</v>
      </c>
      <c r="C2807" s="82" t="str">
        <f>VLOOKUP($B$7:$B$5000,SUM!$L$6:$L$500,1,FALSE)</f>
        <v>#N/A</v>
      </c>
      <c r="D2807" s="171" t="s">
        <v>4810</v>
      </c>
      <c r="E2807" s="165" t="s">
        <v>58</v>
      </c>
      <c r="F2807" s="81" t="s">
        <v>4430</v>
      </c>
      <c r="G2807" s="125" t="s">
        <v>3016</v>
      </c>
      <c r="H2807" s="81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77">
        <v>46166.0</v>
      </c>
      <c r="O2807" s="103" t="s">
        <v>67</v>
      </c>
      <c r="P2807" s="103" t="s">
        <v>68</v>
      </c>
      <c r="Q2807" s="151">
        <v>46172.0</v>
      </c>
      <c r="R2807" s="107" t="s">
        <v>66</v>
      </c>
      <c r="S2807" s="107" t="s">
        <v>227</v>
      </c>
      <c r="T2807" s="108"/>
      <c r="U2807" s="107" t="s">
        <v>31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1">
        <v>2802.0</v>
      </c>
      <c r="B2808" s="180" t="s">
        <v>4822</v>
      </c>
      <c r="C2808" s="82" t="str">
        <f>VLOOKUP($B$7:$B$5000,SUM!$L$6:$L$500,1,FALSE)</f>
        <v>#N/A</v>
      </c>
      <c r="D2808" s="171" t="s">
        <v>4810</v>
      </c>
      <c r="E2808" s="165" t="s">
        <v>58</v>
      </c>
      <c r="F2808" s="81" t="s">
        <v>4430</v>
      </c>
      <c r="G2808" s="125" t="s">
        <v>3016</v>
      </c>
      <c r="H2808" s="81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77">
        <v>46166.0</v>
      </c>
      <c r="O2808" s="103" t="s">
        <v>67</v>
      </c>
      <c r="P2808" s="103" t="s">
        <v>68</v>
      </c>
      <c r="Q2808" s="151">
        <v>46172.0</v>
      </c>
      <c r="R2808" s="107" t="s">
        <v>66</v>
      </c>
      <c r="S2808" s="107" t="s">
        <v>227</v>
      </c>
      <c r="T2808" s="108"/>
      <c r="U2808" s="107" t="s">
        <v>31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1">
        <v>2803.0</v>
      </c>
      <c r="B2809" s="180" t="s">
        <v>4824</v>
      </c>
      <c r="C2809" s="82" t="str">
        <f>VLOOKUP($B$7:$B$5000,SUM!$L$6:$L$500,1,FALSE)</f>
        <v>#N/A</v>
      </c>
      <c r="D2809" s="171" t="s">
        <v>4810</v>
      </c>
      <c r="E2809" s="165" t="s">
        <v>58</v>
      </c>
      <c r="F2809" s="81" t="s">
        <v>4430</v>
      </c>
      <c r="G2809" s="125" t="s">
        <v>3016</v>
      </c>
      <c r="H2809" s="81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77">
        <v>46166.0</v>
      </c>
      <c r="O2809" s="103" t="s">
        <v>67</v>
      </c>
      <c r="P2809" s="103" t="s">
        <v>68</v>
      </c>
      <c r="Q2809" s="157">
        <v>46170.0</v>
      </c>
      <c r="R2809" s="90" t="s">
        <v>66</v>
      </c>
      <c r="S2809" s="152">
        <v>46171.0</v>
      </c>
      <c r="T2809" s="103"/>
      <c r="U2809" s="97" t="s">
        <v>31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1">
        <v>2804.0</v>
      </c>
      <c r="B2810" s="180" t="s">
        <v>4826</v>
      </c>
      <c r="C2810" s="82" t="str">
        <f>VLOOKUP($B$7:$B$5000,SUM!$L$6:$L$500,1,FALSE)</f>
        <v>#N/A</v>
      </c>
      <c r="D2810" s="171" t="s">
        <v>4810</v>
      </c>
      <c r="E2810" s="165" t="s">
        <v>58</v>
      </c>
      <c r="F2810" s="81" t="s">
        <v>4430</v>
      </c>
      <c r="G2810" s="125" t="s">
        <v>3016</v>
      </c>
      <c r="H2810" s="81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77">
        <v>46166.0</v>
      </c>
      <c r="O2810" s="103" t="s">
        <v>67</v>
      </c>
      <c r="P2810" s="103" t="s">
        <v>68</v>
      </c>
      <c r="Q2810" s="157">
        <v>46170.0</v>
      </c>
      <c r="R2810" s="90" t="s">
        <v>66</v>
      </c>
      <c r="S2810" s="152">
        <v>46171.0</v>
      </c>
      <c r="T2810" s="103"/>
      <c r="U2810" s="97" t="s">
        <v>31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1">
        <v>2805.0</v>
      </c>
      <c r="B2811" s="180" t="s">
        <v>4828</v>
      </c>
      <c r="C2811" s="82" t="str">
        <f>VLOOKUP($B$7:$B$5000,SUM!$L$6:$L$500,1,FALSE)</f>
        <v>#N/A</v>
      </c>
      <c r="D2811" s="171" t="s">
        <v>4810</v>
      </c>
      <c r="E2811" s="165" t="s">
        <v>58</v>
      </c>
      <c r="F2811" s="81" t="s">
        <v>4430</v>
      </c>
      <c r="G2811" s="125" t="s">
        <v>3016</v>
      </c>
      <c r="H2811" s="81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77">
        <v>46166.0</v>
      </c>
      <c r="O2811" s="103" t="s">
        <v>67</v>
      </c>
      <c r="P2811" s="103" t="s">
        <v>68</v>
      </c>
      <c r="Q2811" s="151">
        <v>46172.0</v>
      </c>
      <c r="R2811" s="107" t="s">
        <v>66</v>
      </c>
      <c r="S2811" s="107" t="s">
        <v>227</v>
      </c>
      <c r="T2811" s="108"/>
      <c r="U2811" s="107" t="s">
        <v>31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1">
        <v>2806.0</v>
      </c>
      <c r="B2812" s="180" t="s">
        <v>4830</v>
      </c>
      <c r="C2812" s="82" t="str">
        <f>VLOOKUP($B$7:$B$5000,SUM!$L$6:$L$500,1,FALSE)</f>
        <v>#N/A</v>
      </c>
      <c r="D2812" s="171" t="s">
        <v>4810</v>
      </c>
      <c r="E2812" s="165" t="s">
        <v>58</v>
      </c>
      <c r="F2812" s="81" t="s">
        <v>4430</v>
      </c>
      <c r="G2812" s="125" t="s">
        <v>3016</v>
      </c>
      <c r="H2812" s="81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77">
        <v>46166.0</v>
      </c>
      <c r="O2812" s="103" t="s">
        <v>67</v>
      </c>
      <c r="P2812" s="103" t="s">
        <v>68</v>
      </c>
      <c r="Q2812" s="151">
        <v>46172.0</v>
      </c>
      <c r="R2812" s="107" t="s">
        <v>66</v>
      </c>
      <c r="S2812" s="107" t="s">
        <v>227</v>
      </c>
      <c r="T2812" s="108"/>
      <c r="U2812" s="107" t="s">
        <v>31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1">
        <v>2807.0</v>
      </c>
      <c r="B2813" s="180" t="s">
        <v>4832</v>
      </c>
      <c r="C2813" s="82" t="str">
        <f>VLOOKUP($B$7:$B$5000,SUM!$L$6:$L$500,1,FALSE)</f>
        <v>#N/A</v>
      </c>
      <c r="D2813" s="171" t="s">
        <v>4810</v>
      </c>
      <c r="E2813" s="165" t="s">
        <v>58</v>
      </c>
      <c r="F2813" s="81" t="s">
        <v>4430</v>
      </c>
      <c r="G2813" s="125" t="s">
        <v>3016</v>
      </c>
      <c r="H2813" s="81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77">
        <v>46166.0</v>
      </c>
      <c r="O2813" s="103" t="s">
        <v>67</v>
      </c>
      <c r="P2813" s="103" t="s">
        <v>68</v>
      </c>
      <c r="Q2813" s="151">
        <v>46172.0</v>
      </c>
      <c r="R2813" s="107" t="s">
        <v>66</v>
      </c>
      <c r="S2813" s="107" t="s">
        <v>227</v>
      </c>
      <c r="T2813" s="108"/>
      <c r="U2813" s="107" t="s">
        <v>31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1">
        <v>2808.0</v>
      </c>
      <c r="B2814" s="180" t="s">
        <v>4834</v>
      </c>
      <c r="C2814" s="82" t="str">
        <f>VLOOKUP($B$7:$B$5000,SUM!$L$6:$L$500,1,FALSE)</f>
        <v>#N/A</v>
      </c>
      <c r="D2814" s="171" t="s">
        <v>4810</v>
      </c>
      <c r="E2814" s="165" t="s">
        <v>58</v>
      </c>
      <c r="F2814" s="81" t="s">
        <v>4430</v>
      </c>
      <c r="G2814" s="125" t="s">
        <v>3016</v>
      </c>
      <c r="H2814" s="81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77">
        <v>46166.0</v>
      </c>
      <c r="O2814" s="103" t="s">
        <v>67</v>
      </c>
      <c r="P2814" s="103" t="s">
        <v>68</v>
      </c>
      <c r="Q2814" s="151">
        <v>46172.0</v>
      </c>
      <c r="R2814" s="107" t="s">
        <v>66</v>
      </c>
      <c r="S2814" s="107" t="s">
        <v>227</v>
      </c>
      <c r="T2814" s="108"/>
      <c r="U2814" s="107" t="s">
        <v>31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1">
        <v>2809.0</v>
      </c>
      <c r="B2815" s="180" t="s">
        <v>4836</v>
      </c>
      <c r="C2815" s="82" t="str">
        <f>VLOOKUP($B$7:$B$5000,SUM!$L$6:$L$500,1,FALSE)</f>
        <v>#N/A</v>
      </c>
      <c r="D2815" s="171" t="s">
        <v>4810</v>
      </c>
      <c r="E2815" s="165" t="s">
        <v>58</v>
      </c>
      <c r="F2815" s="81" t="s">
        <v>4430</v>
      </c>
      <c r="G2815" s="125" t="s">
        <v>3016</v>
      </c>
      <c r="H2815" s="81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77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1">
        <v>2810.0</v>
      </c>
      <c r="B2816" s="180" t="s">
        <v>4838</v>
      </c>
      <c r="C2816" s="82" t="str">
        <f>VLOOKUP($B$7:$B$5000,SUM!$L$6:$L$500,1,FALSE)</f>
        <v>#N/A</v>
      </c>
      <c r="D2816" s="171" t="s">
        <v>4810</v>
      </c>
      <c r="E2816" s="165" t="s">
        <v>58</v>
      </c>
      <c r="F2816" s="81" t="s">
        <v>4430</v>
      </c>
      <c r="G2816" s="125" t="s">
        <v>3016</v>
      </c>
      <c r="H2816" s="81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77">
        <v>46166.0</v>
      </c>
      <c r="O2816" s="103" t="s">
        <v>67</v>
      </c>
      <c r="P2816" s="103" t="s">
        <v>68</v>
      </c>
      <c r="Q2816" s="151">
        <v>46172.0</v>
      </c>
      <c r="R2816" s="107" t="s">
        <v>66</v>
      </c>
      <c r="S2816" s="107" t="s">
        <v>227</v>
      </c>
      <c r="T2816" s="108"/>
      <c r="U2816" s="107" t="s">
        <v>31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1">
        <v>2811.0</v>
      </c>
      <c r="B2817" s="180" t="s">
        <v>4840</v>
      </c>
      <c r="C2817" s="82" t="str">
        <f>VLOOKUP($B$7:$B$5000,SUM!$L$6:$L$500,1,FALSE)</f>
        <v>#N/A</v>
      </c>
      <c r="D2817" s="171" t="s">
        <v>4810</v>
      </c>
      <c r="E2817" s="165" t="s">
        <v>58</v>
      </c>
      <c r="F2817" s="81" t="s">
        <v>4430</v>
      </c>
      <c r="G2817" s="125" t="s">
        <v>3016</v>
      </c>
      <c r="H2817" s="81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77">
        <v>46166.0</v>
      </c>
      <c r="O2817" s="103" t="s">
        <v>67</v>
      </c>
      <c r="P2817" s="103" t="s">
        <v>68</v>
      </c>
      <c r="Q2817" s="151">
        <v>46172.0</v>
      </c>
      <c r="R2817" s="107" t="s">
        <v>66</v>
      </c>
      <c r="S2817" s="107" t="s">
        <v>227</v>
      </c>
      <c r="T2817" s="108"/>
      <c r="U2817" s="107" t="s">
        <v>31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1">
        <v>2812.0</v>
      </c>
      <c r="B2818" s="180" t="s">
        <v>4842</v>
      </c>
      <c r="C2818" s="82" t="str">
        <f>VLOOKUP($B$7:$B$5000,SUM!$L$6:$L$500,1,FALSE)</f>
        <v>#N/A</v>
      </c>
      <c r="D2818" s="171" t="s">
        <v>4810</v>
      </c>
      <c r="E2818" s="165" t="s">
        <v>58</v>
      </c>
      <c r="F2818" s="81" t="s">
        <v>4430</v>
      </c>
      <c r="G2818" s="125" t="s">
        <v>3016</v>
      </c>
      <c r="H2818" s="81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77">
        <v>46166.0</v>
      </c>
      <c r="O2818" s="103" t="s">
        <v>67</v>
      </c>
      <c r="P2818" s="103" t="s">
        <v>68</v>
      </c>
      <c r="Q2818" s="151">
        <v>46172.0</v>
      </c>
      <c r="R2818" s="107" t="s">
        <v>66</v>
      </c>
      <c r="S2818" s="107" t="s">
        <v>227</v>
      </c>
      <c r="T2818" s="108"/>
      <c r="U2818" s="107" t="s">
        <v>31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1">
        <v>2813.0</v>
      </c>
      <c r="B2819" s="180" t="s">
        <v>4844</v>
      </c>
      <c r="C2819" s="82" t="str">
        <f>VLOOKUP($B$7:$B$5000,SUM!$L$6:$L$500,1,FALSE)</f>
        <v>#N/A</v>
      </c>
      <c r="D2819" s="171" t="s">
        <v>4810</v>
      </c>
      <c r="E2819" s="165" t="s">
        <v>58</v>
      </c>
      <c r="F2819" s="81" t="s">
        <v>4430</v>
      </c>
      <c r="G2819" s="125" t="s">
        <v>3016</v>
      </c>
      <c r="H2819" s="81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77">
        <v>46166.0</v>
      </c>
      <c r="O2819" s="103" t="s">
        <v>67</v>
      </c>
      <c r="P2819" s="103" t="s">
        <v>68</v>
      </c>
      <c r="Q2819" s="151">
        <v>46172.0</v>
      </c>
      <c r="R2819" s="107" t="s">
        <v>66</v>
      </c>
      <c r="S2819" s="107" t="s">
        <v>227</v>
      </c>
      <c r="T2819" s="108"/>
      <c r="U2819" s="107" t="s">
        <v>31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1">
        <v>2814.0</v>
      </c>
      <c r="B2820" s="180" t="s">
        <v>4846</v>
      </c>
      <c r="C2820" s="82" t="str">
        <f>VLOOKUP($B$7:$B$5000,SUM!$L$6:$L$500,1,FALSE)</f>
        <v>#N/A</v>
      </c>
      <c r="D2820" s="171" t="s">
        <v>4810</v>
      </c>
      <c r="E2820" s="165" t="s">
        <v>58</v>
      </c>
      <c r="F2820" s="81" t="s">
        <v>4430</v>
      </c>
      <c r="G2820" s="125" t="s">
        <v>3016</v>
      </c>
      <c r="H2820" s="81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77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1">
        <v>2815.0</v>
      </c>
      <c r="B2821" s="180" t="s">
        <v>4848</v>
      </c>
      <c r="C2821" s="82" t="str">
        <f>VLOOKUP($B$7:$B$5000,SUM!$L$6:$L$500,1,FALSE)</f>
        <v>#N/A</v>
      </c>
      <c r="D2821" s="171" t="s">
        <v>4810</v>
      </c>
      <c r="E2821" s="165" t="s">
        <v>58</v>
      </c>
      <c r="F2821" s="81" t="s">
        <v>4430</v>
      </c>
      <c r="G2821" s="125" t="s">
        <v>3016</v>
      </c>
      <c r="H2821" s="81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77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1">
        <v>2816.0</v>
      </c>
      <c r="B2822" s="180" t="s">
        <v>4850</v>
      </c>
      <c r="C2822" s="82" t="str">
        <f>VLOOKUP($B$7:$B$5000,SUM!$L$6:$L$500,1,FALSE)</f>
        <v>#N/A</v>
      </c>
      <c r="D2822" s="171" t="s">
        <v>4810</v>
      </c>
      <c r="E2822" s="165" t="s">
        <v>58</v>
      </c>
      <c r="F2822" s="81" t="s">
        <v>4430</v>
      </c>
      <c r="G2822" s="125" t="s">
        <v>3016</v>
      </c>
      <c r="H2822" s="81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77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31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1">
        <v>2817.0</v>
      </c>
      <c r="B2823" s="180" t="s">
        <v>4852</v>
      </c>
      <c r="C2823" s="82" t="str">
        <f>VLOOKUP($B$7:$B$5000,SUM!$L$6:$L$500,1,FALSE)</f>
        <v>#N/A</v>
      </c>
      <c r="D2823" s="171" t="s">
        <v>4810</v>
      </c>
      <c r="E2823" s="165" t="s">
        <v>58</v>
      </c>
      <c r="F2823" s="81" t="s">
        <v>4430</v>
      </c>
      <c r="G2823" s="125" t="s">
        <v>3016</v>
      </c>
      <c r="H2823" s="81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77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31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1">
        <v>2818.0</v>
      </c>
      <c r="B2824" s="180" t="s">
        <v>4854</v>
      </c>
      <c r="C2824" s="82" t="str">
        <f>VLOOKUP($B$7:$B$5000,SUM!$L$6:$L$500,1,FALSE)</f>
        <v>#N/A</v>
      </c>
      <c r="D2824" s="171" t="s">
        <v>4810</v>
      </c>
      <c r="E2824" s="165" t="s">
        <v>58</v>
      </c>
      <c r="F2824" s="81" t="s">
        <v>4430</v>
      </c>
      <c r="G2824" s="125" t="s">
        <v>3016</v>
      </c>
      <c r="H2824" s="81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77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31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1">
        <v>2819.0</v>
      </c>
      <c r="B2825" s="180" t="s">
        <v>4856</v>
      </c>
      <c r="C2825" s="82" t="str">
        <f>VLOOKUP($B$7:$B$5000,SUM!$L$6:$L$500,1,FALSE)</f>
        <v>#N/A</v>
      </c>
      <c r="D2825" s="171" t="s">
        <v>4810</v>
      </c>
      <c r="E2825" s="165" t="s">
        <v>58</v>
      </c>
      <c r="F2825" s="81" t="s">
        <v>4430</v>
      </c>
      <c r="G2825" s="125" t="s">
        <v>3016</v>
      </c>
      <c r="H2825" s="81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77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31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1">
        <v>2820.0</v>
      </c>
      <c r="B2826" s="180" t="s">
        <v>4857</v>
      </c>
      <c r="C2826" s="82" t="str">
        <f>VLOOKUP($B$7:$B$5000,SUM!$L$6:$L$500,1,FALSE)</f>
        <v>#N/A</v>
      </c>
      <c r="D2826" s="171" t="s">
        <v>4810</v>
      </c>
      <c r="E2826" s="165" t="s">
        <v>58</v>
      </c>
      <c r="F2826" s="81" t="s">
        <v>4430</v>
      </c>
      <c r="G2826" s="125" t="s">
        <v>3016</v>
      </c>
      <c r="H2826" s="81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77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31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1">
        <v>2821.0</v>
      </c>
      <c r="B2827" s="180" t="s">
        <v>4859</v>
      </c>
      <c r="C2827" s="82" t="str">
        <f>VLOOKUP($B$7:$B$5000,SUM!$L$6:$L$500,1,FALSE)</f>
        <v>#N/A</v>
      </c>
      <c r="D2827" s="171" t="s">
        <v>4810</v>
      </c>
      <c r="E2827" s="165" t="s">
        <v>58</v>
      </c>
      <c r="F2827" s="81" t="s">
        <v>4430</v>
      </c>
      <c r="G2827" s="125" t="s">
        <v>3016</v>
      </c>
      <c r="H2827" s="81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77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31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1">
        <v>2822.0</v>
      </c>
      <c r="B2828" s="180" t="s">
        <v>4861</v>
      </c>
      <c r="C2828" s="82" t="str">
        <f>VLOOKUP($B$7:$B$5000,SUM!$L$6:$L$500,1,FALSE)</f>
        <v>#N/A</v>
      </c>
      <c r="D2828" s="171" t="s">
        <v>4810</v>
      </c>
      <c r="E2828" s="165" t="s">
        <v>58</v>
      </c>
      <c r="F2828" s="81" t="s">
        <v>4430</v>
      </c>
      <c r="G2828" s="125" t="s">
        <v>3016</v>
      </c>
      <c r="H2828" s="81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77">
        <v>46166.0</v>
      </c>
      <c r="O2828" s="103" t="s">
        <v>67</v>
      </c>
      <c r="P2828" s="103" t="s">
        <v>68</v>
      </c>
      <c r="Q2828" s="159">
        <v>46171.0</v>
      </c>
      <c r="R2828" s="148" t="s">
        <v>66</v>
      </c>
      <c r="S2828" s="152">
        <v>46173.0</v>
      </c>
      <c r="T2828" s="103"/>
      <c r="U2828" s="97" t="s">
        <v>31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1">
        <v>2823.0</v>
      </c>
      <c r="B2829" s="180" t="s">
        <v>4863</v>
      </c>
      <c r="C2829" s="82" t="str">
        <f>VLOOKUP($B$7:$B$5000,SUM!$L$6:$L$500,1,FALSE)</f>
        <v>#N/A</v>
      </c>
      <c r="D2829" s="171" t="s">
        <v>4810</v>
      </c>
      <c r="E2829" s="165" t="s">
        <v>58</v>
      </c>
      <c r="F2829" s="81" t="s">
        <v>4430</v>
      </c>
      <c r="G2829" s="125" t="s">
        <v>3016</v>
      </c>
      <c r="H2829" s="81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77">
        <v>46166.0</v>
      </c>
      <c r="O2829" s="103" t="s">
        <v>67</v>
      </c>
      <c r="P2829" s="103" t="s">
        <v>68</v>
      </c>
      <c r="Q2829" s="159">
        <v>46171.0</v>
      </c>
      <c r="R2829" s="148" t="s">
        <v>66</v>
      </c>
      <c r="S2829" s="152">
        <v>46173.0</v>
      </c>
      <c r="T2829" s="103"/>
      <c r="U2829" s="97" t="s">
        <v>31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1">
        <v>2824.0</v>
      </c>
      <c r="B2830" s="180" t="s">
        <v>4865</v>
      </c>
      <c r="C2830" s="82" t="str">
        <f>VLOOKUP($B$7:$B$5000,SUM!$L$6:$L$500,1,FALSE)</f>
        <v>#N/A</v>
      </c>
      <c r="D2830" s="171" t="s">
        <v>4810</v>
      </c>
      <c r="E2830" s="165" t="s">
        <v>58</v>
      </c>
      <c r="F2830" s="81" t="s">
        <v>4430</v>
      </c>
      <c r="G2830" s="125" t="s">
        <v>3016</v>
      </c>
      <c r="H2830" s="81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77">
        <v>46166.0</v>
      </c>
      <c r="O2830" s="103" t="s">
        <v>67</v>
      </c>
      <c r="P2830" s="103" t="s">
        <v>68</v>
      </c>
      <c r="Q2830" s="159">
        <v>46171.0</v>
      </c>
      <c r="R2830" s="148" t="s">
        <v>66</v>
      </c>
      <c r="S2830" s="152">
        <v>46173.0</v>
      </c>
      <c r="T2830" s="103"/>
      <c r="U2830" s="97" t="s">
        <v>31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1">
        <v>2825.0</v>
      </c>
      <c r="B2831" s="180" t="s">
        <v>4867</v>
      </c>
      <c r="C2831" s="82" t="str">
        <f>VLOOKUP($B$7:$B$5000,SUM!$L$6:$L$500,1,FALSE)</f>
        <v>#N/A</v>
      </c>
      <c r="D2831" s="171" t="s">
        <v>4810</v>
      </c>
      <c r="E2831" s="165" t="s">
        <v>58</v>
      </c>
      <c r="F2831" s="81" t="s">
        <v>4430</v>
      </c>
      <c r="G2831" s="125" t="s">
        <v>3016</v>
      </c>
      <c r="H2831" s="81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77">
        <v>46166.0</v>
      </c>
      <c r="O2831" s="103" t="s">
        <v>67</v>
      </c>
      <c r="P2831" s="103" t="s">
        <v>68</v>
      </c>
      <c r="Q2831" s="159">
        <v>46171.0</v>
      </c>
      <c r="R2831" s="148" t="s">
        <v>66</v>
      </c>
      <c r="S2831" s="152">
        <v>46173.0</v>
      </c>
      <c r="T2831" s="103"/>
      <c r="U2831" s="97" t="s">
        <v>31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1">
        <v>2826.0</v>
      </c>
      <c r="B2832" s="180" t="s">
        <v>4869</v>
      </c>
      <c r="C2832" s="82" t="str">
        <f>VLOOKUP($B$7:$B$5000,SUM!$L$6:$L$500,1,FALSE)</f>
        <v>#N/A</v>
      </c>
      <c r="D2832" s="171" t="s">
        <v>4810</v>
      </c>
      <c r="E2832" s="165" t="s">
        <v>58</v>
      </c>
      <c r="F2832" s="81" t="s">
        <v>4430</v>
      </c>
      <c r="G2832" s="125" t="s">
        <v>3016</v>
      </c>
      <c r="H2832" s="81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77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31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1">
        <v>2827.0</v>
      </c>
      <c r="B2833" s="180" t="s">
        <v>4871</v>
      </c>
      <c r="C2833" s="82" t="str">
        <f>VLOOKUP($B$7:$B$5000,SUM!$L$6:$L$500,1,FALSE)</f>
        <v>#N/A</v>
      </c>
      <c r="D2833" s="171" t="s">
        <v>4810</v>
      </c>
      <c r="E2833" s="165" t="s">
        <v>58</v>
      </c>
      <c r="F2833" s="81" t="s">
        <v>4430</v>
      </c>
      <c r="G2833" s="125" t="s">
        <v>3016</v>
      </c>
      <c r="H2833" s="81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77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1">
        <v>2828.0</v>
      </c>
      <c r="B2834" s="180" t="s">
        <v>4873</v>
      </c>
      <c r="C2834" s="82" t="str">
        <f>VLOOKUP($B$7:$B$5000,SUM!$L$6:$L$500,1,FALSE)</f>
        <v>#N/A</v>
      </c>
      <c r="D2834" s="171" t="s">
        <v>4810</v>
      </c>
      <c r="E2834" s="165" t="s">
        <v>58</v>
      </c>
      <c r="F2834" s="81" t="s">
        <v>4430</v>
      </c>
      <c r="G2834" s="125" t="s">
        <v>3016</v>
      </c>
      <c r="H2834" s="81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77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1">
        <v>2829.0</v>
      </c>
      <c r="B2835" s="180" t="s">
        <v>4875</v>
      </c>
      <c r="C2835" s="82" t="str">
        <f>VLOOKUP($B$7:$B$5000,SUM!$L$6:$L$500,1,FALSE)</f>
        <v>#N/A</v>
      </c>
      <c r="D2835" s="171" t="s">
        <v>4810</v>
      </c>
      <c r="E2835" s="165" t="s">
        <v>58</v>
      </c>
      <c r="F2835" s="81" t="s">
        <v>4430</v>
      </c>
      <c r="G2835" s="125" t="s">
        <v>3016</v>
      </c>
      <c r="H2835" s="81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77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31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1">
        <v>2830.0</v>
      </c>
      <c r="B2836" s="180" t="s">
        <v>4877</v>
      </c>
      <c r="C2836" s="82" t="str">
        <f>VLOOKUP($B$7:$B$5000,SUM!$L$6:$L$500,1,FALSE)</f>
        <v>#N/A</v>
      </c>
      <c r="D2836" s="171" t="s">
        <v>4810</v>
      </c>
      <c r="E2836" s="165" t="s">
        <v>58</v>
      </c>
      <c r="F2836" s="81" t="s">
        <v>4430</v>
      </c>
      <c r="G2836" s="125" t="s">
        <v>3016</v>
      </c>
      <c r="H2836" s="81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77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31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1">
        <v>2831.0</v>
      </c>
      <c r="B2837" s="180" t="s">
        <v>4879</v>
      </c>
      <c r="C2837" s="82" t="str">
        <f>VLOOKUP($B$7:$B$5000,SUM!$L$6:$L$500,1,FALSE)</f>
        <v>#N/A</v>
      </c>
      <c r="D2837" s="171" t="s">
        <v>4810</v>
      </c>
      <c r="E2837" s="165" t="s">
        <v>58</v>
      </c>
      <c r="F2837" s="81" t="s">
        <v>4430</v>
      </c>
      <c r="G2837" s="125" t="s">
        <v>3016</v>
      </c>
      <c r="H2837" s="81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77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1">
        <v>2832.0</v>
      </c>
      <c r="B2838" s="180" t="s">
        <v>4880</v>
      </c>
      <c r="C2838" s="82" t="str">
        <f>VLOOKUP($B$7:$B$5000,SUM!$L$6:$L$500,1,FALSE)</f>
        <v>#N/A</v>
      </c>
      <c r="D2838" s="171" t="s">
        <v>4810</v>
      </c>
      <c r="E2838" s="165" t="s">
        <v>58</v>
      </c>
      <c r="F2838" s="81" t="s">
        <v>4430</v>
      </c>
      <c r="G2838" s="125" t="s">
        <v>3016</v>
      </c>
      <c r="H2838" s="81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77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1">
        <v>2833.0</v>
      </c>
      <c r="B2839" s="180" t="s">
        <v>4881</v>
      </c>
      <c r="C2839" s="82" t="str">
        <f>VLOOKUP($B$7:$B$5000,SUM!$L$6:$L$500,1,FALSE)</f>
        <v>#N/A</v>
      </c>
      <c r="D2839" s="171" t="s">
        <v>4810</v>
      </c>
      <c r="E2839" s="165" t="s">
        <v>58</v>
      </c>
      <c r="F2839" s="81" t="s">
        <v>4430</v>
      </c>
      <c r="G2839" s="125" t="s">
        <v>3016</v>
      </c>
      <c r="H2839" s="81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77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1">
        <v>2834.0</v>
      </c>
      <c r="B2840" s="180" t="s">
        <v>4882</v>
      </c>
      <c r="C2840" s="82" t="str">
        <f>VLOOKUP($B$7:$B$5000,SUM!$L$6:$L$500,1,FALSE)</f>
        <v>#N/A</v>
      </c>
      <c r="D2840" s="171" t="s">
        <v>4810</v>
      </c>
      <c r="E2840" s="165" t="s">
        <v>58</v>
      </c>
      <c r="F2840" s="81" t="s">
        <v>4430</v>
      </c>
      <c r="G2840" s="125" t="s">
        <v>3016</v>
      </c>
      <c r="H2840" s="81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77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1">
        <v>2835.0</v>
      </c>
      <c r="B2841" s="180" t="s">
        <v>4883</v>
      </c>
      <c r="C2841" s="82" t="str">
        <f>VLOOKUP($B$7:$B$5000,SUM!$L$6:$L$500,1,FALSE)</f>
        <v>#N/A</v>
      </c>
      <c r="D2841" s="171" t="s">
        <v>4810</v>
      </c>
      <c r="E2841" s="165" t="s">
        <v>58</v>
      </c>
      <c r="F2841" s="81" t="s">
        <v>4430</v>
      </c>
      <c r="G2841" s="125" t="s">
        <v>3016</v>
      </c>
      <c r="H2841" s="81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77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1">
        <v>2836.0</v>
      </c>
      <c r="B2842" s="180" t="s">
        <v>4884</v>
      </c>
      <c r="C2842" s="82" t="str">
        <f>VLOOKUP($B$7:$B$5000,SUM!$L$6:$L$500,1,FALSE)</f>
        <v>#N/A</v>
      </c>
      <c r="D2842" s="171" t="s">
        <v>4810</v>
      </c>
      <c r="E2842" s="165" t="s">
        <v>58</v>
      </c>
      <c r="F2842" s="81" t="s">
        <v>4430</v>
      </c>
      <c r="G2842" s="125" t="s">
        <v>3016</v>
      </c>
      <c r="H2842" s="81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77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1">
        <v>2837.0</v>
      </c>
      <c r="B2843" s="180" t="s">
        <v>4885</v>
      </c>
      <c r="C2843" s="82" t="str">
        <f>VLOOKUP($B$7:$B$5000,SUM!$L$6:$L$500,1,FALSE)</f>
        <v>#N/A</v>
      </c>
      <c r="D2843" s="171" t="s">
        <v>4810</v>
      </c>
      <c r="E2843" s="165" t="s">
        <v>58</v>
      </c>
      <c r="F2843" s="81" t="s">
        <v>4430</v>
      </c>
      <c r="G2843" s="125" t="s">
        <v>3016</v>
      </c>
      <c r="H2843" s="81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77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1">
        <v>2838.0</v>
      </c>
      <c r="B2844" s="180" t="s">
        <v>4886</v>
      </c>
      <c r="C2844" s="82" t="str">
        <f>VLOOKUP($B$7:$B$5000,SUM!$L$6:$L$500,1,FALSE)</f>
        <v>#N/A</v>
      </c>
      <c r="D2844" s="171" t="s">
        <v>4810</v>
      </c>
      <c r="E2844" s="165" t="s">
        <v>58</v>
      </c>
      <c r="F2844" s="81" t="s">
        <v>4430</v>
      </c>
      <c r="G2844" s="125" t="s">
        <v>3016</v>
      </c>
      <c r="H2844" s="81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77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1">
        <v>2839.0</v>
      </c>
      <c r="B2845" s="180" t="s">
        <v>4887</v>
      </c>
      <c r="C2845" s="82" t="str">
        <f>VLOOKUP($B$7:$B$5000,SUM!$L$6:$L$500,1,FALSE)</f>
        <v>#N/A</v>
      </c>
      <c r="D2845" s="171" t="s">
        <v>4810</v>
      </c>
      <c r="E2845" s="165" t="s">
        <v>58</v>
      </c>
      <c r="F2845" s="81" t="s">
        <v>4430</v>
      </c>
      <c r="G2845" s="125" t="s">
        <v>3016</v>
      </c>
      <c r="H2845" s="81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77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1">
        <v>2840.0</v>
      </c>
      <c r="B2846" s="180" t="s">
        <v>4888</v>
      </c>
      <c r="C2846" s="82" t="str">
        <f>VLOOKUP($B$7:$B$5000,SUM!$L$6:$L$500,1,FALSE)</f>
        <v>#N/A</v>
      </c>
      <c r="D2846" s="171" t="s">
        <v>4810</v>
      </c>
      <c r="E2846" s="165" t="s">
        <v>58</v>
      </c>
      <c r="F2846" s="81" t="s">
        <v>4430</v>
      </c>
      <c r="G2846" s="125" t="s">
        <v>3016</v>
      </c>
      <c r="H2846" s="81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77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1">
        <v>2841.0</v>
      </c>
      <c r="B2847" s="180" t="s">
        <v>4889</v>
      </c>
      <c r="C2847" s="82" t="str">
        <f>VLOOKUP($B$7:$B$5000,SUM!$L$6:$L$500,1,FALSE)</f>
        <v>#N/A</v>
      </c>
      <c r="D2847" s="171" t="s">
        <v>4810</v>
      </c>
      <c r="E2847" s="165" t="s">
        <v>58</v>
      </c>
      <c r="F2847" s="81" t="s">
        <v>4430</v>
      </c>
      <c r="G2847" s="125" t="s">
        <v>3016</v>
      </c>
      <c r="H2847" s="81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77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1">
        <v>2842.0</v>
      </c>
      <c r="B2848" s="180" t="s">
        <v>4890</v>
      </c>
      <c r="C2848" s="82" t="str">
        <f>VLOOKUP($B$7:$B$5000,SUM!$L$6:$L$500,1,FALSE)</f>
        <v>#N/A</v>
      </c>
      <c r="D2848" s="171" t="s">
        <v>4810</v>
      </c>
      <c r="E2848" s="165" t="s">
        <v>58</v>
      </c>
      <c r="F2848" s="81" t="s">
        <v>4430</v>
      </c>
      <c r="G2848" s="125" t="s">
        <v>3016</v>
      </c>
      <c r="H2848" s="81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77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1">
        <v>2843.0</v>
      </c>
      <c r="B2849" s="180" t="s">
        <v>4891</v>
      </c>
      <c r="C2849" s="82" t="str">
        <f>VLOOKUP($B$7:$B$5000,SUM!$L$6:$L$500,1,FALSE)</f>
        <v>#N/A</v>
      </c>
      <c r="D2849" s="171" t="s">
        <v>4810</v>
      </c>
      <c r="E2849" s="165" t="s">
        <v>58</v>
      </c>
      <c r="F2849" s="81" t="s">
        <v>4430</v>
      </c>
      <c r="G2849" s="125" t="s">
        <v>3016</v>
      </c>
      <c r="H2849" s="81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77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1">
        <v>2844.0</v>
      </c>
      <c r="B2850" s="180" t="s">
        <v>4892</v>
      </c>
      <c r="C2850" s="82" t="str">
        <f>VLOOKUP($B$7:$B$5000,SUM!$L$6:$L$500,1,FALSE)</f>
        <v>#N/A</v>
      </c>
      <c r="D2850" s="171" t="s">
        <v>4810</v>
      </c>
      <c r="E2850" s="165" t="s">
        <v>58</v>
      </c>
      <c r="F2850" s="81" t="s">
        <v>4430</v>
      </c>
      <c r="G2850" s="125" t="s">
        <v>3016</v>
      </c>
      <c r="H2850" s="81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77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1">
        <v>2845.0</v>
      </c>
      <c r="B2851" s="180" t="s">
        <v>4893</v>
      </c>
      <c r="C2851" s="82" t="str">
        <f>VLOOKUP($B$7:$B$5000,SUM!$L$6:$L$500,1,FALSE)</f>
        <v>#N/A</v>
      </c>
      <c r="D2851" s="171" t="s">
        <v>4810</v>
      </c>
      <c r="E2851" s="165" t="s">
        <v>58</v>
      </c>
      <c r="F2851" s="81" t="s">
        <v>4430</v>
      </c>
      <c r="G2851" s="125" t="s">
        <v>3016</v>
      </c>
      <c r="H2851" s="81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77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1">
        <v>2846.0</v>
      </c>
      <c r="B2852" s="180" t="s">
        <v>4894</v>
      </c>
      <c r="C2852" s="82" t="str">
        <f>VLOOKUP($B$7:$B$5000,SUM!$L$6:$L$500,1,FALSE)</f>
        <v>#N/A</v>
      </c>
      <c r="D2852" s="171" t="s">
        <v>4810</v>
      </c>
      <c r="E2852" s="165" t="s">
        <v>58</v>
      </c>
      <c r="F2852" s="81" t="s">
        <v>4430</v>
      </c>
      <c r="G2852" s="125" t="s">
        <v>3016</v>
      </c>
      <c r="H2852" s="81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77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1">
        <v>2847.0</v>
      </c>
      <c r="B2853" s="180" t="s">
        <v>4895</v>
      </c>
      <c r="C2853" s="82" t="str">
        <f>VLOOKUP($B$7:$B$5000,SUM!$L$6:$L$500,1,FALSE)</f>
        <v>#N/A</v>
      </c>
      <c r="D2853" s="171" t="s">
        <v>4810</v>
      </c>
      <c r="E2853" s="165" t="s">
        <v>58</v>
      </c>
      <c r="F2853" s="81" t="s">
        <v>4430</v>
      </c>
      <c r="G2853" s="125" t="s">
        <v>3016</v>
      </c>
      <c r="H2853" s="81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77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1">
        <v>2848.0</v>
      </c>
      <c r="B2854" s="180" t="s">
        <v>4896</v>
      </c>
      <c r="C2854" s="82" t="str">
        <f>VLOOKUP($B$7:$B$5000,SUM!$L$6:$L$500,1,FALSE)</f>
        <v>#N/A</v>
      </c>
      <c r="D2854" s="171" t="s">
        <v>4810</v>
      </c>
      <c r="E2854" s="165" t="s">
        <v>58</v>
      </c>
      <c r="F2854" s="81" t="s">
        <v>4430</v>
      </c>
      <c r="G2854" s="125" t="s">
        <v>3016</v>
      </c>
      <c r="H2854" s="81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77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1">
        <v>2849.0</v>
      </c>
      <c r="B2855" s="180" t="s">
        <v>4897</v>
      </c>
      <c r="C2855" s="82" t="str">
        <f>VLOOKUP($B$7:$B$5000,SUM!$L$6:$L$500,1,FALSE)</f>
        <v>#N/A</v>
      </c>
      <c r="D2855" s="171" t="s">
        <v>4810</v>
      </c>
      <c r="E2855" s="165" t="s">
        <v>58</v>
      </c>
      <c r="F2855" s="81" t="s">
        <v>4430</v>
      </c>
      <c r="G2855" s="125" t="s">
        <v>3016</v>
      </c>
      <c r="H2855" s="81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77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1">
        <v>2850.0</v>
      </c>
      <c r="B2856" s="180" t="s">
        <v>4898</v>
      </c>
      <c r="C2856" s="82" t="str">
        <f>VLOOKUP($B$7:$B$5000,SUM!$L$6:$L$500,1,FALSE)</f>
        <v>#N/A</v>
      </c>
      <c r="D2856" s="171" t="s">
        <v>4810</v>
      </c>
      <c r="E2856" s="165" t="s">
        <v>58</v>
      </c>
      <c r="F2856" s="81" t="s">
        <v>4430</v>
      </c>
      <c r="G2856" s="125" t="s">
        <v>3016</v>
      </c>
      <c r="H2856" s="81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77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1">
        <v>2851.0</v>
      </c>
      <c r="B2857" s="180" t="s">
        <v>4899</v>
      </c>
      <c r="C2857" s="82" t="str">
        <f>VLOOKUP($B$7:$B$5000,SUM!$L$6:$L$500,1,FALSE)</f>
        <v>#N/A</v>
      </c>
      <c r="D2857" s="171" t="s">
        <v>4810</v>
      </c>
      <c r="E2857" s="165" t="s">
        <v>58</v>
      </c>
      <c r="F2857" s="81" t="s">
        <v>4430</v>
      </c>
      <c r="G2857" s="125" t="s">
        <v>3016</v>
      </c>
      <c r="H2857" s="81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77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1">
        <v>2852.0</v>
      </c>
      <c r="B2858" s="180" t="s">
        <v>4900</v>
      </c>
      <c r="C2858" s="82" t="str">
        <f>VLOOKUP($B$7:$B$5000,SUM!$L$6:$L$500,1,FALSE)</f>
        <v>#N/A</v>
      </c>
      <c r="D2858" s="171" t="s">
        <v>4810</v>
      </c>
      <c r="E2858" s="165" t="s">
        <v>58</v>
      </c>
      <c r="F2858" s="81" t="s">
        <v>4430</v>
      </c>
      <c r="G2858" s="125" t="s">
        <v>3016</v>
      </c>
      <c r="H2858" s="81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77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1">
        <v>2853.0</v>
      </c>
      <c r="B2859" s="180" t="s">
        <v>4901</v>
      </c>
      <c r="C2859" s="82" t="str">
        <f>VLOOKUP($B$7:$B$5000,SUM!$L$6:$L$500,1,FALSE)</f>
        <v>#N/A</v>
      </c>
      <c r="D2859" s="171" t="s">
        <v>4810</v>
      </c>
      <c r="E2859" s="165" t="s">
        <v>58</v>
      </c>
      <c r="F2859" s="81" t="s">
        <v>4430</v>
      </c>
      <c r="G2859" s="125" t="s">
        <v>3016</v>
      </c>
      <c r="H2859" s="81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77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1">
        <v>2854.0</v>
      </c>
      <c r="B2860" s="180" t="s">
        <v>4902</v>
      </c>
      <c r="C2860" s="82" t="str">
        <f>VLOOKUP($B$7:$B$5000,SUM!$L$6:$L$500,1,FALSE)</f>
        <v>#N/A</v>
      </c>
      <c r="D2860" s="171" t="s">
        <v>4810</v>
      </c>
      <c r="E2860" s="165" t="s">
        <v>58</v>
      </c>
      <c r="F2860" s="81" t="s">
        <v>4430</v>
      </c>
      <c r="G2860" s="125" t="s">
        <v>3016</v>
      </c>
      <c r="H2860" s="81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77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1">
        <v>2855.0</v>
      </c>
      <c r="B2861" s="180" t="s">
        <v>4903</v>
      </c>
      <c r="C2861" s="82" t="str">
        <f>VLOOKUP($B$7:$B$5000,SUM!$L$6:$L$500,1,FALSE)</f>
        <v>#N/A</v>
      </c>
      <c r="D2861" s="171" t="s">
        <v>4810</v>
      </c>
      <c r="E2861" s="165" t="s">
        <v>58</v>
      </c>
      <c r="F2861" s="81" t="s">
        <v>4430</v>
      </c>
      <c r="G2861" s="125" t="s">
        <v>3016</v>
      </c>
      <c r="H2861" s="81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77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1">
        <v>2856.0</v>
      </c>
      <c r="B2862" s="180" t="s">
        <v>4904</v>
      </c>
      <c r="C2862" s="82" t="str">
        <f>VLOOKUP($B$7:$B$5000,SUM!$L$6:$L$500,1,FALSE)</f>
        <v>#N/A</v>
      </c>
      <c r="D2862" s="171" t="s">
        <v>4810</v>
      </c>
      <c r="E2862" s="165" t="s">
        <v>58</v>
      </c>
      <c r="F2862" s="81" t="s">
        <v>4430</v>
      </c>
      <c r="G2862" s="125" t="s">
        <v>3016</v>
      </c>
      <c r="H2862" s="81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77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1">
        <v>2857.0</v>
      </c>
      <c r="B2863" s="180" t="s">
        <v>4905</v>
      </c>
      <c r="C2863" s="82" t="str">
        <f>VLOOKUP($B$7:$B$5000,SUM!$L$6:$L$500,1,FALSE)</f>
        <v>#N/A</v>
      </c>
      <c r="D2863" s="171" t="s">
        <v>4810</v>
      </c>
      <c r="E2863" s="165" t="s">
        <v>58</v>
      </c>
      <c r="F2863" s="81" t="s">
        <v>4430</v>
      </c>
      <c r="G2863" s="125" t="s">
        <v>3016</v>
      </c>
      <c r="H2863" s="81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77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1">
        <v>2858.0</v>
      </c>
      <c r="B2864" s="180" t="s">
        <v>4906</v>
      </c>
      <c r="C2864" s="82" t="str">
        <f>VLOOKUP($B$7:$B$5000,SUM!$L$6:$L$500,1,FALSE)</f>
        <v>#N/A</v>
      </c>
      <c r="D2864" s="171" t="s">
        <v>4810</v>
      </c>
      <c r="E2864" s="165" t="s">
        <v>58</v>
      </c>
      <c r="F2864" s="81" t="s">
        <v>4430</v>
      </c>
      <c r="G2864" s="125" t="s">
        <v>3016</v>
      </c>
      <c r="H2864" s="81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77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1">
        <v>2859.0</v>
      </c>
      <c r="B2865" s="180" t="s">
        <v>4907</v>
      </c>
      <c r="C2865" s="82" t="str">
        <f>VLOOKUP($B$7:$B$5000,SUM!$L$6:$L$500,1,FALSE)</f>
        <v>#N/A</v>
      </c>
      <c r="D2865" s="171" t="s">
        <v>4810</v>
      </c>
      <c r="E2865" s="165" t="s">
        <v>58</v>
      </c>
      <c r="F2865" s="81" t="s">
        <v>4430</v>
      </c>
      <c r="G2865" s="125" t="s">
        <v>3016</v>
      </c>
      <c r="H2865" s="81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77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1">
        <v>2860.0</v>
      </c>
      <c r="B2866" s="180" t="s">
        <v>4908</v>
      </c>
      <c r="C2866" s="82" t="str">
        <f>VLOOKUP($B$7:$B$5000,SUM!$L$6:$L$500,1,FALSE)</f>
        <v>#N/A</v>
      </c>
      <c r="D2866" s="171" t="s">
        <v>4810</v>
      </c>
      <c r="E2866" s="165" t="s">
        <v>58</v>
      </c>
      <c r="F2866" s="81" t="s">
        <v>4430</v>
      </c>
      <c r="G2866" s="125" t="s">
        <v>3016</v>
      </c>
      <c r="H2866" s="81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77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1">
        <v>2861.0</v>
      </c>
      <c r="B2867" s="180" t="s">
        <v>4909</v>
      </c>
      <c r="C2867" s="82" t="str">
        <f>VLOOKUP($B$7:$B$5000,SUM!$L$6:$L$500,1,FALSE)</f>
        <v>#N/A</v>
      </c>
      <c r="D2867" s="171" t="s">
        <v>4810</v>
      </c>
      <c r="E2867" s="165" t="s">
        <v>58</v>
      </c>
      <c r="F2867" s="81" t="s">
        <v>4430</v>
      </c>
      <c r="G2867" s="125" t="s">
        <v>3016</v>
      </c>
      <c r="H2867" s="81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77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1">
        <v>2862.0</v>
      </c>
      <c r="B2868" s="180" t="s">
        <v>4910</v>
      </c>
      <c r="C2868" s="82" t="str">
        <f>VLOOKUP($B$7:$B$5000,SUM!$L$6:$L$500,1,FALSE)</f>
        <v>#N/A</v>
      </c>
      <c r="D2868" s="171" t="s">
        <v>4810</v>
      </c>
      <c r="E2868" s="165" t="s">
        <v>58</v>
      </c>
      <c r="F2868" s="81" t="s">
        <v>4430</v>
      </c>
      <c r="G2868" s="125" t="s">
        <v>3016</v>
      </c>
      <c r="H2868" s="81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77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1">
        <v>2863.0</v>
      </c>
      <c r="B2869" s="180" t="s">
        <v>4911</v>
      </c>
      <c r="C2869" s="82" t="str">
        <f>VLOOKUP($B$7:$B$5000,SUM!$L$6:$L$500,1,FALSE)</f>
        <v>#N/A</v>
      </c>
      <c r="D2869" s="171" t="s">
        <v>4810</v>
      </c>
      <c r="E2869" s="165" t="s">
        <v>58</v>
      </c>
      <c r="F2869" s="81" t="s">
        <v>4430</v>
      </c>
      <c r="G2869" s="125" t="s">
        <v>3016</v>
      </c>
      <c r="H2869" s="81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77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1">
        <v>2864.0</v>
      </c>
      <c r="B2870" s="180" t="s">
        <v>4912</v>
      </c>
      <c r="C2870" s="82" t="str">
        <f>VLOOKUP($B$7:$B$5000,SUM!$L$6:$L$500,1,FALSE)</f>
        <v>#N/A</v>
      </c>
      <c r="D2870" s="171" t="s">
        <v>4810</v>
      </c>
      <c r="E2870" s="165" t="s">
        <v>58</v>
      </c>
      <c r="F2870" s="81" t="s">
        <v>4430</v>
      </c>
      <c r="G2870" s="125" t="s">
        <v>3016</v>
      </c>
      <c r="H2870" s="81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77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1">
        <v>2865.0</v>
      </c>
      <c r="B2871" s="180" t="s">
        <v>4913</v>
      </c>
      <c r="C2871" s="82" t="str">
        <f>VLOOKUP($B$7:$B$5000,SUM!$L$6:$L$500,1,FALSE)</f>
        <v>#N/A</v>
      </c>
      <c r="D2871" s="171" t="s">
        <v>4810</v>
      </c>
      <c r="E2871" s="165" t="s">
        <v>58</v>
      </c>
      <c r="F2871" s="81" t="s">
        <v>4430</v>
      </c>
      <c r="G2871" s="125" t="s">
        <v>3016</v>
      </c>
      <c r="H2871" s="81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77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48" t="s">
        <v>28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1">
        <v>2866.0</v>
      </c>
      <c r="B2872" s="180" t="s">
        <v>4914</v>
      </c>
      <c r="C2872" s="82" t="str">
        <f>VLOOKUP($B$7:$B$5000,SUM!$L$6:$L$500,1,FALSE)</f>
        <v>#N/A</v>
      </c>
      <c r="D2872" s="171" t="s">
        <v>4915</v>
      </c>
      <c r="E2872" s="165" t="s">
        <v>58</v>
      </c>
      <c r="F2872" s="81" t="s">
        <v>4099</v>
      </c>
      <c r="G2872" s="125" t="s">
        <v>1761</v>
      </c>
      <c r="H2872" s="81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77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1">
        <v>2867.0</v>
      </c>
      <c r="B2873" s="180" t="s">
        <v>4918</v>
      </c>
      <c r="C2873" s="82" t="str">
        <f>VLOOKUP($B$7:$B$5000,SUM!$L$6:$L$500,1,FALSE)</f>
        <v>#N/A</v>
      </c>
      <c r="D2873" s="171" t="s">
        <v>4915</v>
      </c>
      <c r="E2873" s="165" t="s">
        <v>58</v>
      </c>
      <c r="F2873" s="81" t="s">
        <v>4099</v>
      </c>
      <c r="G2873" s="125" t="s">
        <v>1761</v>
      </c>
      <c r="H2873" s="81" t="s">
        <v>4919</v>
      </c>
      <c r="I2873" s="149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77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1">
        <v>2868.0</v>
      </c>
      <c r="B2874" s="180" t="s">
        <v>4920</v>
      </c>
      <c r="C2874" s="82" t="str">
        <f>VLOOKUP($B$7:$B$5000,SUM!$L$6:$L$500,1,FALSE)</f>
        <v>#N/A</v>
      </c>
      <c r="D2874" s="171" t="s">
        <v>4915</v>
      </c>
      <c r="E2874" s="165" t="s">
        <v>58</v>
      </c>
      <c r="F2874" s="81" t="s">
        <v>4099</v>
      </c>
      <c r="G2874" s="125" t="s">
        <v>1761</v>
      </c>
      <c r="H2874" s="81" t="s">
        <v>4921</v>
      </c>
      <c r="I2874" s="149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77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1">
        <v>2869.0</v>
      </c>
      <c r="B2875" s="180" t="s">
        <v>4922</v>
      </c>
      <c r="C2875" s="82" t="str">
        <f>VLOOKUP($B$7:$B$5000,SUM!$L$6:$L$500,1,FALSE)</f>
        <v>#N/A</v>
      </c>
      <c r="D2875" s="171" t="s">
        <v>4915</v>
      </c>
      <c r="E2875" s="165" t="s">
        <v>58</v>
      </c>
      <c r="F2875" s="81" t="s">
        <v>4099</v>
      </c>
      <c r="G2875" s="125" t="s">
        <v>1761</v>
      </c>
      <c r="H2875" s="81" t="s">
        <v>4923</v>
      </c>
      <c r="I2875" s="149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77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1">
        <v>2870.0</v>
      </c>
      <c r="B2876" s="180" t="s">
        <v>4924</v>
      </c>
      <c r="C2876" s="82" t="str">
        <f>VLOOKUP($B$7:$B$5000,SUM!$L$6:$L$500,1,FALSE)</f>
        <v>#N/A</v>
      </c>
      <c r="D2876" s="171" t="s">
        <v>4915</v>
      </c>
      <c r="E2876" s="165" t="s">
        <v>58</v>
      </c>
      <c r="F2876" s="81" t="s">
        <v>4099</v>
      </c>
      <c r="G2876" s="125" t="s">
        <v>1761</v>
      </c>
      <c r="H2876" s="81" t="s">
        <v>4925</v>
      </c>
      <c r="I2876" s="149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77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1">
        <v>2871.0</v>
      </c>
      <c r="B2877" s="180" t="s">
        <v>4926</v>
      </c>
      <c r="C2877" s="82" t="str">
        <f>VLOOKUP($B$7:$B$5000,SUM!$L$6:$L$500,1,FALSE)</f>
        <v>#N/A</v>
      </c>
      <c r="D2877" s="171" t="s">
        <v>4915</v>
      </c>
      <c r="E2877" s="165" t="s">
        <v>58</v>
      </c>
      <c r="F2877" s="81" t="s">
        <v>4099</v>
      </c>
      <c r="G2877" s="125" t="s">
        <v>1761</v>
      </c>
      <c r="H2877" s="81" t="s">
        <v>4927</v>
      </c>
      <c r="I2877" s="149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77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1">
        <v>2872.0</v>
      </c>
      <c r="B2878" s="180" t="s">
        <v>4928</v>
      </c>
      <c r="C2878" s="82" t="str">
        <f>VLOOKUP($B$7:$B$5000,SUM!$L$6:$L$500,1,FALSE)</f>
        <v>#N/A</v>
      </c>
      <c r="D2878" s="171" t="s">
        <v>4915</v>
      </c>
      <c r="E2878" s="165" t="s">
        <v>58</v>
      </c>
      <c r="F2878" s="81" t="s">
        <v>4099</v>
      </c>
      <c r="G2878" s="125" t="s">
        <v>1761</v>
      </c>
      <c r="H2878" s="81" t="s">
        <v>4929</v>
      </c>
      <c r="I2878" s="149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77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1">
        <v>2873.0</v>
      </c>
      <c r="B2879" s="180" t="s">
        <v>4930</v>
      </c>
      <c r="C2879" s="82" t="str">
        <f>VLOOKUP($B$7:$B$5000,SUM!$L$6:$L$500,1,FALSE)</f>
        <v>#N/A</v>
      </c>
      <c r="D2879" s="171" t="s">
        <v>4915</v>
      </c>
      <c r="E2879" s="165" t="s">
        <v>58</v>
      </c>
      <c r="F2879" s="81" t="s">
        <v>4099</v>
      </c>
      <c r="G2879" s="125" t="s">
        <v>1761</v>
      </c>
      <c r="H2879" s="81" t="s">
        <v>4931</v>
      </c>
      <c r="I2879" s="149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77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1">
        <v>2874.0</v>
      </c>
      <c r="B2880" s="180" t="s">
        <v>4932</v>
      </c>
      <c r="C2880" s="82" t="str">
        <f>VLOOKUP($B$7:$B$5000,SUM!$L$6:$L$500,1,FALSE)</f>
        <v>#N/A</v>
      </c>
      <c r="D2880" s="171" t="s">
        <v>4915</v>
      </c>
      <c r="E2880" s="165" t="s">
        <v>58</v>
      </c>
      <c r="F2880" s="81" t="s">
        <v>4099</v>
      </c>
      <c r="G2880" s="125" t="s">
        <v>1761</v>
      </c>
      <c r="H2880" s="81" t="s">
        <v>4933</v>
      </c>
      <c r="I2880" s="149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77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1">
        <v>2875.0</v>
      </c>
      <c r="B2881" s="180" t="s">
        <v>4935</v>
      </c>
      <c r="C2881" s="82" t="str">
        <f>VLOOKUP($B$7:$B$5000,SUM!$L$6:$L$500,1,FALSE)</f>
        <v>#N/A</v>
      </c>
      <c r="D2881" s="171" t="s">
        <v>4915</v>
      </c>
      <c r="E2881" s="165" t="s">
        <v>58</v>
      </c>
      <c r="F2881" s="81" t="s">
        <v>4099</v>
      </c>
      <c r="G2881" s="125" t="s">
        <v>1761</v>
      </c>
      <c r="H2881" s="81" t="s">
        <v>4936</v>
      </c>
      <c r="I2881" s="149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77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1">
        <v>2876.0</v>
      </c>
      <c r="B2882" s="180" t="s">
        <v>4937</v>
      </c>
      <c r="C2882" s="82" t="str">
        <f>VLOOKUP($B$7:$B$5000,SUM!$L$6:$L$500,1,FALSE)</f>
        <v>#N/A</v>
      </c>
      <c r="D2882" s="171" t="s">
        <v>4915</v>
      </c>
      <c r="E2882" s="165" t="s">
        <v>58</v>
      </c>
      <c r="F2882" s="81" t="s">
        <v>4099</v>
      </c>
      <c r="G2882" s="125" t="s">
        <v>1761</v>
      </c>
      <c r="H2882" s="81" t="s">
        <v>4938</v>
      </c>
      <c r="I2882" s="149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77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1">
        <v>2877.0</v>
      </c>
      <c r="B2883" s="180" t="s">
        <v>4939</v>
      </c>
      <c r="C2883" s="82" t="str">
        <f>VLOOKUP($B$7:$B$5000,SUM!$L$6:$L$500,1,FALSE)</f>
        <v>#N/A</v>
      </c>
      <c r="D2883" s="171" t="s">
        <v>4915</v>
      </c>
      <c r="E2883" s="165" t="s">
        <v>58</v>
      </c>
      <c r="F2883" s="81" t="s">
        <v>4099</v>
      </c>
      <c r="G2883" s="125" t="s">
        <v>1761</v>
      </c>
      <c r="H2883" s="81" t="s">
        <v>4940</v>
      </c>
      <c r="I2883" s="149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77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1">
        <v>2878.0</v>
      </c>
      <c r="B2884" s="180" t="s">
        <v>4941</v>
      </c>
      <c r="C2884" s="82" t="str">
        <f>VLOOKUP($B$7:$B$5000,SUM!$L$6:$L$500,1,FALSE)</f>
        <v>#N/A</v>
      </c>
      <c r="D2884" s="171" t="s">
        <v>4915</v>
      </c>
      <c r="E2884" s="165" t="s">
        <v>58</v>
      </c>
      <c r="F2884" s="81" t="s">
        <v>4099</v>
      </c>
      <c r="G2884" s="125" t="s">
        <v>1761</v>
      </c>
      <c r="H2884" s="81" t="s">
        <v>4942</v>
      </c>
      <c r="I2884" s="149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77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1">
        <v>2879.0</v>
      </c>
      <c r="B2885" s="180" t="s">
        <v>4943</v>
      </c>
      <c r="C2885" s="82" t="str">
        <f>VLOOKUP($B$7:$B$5000,SUM!$L$6:$L$500,1,FALSE)</f>
        <v>#N/A</v>
      </c>
      <c r="D2885" s="171" t="s">
        <v>4915</v>
      </c>
      <c r="E2885" s="165" t="s">
        <v>58</v>
      </c>
      <c r="F2885" s="81" t="s">
        <v>4099</v>
      </c>
      <c r="G2885" s="125" t="s">
        <v>1761</v>
      </c>
      <c r="H2885" s="81" t="s">
        <v>4944</v>
      </c>
      <c r="I2885" s="149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77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1">
        <v>2880.0</v>
      </c>
      <c r="B2886" s="180" t="s">
        <v>4945</v>
      </c>
      <c r="C2886" s="82" t="str">
        <f>VLOOKUP($B$7:$B$5000,SUM!$L$6:$L$500,1,FALSE)</f>
        <v>#N/A</v>
      </c>
      <c r="D2886" s="171" t="s">
        <v>4915</v>
      </c>
      <c r="E2886" s="165" t="s">
        <v>58</v>
      </c>
      <c r="F2886" s="81" t="s">
        <v>4099</v>
      </c>
      <c r="G2886" s="125" t="s">
        <v>1761</v>
      </c>
      <c r="H2886" s="81" t="s">
        <v>4946</v>
      </c>
      <c r="I2886" s="149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77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1">
        <v>2881.0</v>
      </c>
      <c r="B2887" s="180" t="s">
        <v>4947</v>
      </c>
      <c r="C2887" s="82" t="str">
        <f>VLOOKUP($B$7:$B$5000,SUM!$L$6:$L$500,1,FALSE)</f>
        <v>#N/A</v>
      </c>
      <c r="D2887" s="171" t="s">
        <v>4915</v>
      </c>
      <c r="E2887" s="165" t="s">
        <v>58</v>
      </c>
      <c r="F2887" s="81" t="s">
        <v>4099</v>
      </c>
      <c r="G2887" s="125" t="s">
        <v>1761</v>
      </c>
      <c r="H2887" s="81" t="s">
        <v>4948</v>
      </c>
      <c r="I2887" s="149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77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1">
        <v>2882.0</v>
      </c>
      <c r="B2888" s="180" t="s">
        <v>4949</v>
      </c>
      <c r="C2888" s="82" t="str">
        <f>VLOOKUP($B$7:$B$5000,SUM!$L$6:$L$500,1,FALSE)</f>
        <v>#N/A</v>
      </c>
      <c r="D2888" s="171" t="s">
        <v>4915</v>
      </c>
      <c r="E2888" s="165" t="s">
        <v>58</v>
      </c>
      <c r="F2888" s="81" t="s">
        <v>4099</v>
      </c>
      <c r="G2888" s="125" t="s">
        <v>1761</v>
      </c>
      <c r="H2888" s="81" t="s">
        <v>4950</v>
      </c>
      <c r="I2888" s="149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77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1">
        <v>2883.0</v>
      </c>
      <c r="B2889" s="180" t="s">
        <v>4951</v>
      </c>
      <c r="C2889" s="82" t="str">
        <f>VLOOKUP($B$7:$B$5000,SUM!$L$6:$L$500,1,FALSE)</f>
        <v>#N/A</v>
      </c>
      <c r="D2889" s="171" t="s">
        <v>4915</v>
      </c>
      <c r="E2889" s="165" t="s">
        <v>58</v>
      </c>
      <c r="F2889" s="81" t="s">
        <v>4099</v>
      </c>
      <c r="G2889" s="125" t="s">
        <v>1761</v>
      </c>
      <c r="H2889" s="81" t="s">
        <v>4952</v>
      </c>
      <c r="I2889" s="149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77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1">
        <v>2884.0</v>
      </c>
      <c r="B2890" s="180" t="s">
        <v>4953</v>
      </c>
      <c r="C2890" s="82" t="str">
        <f>VLOOKUP($B$7:$B$5000,SUM!$L$6:$L$500,1,FALSE)</f>
        <v>#N/A</v>
      </c>
      <c r="D2890" s="171" t="s">
        <v>4915</v>
      </c>
      <c r="E2890" s="165" t="s">
        <v>58</v>
      </c>
      <c r="F2890" s="81" t="s">
        <v>4099</v>
      </c>
      <c r="G2890" s="125" t="s">
        <v>1761</v>
      </c>
      <c r="H2890" s="81" t="s">
        <v>4954</v>
      </c>
      <c r="I2890" s="149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77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1">
        <v>2885.0</v>
      </c>
      <c r="B2891" s="180" t="s">
        <v>4955</v>
      </c>
      <c r="C2891" s="82" t="str">
        <f>VLOOKUP($B$7:$B$5000,SUM!$L$6:$L$500,1,FALSE)</f>
        <v>#N/A</v>
      </c>
      <c r="D2891" s="171" t="s">
        <v>4915</v>
      </c>
      <c r="E2891" s="165" t="s">
        <v>58</v>
      </c>
      <c r="F2891" s="81" t="s">
        <v>4099</v>
      </c>
      <c r="G2891" s="125" t="s">
        <v>4956</v>
      </c>
      <c r="H2891" s="81" t="s">
        <v>4957</v>
      </c>
      <c r="I2891" s="149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77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1">
        <v>2886.0</v>
      </c>
      <c r="B2892" s="180" t="s">
        <v>4958</v>
      </c>
      <c r="C2892" s="82" t="str">
        <f>VLOOKUP($B$7:$B$5000,SUM!$L$6:$L$500,1,FALSE)</f>
        <v>#N/A</v>
      </c>
      <c r="D2892" s="171" t="s">
        <v>4915</v>
      </c>
      <c r="E2892" s="165" t="s">
        <v>58</v>
      </c>
      <c r="F2892" s="81" t="s">
        <v>4099</v>
      </c>
      <c r="G2892" s="125" t="s">
        <v>4956</v>
      </c>
      <c r="H2892" s="81" t="s">
        <v>4959</v>
      </c>
      <c r="I2892" s="149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77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1">
        <v>2887.0</v>
      </c>
      <c r="B2893" s="180" t="s">
        <v>4960</v>
      </c>
      <c r="C2893" s="82" t="str">
        <f>VLOOKUP($B$7:$B$5000,SUM!$L$6:$L$500,1,FALSE)</f>
        <v>#N/A</v>
      </c>
      <c r="D2893" s="171" t="s">
        <v>4915</v>
      </c>
      <c r="E2893" s="165" t="s">
        <v>58</v>
      </c>
      <c r="F2893" s="81" t="s">
        <v>4099</v>
      </c>
      <c r="G2893" s="125" t="s">
        <v>4956</v>
      </c>
      <c r="H2893" s="81" t="s">
        <v>4961</v>
      </c>
      <c r="I2893" s="149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77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1">
        <v>2888.0</v>
      </c>
      <c r="B2894" s="180" t="s">
        <v>4962</v>
      </c>
      <c r="C2894" s="82" t="str">
        <f>VLOOKUP($B$7:$B$5000,SUM!$L$6:$L$500,1,FALSE)</f>
        <v>#N/A</v>
      </c>
      <c r="D2894" s="171" t="s">
        <v>4915</v>
      </c>
      <c r="E2894" s="165" t="s">
        <v>58</v>
      </c>
      <c r="F2894" s="81" t="s">
        <v>4099</v>
      </c>
      <c r="G2894" s="125" t="s">
        <v>4956</v>
      </c>
      <c r="H2894" s="81" t="s">
        <v>4963</v>
      </c>
      <c r="I2894" s="149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77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1">
        <v>2889.0</v>
      </c>
      <c r="B2895" s="180" t="s">
        <v>4964</v>
      </c>
      <c r="C2895" s="82" t="str">
        <f>VLOOKUP($B$7:$B$5000,SUM!$L$6:$L$500,1,FALSE)</f>
        <v>#N/A</v>
      </c>
      <c r="D2895" s="171" t="s">
        <v>4915</v>
      </c>
      <c r="E2895" s="165" t="s">
        <v>58</v>
      </c>
      <c r="F2895" s="81" t="s">
        <v>4099</v>
      </c>
      <c r="G2895" s="125" t="s">
        <v>4956</v>
      </c>
      <c r="H2895" s="81" t="s">
        <v>4965</v>
      </c>
      <c r="I2895" s="149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77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1">
        <v>2890.0</v>
      </c>
      <c r="B2896" s="180" t="s">
        <v>4966</v>
      </c>
      <c r="C2896" s="82" t="str">
        <f>VLOOKUP($B$7:$B$5000,SUM!$L$6:$L$500,1,FALSE)</f>
        <v>#N/A</v>
      </c>
      <c r="D2896" s="171" t="s">
        <v>4915</v>
      </c>
      <c r="E2896" s="165" t="s">
        <v>58</v>
      </c>
      <c r="F2896" s="81" t="s">
        <v>4099</v>
      </c>
      <c r="G2896" s="125" t="s">
        <v>4956</v>
      </c>
      <c r="H2896" s="81" t="s">
        <v>4967</v>
      </c>
      <c r="I2896" s="149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77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1">
        <v>2891.0</v>
      </c>
      <c r="B2897" s="180" t="s">
        <v>4968</v>
      </c>
      <c r="C2897" s="82" t="str">
        <f>VLOOKUP($B$7:$B$5000,SUM!$L$6:$L$500,1,FALSE)</f>
        <v>#N/A</v>
      </c>
      <c r="D2897" s="171" t="s">
        <v>4915</v>
      </c>
      <c r="E2897" s="165" t="s">
        <v>58</v>
      </c>
      <c r="F2897" s="81" t="s">
        <v>4099</v>
      </c>
      <c r="G2897" s="125" t="s">
        <v>4956</v>
      </c>
      <c r="H2897" s="81" t="s">
        <v>4969</v>
      </c>
      <c r="I2897" s="149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77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1">
        <v>2892.0</v>
      </c>
      <c r="B2898" s="180" t="s">
        <v>4970</v>
      </c>
      <c r="C2898" s="82" t="str">
        <f>VLOOKUP($B$7:$B$5000,SUM!$L$6:$L$500,1,FALSE)</f>
        <v>#N/A</v>
      </c>
      <c r="D2898" s="171" t="s">
        <v>4915</v>
      </c>
      <c r="E2898" s="165" t="s">
        <v>58</v>
      </c>
      <c r="F2898" s="81" t="s">
        <v>4099</v>
      </c>
      <c r="G2898" s="125" t="s">
        <v>4956</v>
      </c>
      <c r="H2898" s="81" t="s">
        <v>4971</v>
      </c>
      <c r="I2898" s="149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77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1">
        <v>2893.0</v>
      </c>
      <c r="B2899" s="180" t="s">
        <v>4972</v>
      </c>
      <c r="C2899" s="82" t="str">
        <f>VLOOKUP($B$7:$B$5000,SUM!$L$6:$L$500,1,FALSE)</f>
        <v>#N/A</v>
      </c>
      <c r="D2899" s="171" t="s">
        <v>4915</v>
      </c>
      <c r="E2899" s="165" t="s">
        <v>58</v>
      </c>
      <c r="F2899" s="81" t="s">
        <v>4099</v>
      </c>
      <c r="G2899" s="125" t="s">
        <v>4956</v>
      </c>
      <c r="H2899" s="81" t="s">
        <v>4973</v>
      </c>
      <c r="I2899" s="149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77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1">
        <v>2894.0</v>
      </c>
      <c r="B2900" s="180" t="s">
        <v>4974</v>
      </c>
      <c r="C2900" s="82" t="str">
        <f>VLOOKUP($B$7:$B$5000,SUM!$L$6:$L$500,1,FALSE)</f>
        <v>#N/A</v>
      </c>
      <c r="D2900" s="171" t="s">
        <v>4915</v>
      </c>
      <c r="E2900" s="165" t="s">
        <v>58</v>
      </c>
      <c r="F2900" s="81" t="s">
        <v>4099</v>
      </c>
      <c r="G2900" s="125" t="s">
        <v>4956</v>
      </c>
      <c r="H2900" s="81" t="s">
        <v>4975</v>
      </c>
      <c r="I2900" s="149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77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1">
        <v>2895.0</v>
      </c>
      <c r="B2901" s="180" t="s">
        <v>4976</v>
      </c>
      <c r="C2901" s="82" t="str">
        <f>VLOOKUP($B$7:$B$5000,SUM!$L$6:$L$500,1,FALSE)</f>
        <v>#N/A</v>
      </c>
      <c r="D2901" s="171" t="s">
        <v>4915</v>
      </c>
      <c r="E2901" s="165" t="s">
        <v>58</v>
      </c>
      <c r="F2901" s="81" t="s">
        <v>4099</v>
      </c>
      <c r="G2901" s="125" t="s">
        <v>4956</v>
      </c>
      <c r="H2901" s="81" t="s">
        <v>4977</v>
      </c>
      <c r="I2901" s="149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77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1">
        <v>2896.0</v>
      </c>
      <c r="B2902" s="180" t="s">
        <v>4978</v>
      </c>
      <c r="C2902" s="82" t="str">
        <f>VLOOKUP($B$7:$B$5000,SUM!$L$6:$L$500,1,FALSE)</f>
        <v>#N/A</v>
      </c>
      <c r="D2902" s="171" t="s">
        <v>4915</v>
      </c>
      <c r="E2902" s="165" t="s">
        <v>58</v>
      </c>
      <c r="F2902" s="81" t="s">
        <v>4099</v>
      </c>
      <c r="G2902" s="125" t="s">
        <v>4956</v>
      </c>
      <c r="H2902" s="81" t="s">
        <v>4979</v>
      </c>
      <c r="I2902" s="149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77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1">
        <v>2897.0</v>
      </c>
      <c r="B2903" s="180" t="s">
        <v>4980</v>
      </c>
      <c r="C2903" s="82" t="str">
        <f>VLOOKUP($B$7:$B$5000,SUM!$L$6:$L$500,1,FALSE)</f>
        <v>#N/A</v>
      </c>
      <c r="D2903" s="171" t="s">
        <v>4915</v>
      </c>
      <c r="E2903" s="165" t="s">
        <v>58</v>
      </c>
      <c r="F2903" s="81" t="s">
        <v>4099</v>
      </c>
      <c r="G2903" s="125" t="s">
        <v>4956</v>
      </c>
      <c r="H2903" s="81" t="s">
        <v>4981</v>
      </c>
      <c r="I2903" s="149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77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1">
        <v>2898.0</v>
      </c>
      <c r="B2904" s="180" t="s">
        <v>4982</v>
      </c>
      <c r="C2904" s="82" t="str">
        <f>VLOOKUP($B$7:$B$5000,SUM!$L$6:$L$500,1,FALSE)</f>
        <v>#N/A</v>
      </c>
      <c r="D2904" s="171" t="s">
        <v>4915</v>
      </c>
      <c r="E2904" s="165" t="s">
        <v>58</v>
      </c>
      <c r="F2904" s="81" t="s">
        <v>4099</v>
      </c>
      <c r="G2904" s="125" t="s">
        <v>4956</v>
      </c>
      <c r="H2904" s="81" t="s">
        <v>4983</v>
      </c>
      <c r="I2904" s="149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77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1">
        <v>2899.0</v>
      </c>
      <c r="B2905" s="180" t="s">
        <v>4984</v>
      </c>
      <c r="C2905" s="82" t="str">
        <f>VLOOKUP($B$7:$B$5000,SUM!$L$6:$L$500,1,FALSE)</f>
        <v>#N/A</v>
      </c>
      <c r="D2905" s="171" t="s">
        <v>4915</v>
      </c>
      <c r="E2905" s="165" t="s">
        <v>58</v>
      </c>
      <c r="F2905" s="81" t="s">
        <v>4099</v>
      </c>
      <c r="G2905" s="125" t="s">
        <v>1761</v>
      </c>
      <c r="H2905" s="81" t="s">
        <v>4916</v>
      </c>
      <c r="I2905" s="149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77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1">
        <v>2900.0</v>
      </c>
      <c r="B2906" s="180" t="s">
        <v>4986</v>
      </c>
      <c r="C2906" s="82" t="str">
        <f>VLOOKUP($B$7:$B$5000,SUM!$L$6:$L$500,1,FALSE)</f>
        <v>#N/A</v>
      </c>
      <c r="D2906" s="171" t="s">
        <v>4915</v>
      </c>
      <c r="E2906" s="165" t="s">
        <v>58</v>
      </c>
      <c r="F2906" s="81" t="s">
        <v>4099</v>
      </c>
      <c r="G2906" s="125" t="s">
        <v>1761</v>
      </c>
      <c r="H2906" s="81" t="s">
        <v>4919</v>
      </c>
      <c r="I2906" s="149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77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1">
        <v>2901.0</v>
      </c>
      <c r="B2907" s="180" t="s">
        <v>4987</v>
      </c>
      <c r="C2907" s="82" t="str">
        <f>VLOOKUP($B$7:$B$5000,SUM!$L$6:$L$500,1,FALSE)</f>
        <v>#N/A</v>
      </c>
      <c r="D2907" s="171" t="s">
        <v>4915</v>
      </c>
      <c r="E2907" s="165" t="s">
        <v>58</v>
      </c>
      <c r="F2907" s="81" t="s">
        <v>4099</v>
      </c>
      <c r="G2907" s="125" t="s">
        <v>1761</v>
      </c>
      <c r="H2907" s="81" t="s">
        <v>4921</v>
      </c>
      <c r="I2907" s="149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77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1">
        <v>2902.0</v>
      </c>
      <c r="B2908" s="180" t="s">
        <v>4988</v>
      </c>
      <c r="C2908" s="82" t="str">
        <f>VLOOKUP($B$7:$B$5000,SUM!$L$6:$L$500,1,FALSE)</f>
        <v>#N/A</v>
      </c>
      <c r="D2908" s="171" t="s">
        <v>4915</v>
      </c>
      <c r="E2908" s="165" t="s">
        <v>58</v>
      </c>
      <c r="F2908" s="81" t="s">
        <v>4099</v>
      </c>
      <c r="G2908" s="125" t="s">
        <v>1761</v>
      </c>
      <c r="H2908" s="81" t="s">
        <v>4923</v>
      </c>
      <c r="I2908" s="149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77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1">
        <v>2903.0</v>
      </c>
      <c r="B2909" s="180" t="s">
        <v>4989</v>
      </c>
      <c r="C2909" s="82" t="str">
        <f>VLOOKUP($B$7:$B$5000,SUM!$L$6:$L$500,1,FALSE)</f>
        <v>#N/A</v>
      </c>
      <c r="D2909" s="171" t="s">
        <v>4915</v>
      </c>
      <c r="E2909" s="165" t="s">
        <v>58</v>
      </c>
      <c r="F2909" s="81" t="s">
        <v>4099</v>
      </c>
      <c r="G2909" s="125" t="s">
        <v>1761</v>
      </c>
      <c r="H2909" s="81" t="s">
        <v>4925</v>
      </c>
      <c r="I2909" s="149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77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1">
        <v>2904.0</v>
      </c>
      <c r="B2910" s="180" t="s">
        <v>4990</v>
      </c>
      <c r="C2910" s="82" t="str">
        <f>VLOOKUP($B$7:$B$5000,SUM!$L$6:$L$500,1,FALSE)</f>
        <v>#N/A</v>
      </c>
      <c r="D2910" s="171" t="s">
        <v>4915</v>
      </c>
      <c r="E2910" s="165" t="s">
        <v>58</v>
      </c>
      <c r="F2910" s="81" t="s">
        <v>4099</v>
      </c>
      <c r="G2910" s="125" t="s">
        <v>1761</v>
      </c>
      <c r="H2910" s="81" t="s">
        <v>4927</v>
      </c>
      <c r="I2910" s="149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77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1">
        <v>2905.0</v>
      </c>
      <c r="B2911" s="180" t="s">
        <v>4991</v>
      </c>
      <c r="C2911" s="82" t="str">
        <f>VLOOKUP($B$7:$B$5000,SUM!$L$6:$L$500,1,FALSE)</f>
        <v>#N/A</v>
      </c>
      <c r="D2911" s="171" t="s">
        <v>4915</v>
      </c>
      <c r="E2911" s="165" t="s">
        <v>58</v>
      </c>
      <c r="F2911" s="81" t="s">
        <v>4099</v>
      </c>
      <c r="G2911" s="125" t="s">
        <v>1761</v>
      </c>
      <c r="H2911" s="81" t="s">
        <v>4929</v>
      </c>
      <c r="I2911" s="149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77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1">
        <v>2906.0</v>
      </c>
      <c r="B2912" s="180" t="s">
        <v>4992</v>
      </c>
      <c r="C2912" s="82" t="str">
        <f>VLOOKUP($B$7:$B$5000,SUM!$L$6:$L$500,1,FALSE)</f>
        <v>#N/A</v>
      </c>
      <c r="D2912" s="171" t="s">
        <v>4915</v>
      </c>
      <c r="E2912" s="165" t="s">
        <v>58</v>
      </c>
      <c r="F2912" s="81" t="s">
        <v>4099</v>
      </c>
      <c r="G2912" s="125" t="s">
        <v>1761</v>
      </c>
      <c r="H2912" s="81" t="s">
        <v>4931</v>
      </c>
      <c r="I2912" s="149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77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1">
        <v>2907.0</v>
      </c>
      <c r="B2913" s="180" t="s">
        <v>4993</v>
      </c>
      <c r="C2913" s="82" t="str">
        <f>VLOOKUP($B$7:$B$5000,SUM!$L$6:$L$500,1,FALSE)</f>
        <v>#N/A</v>
      </c>
      <c r="D2913" s="171" t="s">
        <v>4915</v>
      </c>
      <c r="E2913" s="165" t="s">
        <v>58</v>
      </c>
      <c r="F2913" s="81" t="s">
        <v>4099</v>
      </c>
      <c r="G2913" s="125" t="s">
        <v>1761</v>
      </c>
      <c r="H2913" s="81" t="s">
        <v>4933</v>
      </c>
      <c r="I2913" s="149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77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1">
        <v>2908.0</v>
      </c>
      <c r="B2914" s="180" t="s">
        <v>4995</v>
      </c>
      <c r="C2914" s="82" t="str">
        <f>VLOOKUP($B$7:$B$5000,SUM!$L$6:$L$500,1,FALSE)</f>
        <v>#N/A</v>
      </c>
      <c r="D2914" s="171" t="s">
        <v>4915</v>
      </c>
      <c r="E2914" s="165" t="s">
        <v>58</v>
      </c>
      <c r="F2914" s="81" t="s">
        <v>4099</v>
      </c>
      <c r="G2914" s="125" t="s">
        <v>1761</v>
      </c>
      <c r="H2914" s="81" t="s">
        <v>4936</v>
      </c>
      <c r="I2914" s="149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77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1">
        <v>2909.0</v>
      </c>
      <c r="B2915" s="180" t="s">
        <v>4996</v>
      </c>
      <c r="C2915" s="82" t="str">
        <f>VLOOKUP($B$7:$B$5000,SUM!$L$6:$L$500,1,FALSE)</f>
        <v>#N/A</v>
      </c>
      <c r="D2915" s="171" t="s">
        <v>4915</v>
      </c>
      <c r="E2915" s="165" t="s">
        <v>58</v>
      </c>
      <c r="F2915" s="81" t="s">
        <v>4099</v>
      </c>
      <c r="G2915" s="125" t="s">
        <v>1761</v>
      </c>
      <c r="H2915" s="81" t="s">
        <v>4938</v>
      </c>
      <c r="I2915" s="149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77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1">
        <v>2910.0</v>
      </c>
      <c r="B2916" s="180" t="s">
        <v>4997</v>
      </c>
      <c r="C2916" s="82" t="str">
        <f>VLOOKUP($B$7:$B$5000,SUM!$L$6:$L$500,1,FALSE)</f>
        <v>#N/A</v>
      </c>
      <c r="D2916" s="171" t="s">
        <v>4915</v>
      </c>
      <c r="E2916" s="165" t="s">
        <v>58</v>
      </c>
      <c r="F2916" s="81" t="s">
        <v>4099</v>
      </c>
      <c r="G2916" s="125" t="s">
        <v>1761</v>
      </c>
      <c r="H2916" s="81" t="s">
        <v>4940</v>
      </c>
      <c r="I2916" s="149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77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1">
        <v>2911.0</v>
      </c>
      <c r="B2917" s="180" t="s">
        <v>4998</v>
      </c>
      <c r="C2917" s="82" t="str">
        <f>VLOOKUP($B$7:$B$5000,SUM!$L$6:$L$500,1,FALSE)</f>
        <v>#N/A</v>
      </c>
      <c r="D2917" s="171" t="s">
        <v>4915</v>
      </c>
      <c r="E2917" s="165" t="s">
        <v>58</v>
      </c>
      <c r="F2917" s="81" t="s">
        <v>4099</v>
      </c>
      <c r="G2917" s="125" t="s">
        <v>1761</v>
      </c>
      <c r="H2917" s="81" t="s">
        <v>4942</v>
      </c>
      <c r="I2917" s="149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77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1">
        <v>2912.0</v>
      </c>
      <c r="B2918" s="180" t="s">
        <v>4999</v>
      </c>
      <c r="C2918" s="82" t="str">
        <f>VLOOKUP($B$7:$B$5000,SUM!$L$6:$L$500,1,FALSE)</f>
        <v>#N/A</v>
      </c>
      <c r="D2918" s="171" t="s">
        <v>4915</v>
      </c>
      <c r="E2918" s="165" t="s">
        <v>58</v>
      </c>
      <c r="F2918" s="81" t="s">
        <v>4099</v>
      </c>
      <c r="G2918" s="125" t="s">
        <v>1761</v>
      </c>
      <c r="H2918" s="81" t="s">
        <v>4944</v>
      </c>
      <c r="I2918" s="149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77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1">
        <v>2913.0</v>
      </c>
      <c r="B2919" s="180" t="s">
        <v>5000</v>
      </c>
      <c r="C2919" s="82" t="str">
        <f>VLOOKUP($B$7:$B$5000,SUM!$L$6:$L$500,1,FALSE)</f>
        <v>#N/A</v>
      </c>
      <c r="D2919" s="171" t="s">
        <v>4915</v>
      </c>
      <c r="E2919" s="165" t="s">
        <v>58</v>
      </c>
      <c r="F2919" s="81" t="s">
        <v>4099</v>
      </c>
      <c r="G2919" s="125" t="s">
        <v>1761</v>
      </c>
      <c r="H2919" s="81" t="s">
        <v>4946</v>
      </c>
      <c r="I2919" s="149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77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1">
        <v>2914.0</v>
      </c>
      <c r="B2920" s="180" t="s">
        <v>5001</v>
      </c>
      <c r="C2920" s="82" t="str">
        <f>VLOOKUP($B$7:$B$5000,SUM!$L$6:$L$500,1,FALSE)</f>
        <v>#N/A</v>
      </c>
      <c r="D2920" s="171" t="s">
        <v>4915</v>
      </c>
      <c r="E2920" s="165" t="s">
        <v>58</v>
      </c>
      <c r="F2920" s="81" t="s">
        <v>4099</v>
      </c>
      <c r="G2920" s="125" t="s">
        <v>1761</v>
      </c>
      <c r="H2920" s="81" t="s">
        <v>4948</v>
      </c>
      <c r="I2920" s="149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77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1">
        <v>2915.0</v>
      </c>
      <c r="B2921" s="180" t="s">
        <v>5002</v>
      </c>
      <c r="C2921" s="82" t="str">
        <f>VLOOKUP($B$7:$B$5000,SUM!$L$6:$L$500,1,FALSE)</f>
        <v>#N/A</v>
      </c>
      <c r="D2921" s="171" t="s">
        <v>4915</v>
      </c>
      <c r="E2921" s="165" t="s">
        <v>58</v>
      </c>
      <c r="F2921" s="81" t="s">
        <v>4099</v>
      </c>
      <c r="G2921" s="125" t="s">
        <v>1761</v>
      </c>
      <c r="H2921" s="81" t="s">
        <v>4950</v>
      </c>
      <c r="I2921" s="149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77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1">
        <v>2916.0</v>
      </c>
      <c r="B2922" s="180" t="s">
        <v>5003</v>
      </c>
      <c r="C2922" s="82" t="str">
        <f>VLOOKUP($B$7:$B$5000,SUM!$L$6:$L$500,1,FALSE)</f>
        <v>#N/A</v>
      </c>
      <c r="D2922" s="171" t="s">
        <v>4915</v>
      </c>
      <c r="E2922" s="165" t="s">
        <v>58</v>
      </c>
      <c r="F2922" s="81" t="s">
        <v>4099</v>
      </c>
      <c r="G2922" s="125" t="s">
        <v>1761</v>
      </c>
      <c r="H2922" s="81" t="s">
        <v>4952</v>
      </c>
      <c r="I2922" s="149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77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1">
        <v>2917.0</v>
      </c>
      <c r="B2923" s="180" t="s">
        <v>5004</v>
      </c>
      <c r="C2923" s="82" t="str">
        <f>VLOOKUP($B$7:$B$5000,SUM!$L$6:$L$500,1,FALSE)</f>
        <v>#N/A</v>
      </c>
      <c r="D2923" s="171" t="s">
        <v>4915</v>
      </c>
      <c r="E2923" s="165" t="s">
        <v>58</v>
      </c>
      <c r="F2923" s="81" t="s">
        <v>4099</v>
      </c>
      <c r="G2923" s="125" t="s">
        <v>1761</v>
      </c>
      <c r="H2923" s="81" t="s">
        <v>4954</v>
      </c>
      <c r="I2923" s="149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77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1">
        <v>2918.0</v>
      </c>
      <c r="B2924" s="180" t="s">
        <v>5005</v>
      </c>
      <c r="C2924" s="82" t="str">
        <f>VLOOKUP($B$7:$B$5000,SUM!$L$6:$L$500,1,FALSE)</f>
        <v>#N/A</v>
      </c>
      <c r="D2924" s="171" t="s">
        <v>4915</v>
      </c>
      <c r="E2924" s="165" t="s">
        <v>58</v>
      </c>
      <c r="F2924" s="81" t="s">
        <v>4099</v>
      </c>
      <c r="G2924" s="125" t="s">
        <v>4956</v>
      </c>
      <c r="H2924" s="81" t="s">
        <v>4957</v>
      </c>
      <c r="I2924" s="149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77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1">
        <v>2919.0</v>
      </c>
      <c r="B2925" s="180" t="s">
        <v>5006</v>
      </c>
      <c r="C2925" s="82" t="str">
        <f>VLOOKUP($B$7:$B$5000,SUM!$L$6:$L$500,1,FALSE)</f>
        <v>#N/A</v>
      </c>
      <c r="D2925" s="171" t="s">
        <v>4915</v>
      </c>
      <c r="E2925" s="165" t="s">
        <v>58</v>
      </c>
      <c r="F2925" s="81" t="s">
        <v>4099</v>
      </c>
      <c r="G2925" s="125" t="s">
        <v>4956</v>
      </c>
      <c r="H2925" s="81" t="s">
        <v>4959</v>
      </c>
      <c r="I2925" s="149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77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1">
        <v>2920.0</v>
      </c>
      <c r="B2926" s="180" t="s">
        <v>5007</v>
      </c>
      <c r="C2926" s="82" t="str">
        <f>VLOOKUP($B$7:$B$5000,SUM!$L$6:$L$500,1,FALSE)</f>
        <v>#N/A</v>
      </c>
      <c r="D2926" s="171" t="s">
        <v>4915</v>
      </c>
      <c r="E2926" s="165" t="s">
        <v>58</v>
      </c>
      <c r="F2926" s="81" t="s">
        <v>4099</v>
      </c>
      <c r="G2926" s="125" t="s">
        <v>4956</v>
      </c>
      <c r="H2926" s="81" t="s">
        <v>4961</v>
      </c>
      <c r="I2926" s="149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77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1">
        <v>2921.0</v>
      </c>
      <c r="B2927" s="180" t="s">
        <v>5008</v>
      </c>
      <c r="C2927" s="82" t="str">
        <f>VLOOKUP($B$7:$B$5000,SUM!$L$6:$L$500,1,FALSE)</f>
        <v>#N/A</v>
      </c>
      <c r="D2927" s="171" t="s">
        <v>4915</v>
      </c>
      <c r="E2927" s="165" t="s">
        <v>58</v>
      </c>
      <c r="F2927" s="81" t="s">
        <v>4099</v>
      </c>
      <c r="G2927" s="125" t="s">
        <v>4956</v>
      </c>
      <c r="H2927" s="81" t="s">
        <v>4963</v>
      </c>
      <c r="I2927" s="149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77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1">
        <v>2922.0</v>
      </c>
      <c r="B2928" s="180" t="s">
        <v>5009</v>
      </c>
      <c r="C2928" s="82" t="str">
        <f>VLOOKUP($B$7:$B$5000,SUM!$L$6:$L$500,1,FALSE)</f>
        <v>#N/A</v>
      </c>
      <c r="D2928" s="171" t="s">
        <v>4915</v>
      </c>
      <c r="E2928" s="165" t="s">
        <v>58</v>
      </c>
      <c r="F2928" s="81" t="s">
        <v>4099</v>
      </c>
      <c r="G2928" s="125" t="s">
        <v>4956</v>
      </c>
      <c r="H2928" s="81" t="s">
        <v>4965</v>
      </c>
      <c r="I2928" s="149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77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1">
        <v>2923.0</v>
      </c>
      <c r="B2929" s="180" t="s">
        <v>5010</v>
      </c>
      <c r="C2929" s="82" t="str">
        <f>VLOOKUP($B$7:$B$5000,SUM!$L$6:$L$500,1,FALSE)</f>
        <v>#N/A</v>
      </c>
      <c r="D2929" s="171" t="s">
        <v>4915</v>
      </c>
      <c r="E2929" s="165" t="s">
        <v>58</v>
      </c>
      <c r="F2929" s="81" t="s">
        <v>4099</v>
      </c>
      <c r="G2929" s="125" t="s">
        <v>4956</v>
      </c>
      <c r="H2929" s="81" t="s">
        <v>4967</v>
      </c>
      <c r="I2929" s="149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77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1">
        <v>2924.0</v>
      </c>
      <c r="B2930" s="180" t="s">
        <v>5011</v>
      </c>
      <c r="C2930" s="82" t="str">
        <f>VLOOKUP($B$7:$B$5000,SUM!$L$6:$L$500,1,FALSE)</f>
        <v>#N/A</v>
      </c>
      <c r="D2930" s="171" t="s">
        <v>4915</v>
      </c>
      <c r="E2930" s="165" t="s">
        <v>58</v>
      </c>
      <c r="F2930" s="81" t="s">
        <v>4099</v>
      </c>
      <c r="G2930" s="125" t="s">
        <v>4956</v>
      </c>
      <c r="H2930" s="81" t="s">
        <v>4969</v>
      </c>
      <c r="I2930" s="149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77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1">
        <v>2925.0</v>
      </c>
      <c r="B2931" s="180" t="s">
        <v>5012</v>
      </c>
      <c r="C2931" s="82" t="str">
        <f>VLOOKUP($B$7:$B$5000,SUM!$L$6:$L$500,1,FALSE)</f>
        <v>#N/A</v>
      </c>
      <c r="D2931" s="171" t="s">
        <v>4915</v>
      </c>
      <c r="E2931" s="165" t="s">
        <v>58</v>
      </c>
      <c r="F2931" s="81" t="s">
        <v>4099</v>
      </c>
      <c r="G2931" s="125" t="s">
        <v>4956</v>
      </c>
      <c r="H2931" s="81" t="s">
        <v>4971</v>
      </c>
      <c r="I2931" s="149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77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1">
        <v>2926.0</v>
      </c>
      <c r="B2932" s="180" t="s">
        <v>5013</v>
      </c>
      <c r="C2932" s="82" t="str">
        <f>VLOOKUP($B$7:$B$5000,SUM!$L$6:$L$500,1,FALSE)</f>
        <v>#N/A</v>
      </c>
      <c r="D2932" s="171" t="s">
        <v>4915</v>
      </c>
      <c r="E2932" s="165" t="s">
        <v>58</v>
      </c>
      <c r="F2932" s="81" t="s">
        <v>4099</v>
      </c>
      <c r="G2932" s="125" t="s">
        <v>4956</v>
      </c>
      <c r="H2932" s="81" t="s">
        <v>4973</v>
      </c>
      <c r="I2932" s="149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77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1">
        <v>2927.0</v>
      </c>
      <c r="B2933" s="180" t="s">
        <v>5014</v>
      </c>
      <c r="C2933" s="82" t="str">
        <f>VLOOKUP($B$7:$B$5000,SUM!$L$6:$L$500,1,FALSE)</f>
        <v>#N/A</v>
      </c>
      <c r="D2933" s="171" t="s">
        <v>4915</v>
      </c>
      <c r="E2933" s="165" t="s">
        <v>58</v>
      </c>
      <c r="F2933" s="81" t="s">
        <v>4099</v>
      </c>
      <c r="G2933" s="125" t="s">
        <v>4956</v>
      </c>
      <c r="H2933" s="81" t="s">
        <v>4975</v>
      </c>
      <c r="I2933" s="149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77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1">
        <v>2928.0</v>
      </c>
      <c r="B2934" s="180" t="s">
        <v>5015</v>
      </c>
      <c r="C2934" s="82" t="str">
        <f>VLOOKUP($B$7:$B$5000,SUM!$L$6:$L$500,1,FALSE)</f>
        <v>#N/A</v>
      </c>
      <c r="D2934" s="171" t="s">
        <v>4915</v>
      </c>
      <c r="E2934" s="165" t="s">
        <v>58</v>
      </c>
      <c r="F2934" s="81" t="s">
        <v>4099</v>
      </c>
      <c r="G2934" s="125" t="s">
        <v>4956</v>
      </c>
      <c r="H2934" s="81" t="s">
        <v>4977</v>
      </c>
      <c r="I2934" s="149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77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1">
        <v>2929.0</v>
      </c>
      <c r="B2935" s="180" t="s">
        <v>5016</v>
      </c>
      <c r="C2935" s="82" t="str">
        <f>VLOOKUP($B$7:$B$5000,SUM!$L$6:$L$500,1,FALSE)</f>
        <v>#N/A</v>
      </c>
      <c r="D2935" s="171" t="s">
        <v>4915</v>
      </c>
      <c r="E2935" s="165" t="s">
        <v>58</v>
      </c>
      <c r="F2935" s="81" t="s">
        <v>4099</v>
      </c>
      <c r="G2935" s="125" t="s">
        <v>4956</v>
      </c>
      <c r="H2935" s="81" t="s">
        <v>4979</v>
      </c>
      <c r="I2935" s="149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77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1">
        <v>2930.0</v>
      </c>
      <c r="B2936" s="180" t="s">
        <v>5017</v>
      </c>
      <c r="C2936" s="82" t="str">
        <f>VLOOKUP($B$7:$B$5000,SUM!$L$6:$L$500,1,FALSE)</f>
        <v>#N/A</v>
      </c>
      <c r="D2936" s="171" t="s">
        <v>4915</v>
      </c>
      <c r="E2936" s="165" t="s">
        <v>58</v>
      </c>
      <c r="F2936" s="81" t="s">
        <v>4099</v>
      </c>
      <c r="G2936" s="125" t="s">
        <v>4956</v>
      </c>
      <c r="H2936" s="81" t="s">
        <v>4981</v>
      </c>
      <c r="I2936" s="149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77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1">
        <v>2931.0</v>
      </c>
      <c r="B2937" s="180" t="s">
        <v>5018</v>
      </c>
      <c r="C2937" s="82" t="str">
        <f>VLOOKUP($B$7:$B$5000,SUM!$L$6:$L$500,1,FALSE)</f>
        <v>#N/A</v>
      </c>
      <c r="D2937" s="171" t="s">
        <v>4915</v>
      </c>
      <c r="E2937" s="165" t="s">
        <v>58</v>
      </c>
      <c r="F2937" s="81" t="s">
        <v>4099</v>
      </c>
      <c r="G2937" s="125" t="s">
        <v>4956</v>
      </c>
      <c r="H2937" s="81" t="s">
        <v>4983</v>
      </c>
      <c r="I2937" s="149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77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1">
        <v>2932.0</v>
      </c>
      <c r="B2938" s="180" t="s">
        <v>5019</v>
      </c>
      <c r="C2938" s="82" t="str">
        <f>VLOOKUP($B$7:$B$5000,SUM!$L$6:$L$500,1,FALSE)</f>
        <v>#N/A</v>
      </c>
      <c r="D2938" s="171" t="s">
        <v>4915</v>
      </c>
      <c r="E2938" s="165" t="s">
        <v>58</v>
      </c>
      <c r="F2938" s="81" t="s">
        <v>4099</v>
      </c>
      <c r="G2938" s="125" t="s">
        <v>1761</v>
      </c>
      <c r="H2938" s="81" t="s">
        <v>4916</v>
      </c>
      <c r="I2938" s="149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77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1">
        <v>2933.0</v>
      </c>
      <c r="B2939" s="180" t="s">
        <v>5021</v>
      </c>
      <c r="C2939" s="82" t="str">
        <f>VLOOKUP($B$7:$B$5000,SUM!$L$6:$L$500,1,FALSE)</f>
        <v>#N/A</v>
      </c>
      <c r="D2939" s="171" t="s">
        <v>4915</v>
      </c>
      <c r="E2939" s="165" t="s">
        <v>58</v>
      </c>
      <c r="F2939" s="81" t="s">
        <v>4099</v>
      </c>
      <c r="G2939" s="125" t="s">
        <v>1761</v>
      </c>
      <c r="H2939" s="81" t="s">
        <v>4919</v>
      </c>
      <c r="I2939" s="149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77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1">
        <v>2934.0</v>
      </c>
      <c r="B2940" s="180" t="s">
        <v>5022</v>
      </c>
      <c r="C2940" s="82" t="str">
        <f>VLOOKUP($B$7:$B$5000,SUM!$L$6:$L$500,1,FALSE)</f>
        <v>#N/A</v>
      </c>
      <c r="D2940" s="171" t="s">
        <v>4915</v>
      </c>
      <c r="E2940" s="165" t="s">
        <v>58</v>
      </c>
      <c r="F2940" s="81" t="s">
        <v>4099</v>
      </c>
      <c r="G2940" s="125" t="s">
        <v>1761</v>
      </c>
      <c r="H2940" s="81" t="s">
        <v>4921</v>
      </c>
      <c r="I2940" s="149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77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1">
        <v>2935.0</v>
      </c>
      <c r="B2941" s="180" t="s">
        <v>5023</v>
      </c>
      <c r="C2941" s="82" t="str">
        <f>VLOOKUP($B$7:$B$5000,SUM!$L$6:$L$500,1,FALSE)</f>
        <v>#N/A</v>
      </c>
      <c r="D2941" s="171" t="s">
        <v>4915</v>
      </c>
      <c r="E2941" s="165" t="s">
        <v>58</v>
      </c>
      <c r="F2941" s="81" t="s">
        <v>4099</v>
      </c>
      <c r="G2941" s="125" t="s">
        <v>1761</v>
      </c>
      <c r="H2941" s="81" t="s">
        <v>4923</v>
      </c>
      <c r="I2941" s="149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77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1">
        <v>2936.0</v>
      </c>
      <c r="B2942" s="180" t="s">
        <v>5024</v>
      </c>
      <c r="C2942" s="82" t="str">
        <f>VLOOKUP($B$7:$B$5000,SUM!$L$6:$L$500,1,FALSE)</f>
        <v>#N/A</v>
      </c>
      <c r="D2942" s="171" t="s">
        <v>4915</v>
      </c>
      <c r="E2942" s="165" t="s">
        <v>58</v>
      </c>
      <c r="F2942" s="81" t="s">
        <v>4099</v>
      </c>
      <c r="G2942" s="125" t="s">
        <v>1761</v>
      </c>
      <c r="H2942" s="81" t="s">
        <v>4925</v>
      </c>
      <c r="I2942" s="149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77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1">
        <v>2937.0</v>
      </c>
      <c r="B2943" s="180" t="s">
        <v>5025</v>
      </c>
      <c r="C2943" s="82" t="str">
        <f>VLOOKUP($B$7:$B$5000,SUM!$L$6:$L$500,1,FALSE)</f>
        <v>#N/A</v>
      </c>
      <c r="D2943" s="171" t="s">
        <v>4915</v>
      </c>
      <c r="E2943" s="165" t="s">
        <v>58</v>
      </c>
      <c r="F2943" s="81" t="s">
        <v>4099</v>
      </c>
      <c r="G2943" s="125" t="s">
        <v>1761</v>
      </c>
      <c r="H2943" s="81" t="s">
        <v>4927</v>
      </c>
      <c r="I2943" s="149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77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1">
        <v>2938.0</v>
      </c>
      <c r="B2944" s="180" t="s">
        <v>5026</v>
      </c>
      <c r="C2944" s="82" t="str">
        <f>VLOOKUP($B$7:$B$5000,SUM!$L$6:$L$500,1,FALSE)</f>
        <v>#N/A</v>
      </c>
      <c r="D2944" s="171" t="s">
        <v>4915</v>
      </c>
      <c r="E2944" s="165" t="s">
        <v>58</v>
      </c>
      <c r="F2944" s="81" t="s">
        <v>4099</v>
      </c>
      <c r="G2944" s="125" t="s">
        <v>1761</v>
      </c>
      <c r="H2944" s="81" t="s">
        <v>4929</v>
      </c>
      <c r="I2944" s="149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77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1">
        <v>2939.0</v>
      </c>
      <c r="B2945" s="180" t="s">
        <v>5027</v>
      </c>
      <c r="C2945" s="82" t="str">
        <f>VLOOKUP($B$7:$B$5000,SUM!$L$6:$L$500,1,FALSE)</f>
        <v>#N/A</v>
      </c>
      <c r="D2945" s="171" t="s">
        <v>4915</v>
      </c>
      <c r="E2945" s="165" t="s">
        <v>58</v>
      </c>
      <c r="F2945" s="81" t="s">
        <v>4099</v>
      </c>
      <c r="G2945" s="125" t="s">
        <v>1761</v>
      </c>
      <c r="H2945" s="81" t="s">
        <v>4931</v>
      </c>
      <c r="I2945" s="149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77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1">
        <v>2940.0</v>
      </c>
      <c r="B2946" s="180" t="s">
        <v>5028</v>
      </c>
      <c r="C2946" s="82" t="str">
        <f>VLOOKUP($B$7:$B$5000,SUM!$L$6:$L$500,1,FALSE)</f>
        <v>#N/A</v>
      </c>
      <c r="D2946" s="171" t="s">
        <v>4915</v>
      </c>
      <c r="E2946" s="165" t="s">
        <v>58</v>
      </c>
      <c r="F2946" s="81" t="s">
        <v>4099</v>
      </c>
      <c r="G2946" s="125" t="s">
        <v>1761</v>
      </c>
      <c r="H2946" s="81" t="s">
        <v>4933</v>
      </c>
      <c r="I2946" s="149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77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1">
        <v>2941.0</v>
      </c>
      <c r="B2947" s="180" t="s">
        <v>5030</v>
      </c>
      <c r="C2947" s="82" t="str">
        <f>VLOOKUP($B$7:$B$5000,SUM!$L$6:$L$500,1,FALSE)</f>
        <v>#N/A</v>
      </c>
      <c r="D2947" s="171" t="s">
        <v>4915</v>
      </c>
      <c r="E2947" s="165" t="s">
        <v>58</v>
      </c>
      <c r="F2947" s="81" t="s">
        <v>4099</v>
      </c>
      <c r="G2947" s="125" t="s">
        <v>1761</v>
      </c>
      <c r="H2947" s="81" t="s">
        <v>4936</v>
      </c>
      <c r="I2947" s="149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77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1">
        <v>2942.0</v>
      </c>
      <c r="B2948" s="180" t="s">
        <v>5031</v>
      </c>
      <c r="C2948" s="82" t="str">
        <f>VLOOKUP($B$7:$B$5000,SUM!$L$6:$L$500,1,FALSE)</f>
        <v>#N/A</v>
      </c>
      <c r="D2948" s="171" t="s">
        <v>4915</v>
      </c>
      <c r="E2948" s="165" t="s">
        <v>58</v>
      </c>
      <c r="F2948" s="81" t="s">
        <v>4099</v>
      </c>
      <c r="G2948" s="125" t="s">
        <v>1761</v>
      </c>
      <c r="H2948" s="81" t="s">
        <v>4938</v>
      </c>
      <c r="I2948" s="149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77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1">
        <v>2943.0</v>
      </c>
      <c r="B2949" s="180" t="s">
        <v>5032</v>
      </c>
      <c r="C2949" s="82" t="str">
        <f>VLOOKUP($B$7:$B$5000,SUM!$L$6:$L$500,1,FALSE)</f>
        <v>#N/A</v>
      </c>
      <c r="D2949" s="171" t="s">
        <v>4915</v>
      </c>
      <c r="E2949" s="165" t="s">
        <v>58</v>
      </c>
      <c r="F2949" s="81" t="s">
        <v>4099</v>
      </c>
      <c r="G2949" s="125" t="s">
        <v>1761</v>
      </c>
      <c r="H2949" s="81" t="s">
        <v>4940</v>
      </c>
      <c r="I2949" s="149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77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1">
        <v>2944.0</v>
      </c>
      <c r="B2950" s="180" t="s">
        <v>5033</v>
      </c>
      <c r="C2950" s="82" t="str">
        <f>VLOOKUP($B$7:$B$5000,SUM!$L$6:$L$500,1,FALSE)</f>
        <v>#N/A</v>
      </c>
      <c r="D2950" s="171" t="s">
        <v>4915</v>
      </c>
      <c r="E2950" s="165" t="s">
        <v>58</v>
      </c>
      <c r="F2950" s="81" t="s">
        <v>4099</v>
      </c>
      <c r="G2950" s="125" t="s">
        <v>1761</v>
      </c>
      <c r="H2950" s="81" t="s">
        <v>4942</v>
      </c>
      <c r="I2950" s="149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77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1">
        <v>2945.0</v>
      </c>
      <c r="B2951" s="180" t="s">
        <v>5034</v>
      </c>
      <c r="C2951" s="82" t="str">
        <f>VLOOKUP($B$7:$B$5000,SUM!$L$6:$L$500,1,FALSE)</f>
        <v>#N/A</v>
      </c>
      <c r="D2951" s="171" t="s">
        <v>4915</v>
      </c>
      <c r="E2951" s="165" t="s">
        <v>58</v>
      </c>
      <c r="F2951" s="81" t="s">
        <v>4099</v>
      </c>
      <c r="G2951" s="125" t="s">
        <v>1761</v>
      </c>
      <c r="H2951" s="81" t="s">
        <v>4944</v>
      </c>
      <c r="I2951" s="149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77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1">
        <v>2946.0</v>
      </c>
      <c r="B2952" s="180" t="s">
        <v>5035</v>
      </c>
      <c r="C2952" s="82" t="str">
        <f>VLOOKUP($B$7:$B$5000,SUM!$L$6:$L$500,1,FALSE)</f>
        <v>#N/A</v>
      </c>
      <c r="D2952" s="171" t="s">
        <v>4915</v>
      </c>
      <c r="E2952" s="165" t="s">
        <v>58</v>
      </c>
      <c r="F2952" s="81" t="s">
        <v>4099</v>
      </c>
      <c r="G2952" s="125" t="s">
        <v>1761</v>
      </c>
      <c r="H2952" s="81" t="s">
        <v>4946</v>
      </c>
      <c r="I2952" s="149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77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1">
        <v>2947.0</v>
      </c>
      <c r="B2953" s="180" t="s">
        <v>5036</v>
      </c>
      <c r="C2953" s="82" t="str">
        <f>VLOOKUP($B$7:$B$5000,SUM!$L$6:$L$500,1,FALSE)</f>
        <v>#N/A</v>
      </c>
      <c r="D2953" s="171" t="s">
        <v>4915</v>
      </c>
      <c r="E2953" s="165" t="s">
        <v>58</v>
      </c>
      <c r="F2953" s="81" t="s">
        <v>4099</v>
      </c>
      <c r="G2953" s="125" t="s">
        <v>1761</v>
      </c>
      <c r="H2953" s="81" t="s">
        <v>4948</v>
      </c>
      <c r="I2953" s="149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77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1">
        <v>2948.0</v>
      </c>
      <c r="B2954" s="180" t="s">
        <v>5037</v>
      </c>
      <c r="C2954" s="82" t="str">
        <f>VLOOKUP($B$7:$B$5000,SUM!$L$6:$L$500,1,FALSE)</f>
        <v>#N/A</v>
      </c>
      <c r="D2954" s="171" t="s">
        <v>4915</v>
      </c>
      <c r="E2954" s="165" t="s">
        <v>58</v>
      </c>
      <c r="F2954" s="81" t="s">
        <v>4099</v>
      </c>
      <c r="G2954" s="125" t="s">
        <v>1761</v>
      </c>
      <c r="H2954" s="81" t="s">
        <v>4950</v>
      </c>
      <c r="I2954" s="149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77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1">
        <v>2949.0</v>
      </c>
      <c r="B2955" s="180" t="s">
        <v>5038</v>
      </c>
      <c r="C2955" s="82" t="str">
        <f>VLOOKUP($B$7:$B$5000,SUM!$L$6:$L$500,1,FALSE)</f>
        <v>#N/A</v>
      </c>
      <c r="D2955" s="171" t="s">
        <v>4915</v>
      </c>
      <c r="E2955" s="165" t="s">
        <v>58</v>
      </c>
      <c r="F2955" s="81" t="s">
        <v>4099</v>
      </c>
      <c r="G2955" s="125" t="s">
        <v>1761</v>
      </c>
      <c r="H2955" s="81" t="s">
        <v>4952</v>
      </c>
      <c r="I2955" s="149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77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1">
        <v>2950.0</v>
      </c>
      <c r="B2956" s="180" t="s">
        <v>5039</v>
      </c>
      <c r="C2956" s="82" t="str">
        <f>VLOOKUP($B$7:$B$5000,SUM!$L$6:$L$500,1,FALSE)</f>
        <v>#N/A</v>
      </c>
      <c r="D2956" s="171" t="s">
        <v>4915</v>
      </c>
      <c r="E2956" s="165" t="s">
        <v>58</v>
      </c>
      <c r="F2956" s="81" t="s">
        <v>4099</v>
      </c>
      <c r="G2956" s="125" t="s">
        <v>1761</v>
      </c>
      <c r="H2956" s="81" t="s">
        <v>4954</v>
      </c>
      <c r="I2956" s="149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77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1">
        <v>2951.0</v>
      </c>
      <c r="B2957" s="180" t="s">
        <v>5040</v>
      </c>
      <c r="C2957" s="82" t="str">
        <f>VLOOKUP($B$7:$B$5000,SUM!$L$6:$L$500,1,FALSE)</f>
        <v>#N/A</v>
      </c>
      <c r="D2957" s="171" t="s">
        <v>4915</v>
      </c>
      <c r="E2957" s="165" t="s">
        <v>58</v>
      </c>
      <c r="F2957" s="81" t="s">
        <v>4099</v>
      </c>
      <c r="G2957" s="125" t="s">
        <v>1761</v>
      </c>
      <c r="H2957" s="81" t="s">
        <v>4916</v>
      </c>
      <c r="I2957" s="149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77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1">
        <v>2952.0</v>
      </c>
      <c r="B2958" s="180" t="s">
        <v>5042</v>
      </c>
      <c r="C2958" s="82" t="str">
        <f>VLOOKUP($B$7:$B$5000,SUM!$L$6:$L$500,1,FALSE)</f>
        <v>#N/A</v>
      </c>
      <c r="D2958" s="171" t="s">
        <v>4915</v>
      </c>
      <c r="E2958" s="165" t="s">
        <v>58</v>
      </c>
      <c r="F2958" s="81" t="s">
        <v>4099</v>
      </c>
      <c r="G2958" s="125" t="s">
        <v>1761</v>
      </c>
      <c r="H2958" s="81" t="s">
        <v>4919</v>
      </c>
      <c r="I2958" s="149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77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1">
        <v>2953.0</v>
      </c>
      <c r="B2959" s="180" t="s">
        <v>5043</v>
      </c>
      <c r="C2959" s="82" t="str">
        <f>VLOOKUP($B$7:$B$5000,SUM!$L$6:$L$500,1,FALSE)</f>
        <v>#N/A</v>
      </c>
      <c r="D2959" s="171" t="s">
        <v>4915</v>
      </c>
      <c r="E2959" s="165" t="s">
        <v>58</v>
      </c>
      <c r="F2959" s="81" t="s">
        <v>4099</v>
      </c>
      <c r="G2959" s="125" t="s">
        <v>1761</v>
      </c>
      <c r="H2959" s="81" t="s">
        <v>4921</v>
      </c>
      <c r="I2959" s="149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77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1">
        <v>2954.0</v>
      </c>
      <c r="B2960" s="180" t="s">
        <v>5044</v>
      </c>
      <c r="C2960" s="82" t="str">
        <f>VLOOKUP($B$7:$B$5000,SUM!$L$6:$L$500,1,FALSE)</f>
        <v>#N/A</v>
      </c>
      <c r="D2960" s="171" t="s">
        <v>4915</v>
      </c>
      <c r="E2960" s="165" t="s">
        <v>58</v>
      </c>
      <c r="F2960" s="81" t="s">
        <v>4099</v>
      </c>
      <c r="G2960" s="125" t="s">
        <v>1761</v>
      </c>
      <c r="H2960" s="81" t="s">
        <v>4923</v>
      </c>
      <c r="I2960" s="149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77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1">
        <v>2955.0</v>
      </c>
      <c r="B2961" s="180" t="s">
        <v>5045</v>
      </c>
      <c r="C2961" s="82" t="str">
        <f>VLOOKUP($B$7:$B$5000,SUM!$L$6:$L$500,1,FALSE)</f>
        <v>#N/A</v>
      </c>
      <c r="D2961" s="171" t="s">
        <v>4915</v>
      </c>
      <c r="E2961" s="165" t="s">
        <v>58</v>
      </c>
      <c r="F2961" s="81" t="s">
        <v>4099</v>
      </c>
      <c r="G2961" s="125" t="s">
        <v>1761</v>
      </c>
      <c r="H2961" s="81" t="s">
        <v>4925</v>
      </c>
      <c r="I2961" s="149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77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1">
        <v>2956.0</v>
      </c>
      <c r="B2962" s="180" t="s">
        <v>5046</v>
      </c>
      <c r="C2962" s="82" t="str">
        <f>VLOOKUP($B$7:$B$5000,SUM!$L$6:$L$500,1,FALSE)</f>
        <v>#N/A</v>
      </c>
      <c r="D2962" s="171" t="s">
        <v>4915</v>
      </c>
      <c r="E2962" s="165" t="s">
        <v>58</v>
      </c>
      <c r="F2962" s="81" t="s">
        <v>4099</v>
      </c>
      <c r="G2962" s="125" t="s">
        <v>1761</v>
      </c>
      <c r="H2962" s="81" t="s">
        <v>4927</v>
      </c>
      <c r="I2962" s="149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77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1">
        <v>2957.0</v>
      </c>
      <c r="B2963" s="180" t="s">
        <v>5047</v>
      </c>
      <c r="C2963" s="82" t="str">
        <f>VLOOKUP($B$7:$B$5000,SUM!$L$6:$L$500,1,FALSE)</f>
        <v>#N/A</v>
      </c>
      <c r="D2963" s="171" t="s">
        <v>4915</v>
      </c>
      <c r="E2963" s="165" t="s">
        <v>58</v>
      </c>
      <c r="F2963" s="81" t="s">
        <v>4099</v>
      </c>
      <c r="G2963" s="125" t="s">
        <v>1761</v>
      </c>
      <c r="H2963" s="81" t="s">
        <v>4929</v>
      </c>
      <c r="I2963" s="149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77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1">
        <v>2958.0</v>
      </c>
      <c r="B2964" s="180" t="s">
        <v>5048</v>
      </c>
      <c r="C2964" s="82" t="str">
        <f>VLOOKUP($B$7:$B$5000,SUM!$L$6:$L$500,1,FALSE)</f>
        <v>#N/A</v>
      </c>
      <c r="D2964" s="171" t="s">
        <v>4915</v>
      </c>
      <c r="E2964" s="165" t="s">
        <v>58</v>
      </c>
      <c r="F2964" s="81" t="s">
        <v>4099</v>
      </c>
      <c r="G2964" s="125" t="s">
        <v>1761</v>
      </c>
      <c r="H2964" s="81" t="s">
        <v>4931</v>
      </c>
      <c r="I2964" s="149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77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1">
        <v>2959.0</v>
      </c>
      <c r="B2965" s="180" t="s">
        <v>5049</v>
      </c>
      <c r="C2965" s="82" t="str">
        <f>VLOOKUP($B$7:$B$5000,SUM!$L$6:$L$500,1,FALSE)</f>
        <v>#N/A</v>
      </c>
      <c r="D2965" s="171" t="s">
        <v>4915</v>
      </c>
      <c r="E2965" s="165" t="s">
        <v>58</v>
      </c>
      <c r="F2965" s="81" t="s">
        <v>4099</v>
      </c>
      <c r="G2965" s="125" t="s">
        <v>1761</v>
      </c>
      <c r="H2965" s="81" t="s">
        <v>4933</v>
      </c>
      <c r="I2965" s="149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77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1">
        <v>2960.0</v>
      </c>
      <c r="B2966" s="180" t="s">
        <v>5051</v>
      </c>
      <c r="C2966" s="82" t="str">
        <f>VLOOKUP($B$7:$B$5000,SUM!$L$6:$L$500,1,FALSE)</f>
        <v>#N/A</v>
      </c>
      <c r="D2966" s="171" t="s">
        <v>4915</v>
      </c>
      <c r="E2966" s="165" t="s">
        <v>58</v>
      </c>
      <c r="F2966" s="81" t="s">
        <v>4099</v>
      </c>
      <c r="G2966" s="125" t="s">
        <v>1761</v>
      </c>
      <c r="H2966" s="81" t="s">
        <v>4936</v>
      </c>
      <c r="I2966" s="149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77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1">
        <v>2961.0</v>
      </c>
      <c r="B2967" s="180" t="s">
        <v>5052</v>
      </c>
      <c r="C2967" s="82" t="str">
        <f>VLOOKUP($B$7:$B$5000,SUM!$L$6:$L$500,1,FALSE)</f>
        <v>#N/A</v>
      </c>
      <c r="D2967" s="171" t="s">
        <v>4915</v>
      </c>
      <c r="E2967" s="165" t="s">
        <v>58</v>
      </c>
      <c r="F2967" s="81" t="s">
        <v>4099</v>
      </c>
      <c r="G2967" s="125" t="s">
        <v>1761</v>
      </c>
      <c r="H2967" s="81" t="s">
        <v>4938</v>
      </c>
      <c r="I2967" s="149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77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1">
        <v>2962.0</v>
      </c>
      <c r="B2968" s="180" t="s">
        <v>5053</v>
      </c>
      <c r="C2968" s="82" t="str">
        <f>VLOOKUP($B$7:$B$5000,SUM!$L$6:$L$500,1,FALSE)</f>
        <v>#N/A</v>
      </c>
      <c r="D2968" s="171" t="s">
        <v>4915</v>
      </c>
      <c r="E2968" s="165" t="s">
        <v>58</v>
      </c>
      <c r="F2968" s="81" t="s">
        <v>4099</v>
      </c>
      <c r="G2968" s="125" t="s">
        <v>1761</v>
      </c>
      <c r="H2968" s="81" t="s">
        <v>4940</v>
      </c>
      <c r="I2968" s="149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77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1">
        <v>2963.0</v>
      </c>
      <c r="B2969" s="180" t="s">
        <v>5054</v>
      </c>
      <c r="C2969" s="82" t="str">
        <f>VLOOKUP($B$7:$B$5000,SUM!$L$6:$L$500,1,FALSE)</f>
        <v>#N/A</v>
      </c>
      <c r="D2969" s="171" t="s">
        <v>4915</v>
      </c>
      <c r="E2969" s="165" t="s">
        <v>58</v>
      </c>
      <c r="F2969" s="81" t="s">
        <v>4099</v>
      </c>
      <c r="G2969" s="125" t="s">
        <v>1761</v>
      </c>
      <c r="H2969" s="81" t="s">
        <v>4942</v>
      </c>
      <c r="I2969" s="149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77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1">
        <v>2964.0</v>
      </c>
      <c r="B2970" s="180" t="s">
        <v>5055</v>
      </c>
      <c r="C2970" s="82" t="str">
        <f>VLOOKUP($B$7:$B$5000,SUM!$L$6:$L$500,1,FALSE)</f>
        <v>#N/A</v>
      </c>
      <c r="D2970" s="171" t="s">
        <v>4915</v>
      </c>
      <c r="E2970" s="165" t="s">
        <v>58</v>
      </c>
      <c r="F2970" s="81" t="s">
        <v>4099</v>
      </c>
      <c r="G2970" s="125" t="s">
        <v>1761</v>
      </c>
      <c r="H2970" s="81" t="s">
        <v>4944</v>
      </c>
      <c r="I2970" s="149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77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1">
        <v>2965.0</v>
      </c>
      <c r="B2971" s="180" t="s">
        <v>5056</v>
      </c>
      <c r="C2971" s="82" t="str">
        <f>VLOOKUP($B$7:$B$5000,SUM!$L$6:$L$500,1,FALSE)</f>
        <v>#N/A</v>
      </c>
      <c r="D2971" s="171" t="s">
        <v>4915</v>
      </c>
      <c r="E2971" s="165" t="s">
        <v>58</v>
      </c>
      <c r="F2971" s="81" t="s">
        <v>4099</v>
      </c>
      <c r="G2971" s="125" t="s">
        <v>1761</v>
      </c>
      <c r="H2971" s="81" t="s">
        <v>4946</v>
      </c>
      <c r="I2971" s="149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77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1">
        <v>2966.0</v>
      </c>
      <c r="B2972" s="180" t="s">
        <v>5057</v>
      </c>
      <c r="C2972" s="82" t="str">
        <f>VLOOKUP($B$7:$B$5000,SUM!$L$6:$L$500,1,FALSE)</f>
        <v>#N/A</v>
      </c>
      <c r="D2972" s="171" t="s">
        <v>4915</v>
      </c>
      <c r="E2972" s="165" t="s">
        <v>58</v>
      </c>
      <c r="F2972" s="81" t="s">
        <v>4099</v>
      </c>
      <c r="G2972" s="125" t="s">
        <v>1761</v>
      </c>
      <c r="H2972" s="81" t="s">
        <v>4948</v>
      </c>
      <c r="I2972" s="149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77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1">
        <v>2967.0</v>
      </c>
      <c r="B2973" s="180" t="s">
        <v>5058</v>
      </c>
      <c r="C2973" s="82" t="str">
        <f>VLOOKUP($B$7:$B$5000,SUM!$L$6:$L$500,1,FALSE)</f>
        <v>#N/A</v>
      </c>
      <c r="D2973" s="171" t="s">
        <v>4915</v>
      </c>
      <c r="E2973" s="165" t="s">
        <v>58</v>
      </c>
      <c r="F2973" s="81" t="s">
        <v>4099</v>
      </c>
      <c r="G2973" s="125" t="s">
        <v>1761</v>
      </c>
      <c r="H2973" s="81" t="s">
        <v>4950</v>
      </c>
      <c r="I2973" s="149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77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1">
        <v>2968.0</v>
      </c>
      <c r="B2974" s="180" t="s">
        <v>5059</v>
      </c>
      <c r="C2974" s="82" t="str">
        <f>VLOOKUP($B$7:$B$5000,SUM!$L$6:$L$500,1,FALSE)</f>
        <v>#N/A</v>
      </c>
      <c r="D2974" s="171" t="s">
        <v>4915</v>
      </c>
      <c r="E2974" s="165" t="s">
        <v>58</v>
      </c>
      <c r="F2974" s="81" t="s">
        <v>4099</v>
      </c>
      <c r="G2974" s="125" t="s">
        <v>1761</v>
      </c>
      <c r="H2974" s="81" t="s">
        <v>4952</v>
      </c>
      <c r="I2974" s="149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77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1">
        <v>2969.0</v>
      </c>
      <c r="B2975" s="180" t="s">
        <v>5060</v>
      </c>
      <c r="C2975" s="82" t="str">
        <f>VLOOKUP($B$7:$B$5000,SUM!$L$6:$L$500,1,FALSE)</f>
        <v>#N/A</v>
      </c>
      <c r="D2975" s="171" t="s">
        <v>4915</v>
      </c>
      <c r="E2975" s="165" t="s">
        <v>58</v>
      </c>
      <c r="F2975" s="81" t="s">
        <v>4099</v>
      </c>
      <c r="G2975" s="125" t="s">
        <v>1761</v>
      </c>
      <c r="H2975" s="81" t="s">
        <v>4954</v>
      </c>
      <c r="I2975" s="149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77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1">
        <v>2970.0</v>
      </c>
      <c r="B2976" s="180" t="s">
        <v>5061</v>
      </c>
      <c r="C2976" s="82" t="str">
        <f>VLOOKUP($B$7:$B$5000,SUM!$L$6:$L$500,1,FALSE)</f>
        <v>#N/A</v>
      </c>
      <c r="D2976" s="171" t="s">
        <v>4915</v>
      </c>
      <c r="E2976" s="165" t="s">
        <v>58</v>
      </c>
      <c r="F2976" s="81" t="s">
        <v>4099</v>
      </c>
      <c r="G2976" s="125" t="s">
        <v>4956</v>
      </c>
      <c r="H2976" s="81" t="s">
        <v>4957</v>
      </c>
      <c r="I2976" s="149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77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1">
        <v>2971.0</v>
      </c>
      <c r="B2977" s="180" t="s">
        <v>5062</v>
      </c>
      <c r="C2977" s="82" t="str">
        <f>VLOOKUP($B$7:$B$5000,SUM!$L$6:$L$500,1,FALSE)</f>
        <v>#N/A</v>
      </c>
      <c r="D2977" s="171" t="s">
        <v>4915</v>
      </c>
      <c r="E2977" s="165" t="s">
        <v>58</v>
      </c>
      <c r="F2977" s="81" t="s">
        <v>4099</v>
      </c>
      <c r="G2977" s="125" t="s">
        <v>4956</v>
      </c>
      <c r="H2977" s="81" t="s">
        <v>4959</v>
      </c>
      <c r="I2977" s="149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77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1">
        <v>2972.0</v>
      </c>
      <c r="B2978" s="180" t="s">
        <v>5063</v>
      </c>
      <c r="C2978" s="82" t="str">
        <f>VLOOKUP($B$7:$B$5000,SUM!$L$6:$L$500,1,FALSE)</f>
        <v>#N/A</v>
      </c>
      <c r="D2978" s="171" t="s">
        <v>4915</v>
      </c>
      <c r="E2978" s="165" t="s">
        <v>58</v>
      </c>
      <c r="F2978" s="81" t="s">
        <v>4099</v>
      </c>
      <c r="G2978" s="125" t="s">
        <v>4956</v>
      </c>
      <c r="H2978" s="81" t="s">
        <v>4961</v>
      </c>
      <c r="I2978" s="149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77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1">
        <v>2973.0</v>
      </c>
      <c r="B2979" s="180" t="s">
        <v>5064</v>
      </c>
      <c r="C2979" s="82" t="str">
        <f>VLOOKUP($B$7:$B$5000,SUM!$L$6:$L$500,1,FALSE)</f>
        <v>#N/A</v>
      </c>
      <c r="D2979" s="171" t="s">
        <v>4915</v>
      </c>
      <c r="E2979" s="165" t="s">
        <v>58</v>
      </c>
      <c r="F2979" s="81" t="s">
        <v>4099</v>
      </c>
      <c r="G2979" s="125" t="s">
        <v>4956</v>
      </c>
      <c r="H2979" s="81" t="s">
        <v>4963</v>
      </c>
      <c r="I2979" s="149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77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1">
        <v>2974.0</v>
      </c>
      <c r="B2980" s="180" t="s">
        <v>5065</v>
      </c>
      <c r="C2980" s="82" t="str">
        <f>VLOOKUP($B$7:$B$5000,SUM!$L$6:$L$500,1,FALSE)</f>
        <v>#N/A</v>
      </c>
      <c r="D2980" s="171" t="s">
        <v>4915</v>
      </c>
      <c r="E2980" s="165" t="s">
        <v>58</v>
      </c>
      <c r="F2980" s="81" t="s">
        <v>4099</v>
      </c>
      <c r="G2980" s="125" t="s">
        <v>4956</v>
      </c>
      <c r="H2980" s="81" t="s">
        <v>4965</v>
      </c>
      <c r="I2980" s="149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77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1">
        <v>2975.0</v>
      </c>
      <c r="B2981" s="180" t="s">
        <v>5066</v>
      </c>
      <c r="C2981" s="82" t="str">
        <f>VLOOKUP($B$7:$B$5000,SUM!$L$6:$L$500,1,FALSE)</f>
        <v>#N/A</v>
      </c>
      <c r="D2981" s="171" t="s">
        <v>4915</v>
      </c>
      <c r="E2981" s="165" t="s">
        <v>58</v>
      </c>
      <c r="F2981" s="81" t="s">
        <v>4099</v>
      </c>
      <c r="G2981" s="125" t="s">
        <v>4956</v>
      </c>
      <c r="H2981" s="81" t="s">
        <v>4967</v>
      </c>
      <c r="I2981" s="149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77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1">
        <v>2976.0</v>
      </c>
      <c r="B2982" s="180" t="s">
        <v>5067</v>
      </c>
      <c r="C2982" s="82" t="str">
        <f>VLOOKUP($B$7:$B$5000,SUM!$L$6:$L$500,1,FALSE)</f>
        <v>#N/A</v>
      </c>
      <c r="D2982" s="171" t="s">
        <v>4915</v>
      </c>
      <c r="E2982" s="165" t="s">
        <v>58</v>
      </c>
      <c r="F2982" s="81" t="s">
        <v>4099</v>
      </c>
      <c r="G2982" s="125" t="s">
        <v>4956</v>
      </c>
      <c r="H2982" s="81" t="s">
        <v>4969</v>
      </c>
      <c r="I2982" s="149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77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1">
        <v>2977.0</v>
      </c>
      <c r="B2983" s="180" t="s">
        <v>5068</v>
      </c>
      <c r="C2983" s="82" t="str">
        <f>VLOOKUP($B$7:$B$5000,SUM!$L$6:$L$500,1,FALSE)</f>
        <v>#N/A</v>
      </c>
      <c r="D2983" s="171" t="s">
        <v>4915</v>
      </c>
      <c r="E2983" s="165" t="s">
        <v>58</v>
      </c>
      <c r="F2983" s="81" t="s">
        <v>4099</v>
      </c>
      <c r="G2983" s="125" t="s">
        <v>4956</v>
      </c>
      <c r="H2983" s="81" t="s">
        <v>4971</v>
      </c>
      <c r="I2983" s="149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77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1">
        <v>2978.0</v>
      </c>
      <c r="B2984" s="180" t="s">
        <v>5069</v>
      </c>
      <c r="C2984" s="82" t="str">
        <f>VLOOKUP($B$7:$B$5000,SUM!$L$6:$L$500,1,FALSE)</f>
        <v>#N/A</v>
      </c>
      <c r="D2984" s="171" t="s">
        <v>4915</v>
      </c>
      <c r="E2984" s="165" t="s">
        <v>58</v>
      </c>
      <c r="F2984" s="81" t="s">
        <v>4099</v>
      </c>
      <c r="G2984" s="125" t="s">
        <v>4956</v>
      </c>
      <c r="H2984" s="81" t="s">
        <v>4973</v>
      </c>
      <c r="I2984" s="149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77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1">
        <v>2979.0</v>
      </c>
      <c r="B2985" s="180" t="s">
        <v>5070</v>
      </c>
      <c r="C2985" s="82" t="str">
        <f>VLOOKUP($B$7:$B$5000,SUM!$L$6:$L$500,1,FALSE)</f>
        <v>#N/A</v>
      </c>
      <c r="D2985" s="171" t="s">
        <v>4915</v>
      </c>
      <c r="E2985" s="165" t="s">
        <v>58</v>
      </c>
      <c r="F2985" s="81" t="s">
        <v>4099</v>
      </c>
      <c r="G2985" s="125" t="s">
        <v>4956</v>
      </c>
      <c r="H2985" s="81" t="s">
        <v>4975</v>
      </c>
      <c r="I2985" s="149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77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1">
        <v>2980.0</v>
      </c>
      <c r="B2986" s="180" t="s">
        <v>5071</v>
      </c>
      <c r="C2986" s="82" t="str">
        <f>VLOOKUP($B$7:$B$5000,SUM!$L$6:$L$500,1,FALSE)</f>
        <v>#N/A</v>
      </c>
      <c r="D2986" s="171" t="s">
        <v>4915</v>
      </c>
      <c r="E2986" s="165" t="s">
        <v>58</v>
      </c>
      <c r="F2986" s="81" t="s">
        <v>4099</v>
      </c>
      <c r="G2986" s="125" t="s">
        <v>4956</v>
      </c>
      <c r="H2986" s="81" t="s">
        <v>4977</v>
      </c>
      <c r="I2986" s="149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77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1">
        <v>2981.0</v>
      </c>
      <c r="B2987" s="180" t="s">
        <v>5073</v>
      </c>
      <c r="C2987" s="82" t="str">
        <f>VLOOKUP($B$7:$B$5000,SUM!$L$6:$L$500,1,FALSE)</f>
        <v>#N/A</v>
      </c>
      <c r="D2987" s="171" t="s">
        <v>4915</v>
      </c>
      <c r="E2987" s="165" t="s">
        <v>58</v>
      </c>
      <c r="F2987" s="81" t="s">
        <v>4099</v>
      </c>
      <c r="G2987" s="125" t="s">
        <v>4956</v>
      </c>
      <c r="H2987" s="81" t="s">
        <v>4979</v>
      </c>
      <c r="I2987" s="149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77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1">
        <v>2982.0</v>
      </c>
      <c r="B2988" s="180" t="s">
        <v>5074</v>
      </c>
      <c r="C2988" s="82" t="str">
        <f>VLOOKUP($B$7:$B$5000,SUM!$L$6:$L$500,1,FALSE)</f>
        <v>#N/A</v>
      </c>
      <c r="D2988" s="171" t="s">
        <v>4915</v>
      </c>
      <c r="E2988" s="165" t="s">
        <v>58</v>
      </c>
      <c r="F2988" s="81" t="s">
        <v>4099</v>
      </c>
      <c r="G2988" s="125" t="s">
        <v>4956</v>
      </c>
      <c r="H2988" s="81" t="s">
        <v>4981</v>
      </c>
      <c r="I2988" s="149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77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1">
        <v>2983.0</v>
      </c>
      <c r="B2989" s="180" t="s">
        <v>5075</v>
      </c>
      <c r="C2989" s="82" t="str">
        <f>VLOOKUP($B$7:$B$5000,SUM!$L$6:$L$500,1,FALSE)</f>
        <v>#N/A</v>
      </c>
      <c r="D2989" s="171" t="s">
        <v>4915</v>
      </c>
      <c r="E2989" s="165" t="s">
        <v>58</v>
      </c>
      <c r="F2989" s="81" t="s">
        <v>4099</v>
      </c>
      <c r="G2989" s="125" t="s">
        <v>4956</v>
      </c>
      <c r="H2989" s="81" t="s">
        <v>4983</v>
      </c>
      <c r="I2989" s="149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77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1">
        <v>2984.0</v>
      </c>
      <c r="B2990" s="180" t="s">
        <v>5076</v>
      </c>
      <c r="C2990" s="82" t="str">
        <f>VLOOKUP($B$7:$B$5000,SUM!$L$6:$L$500,1,FALSE)</f>
        <v>#N/A</v>
      </c>
      <c r="D2990" s="171" t="s">
        <v>4915</v>
      </c>
      <c r="E2990" s="165" t="s">
        <v>58</v>
      </c>
      <c r="F2990" s="81" t="s">
        <v>4099</v>
      </c>
      <c r="G2990" s="125" t="s">
        <v>4956</v>
      </c>
      <c r="H2990" s="81" t="s">
        <v>4957</v>
      </c>
      <c r="I2990" s="149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77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1">
        <v>2985.0</v>
      </c>
      <c r="B2991" s="180" t="s">
        <v>5078</v>
      </c>
      <c r="C2991" s="82" t="str">
        <f>VLOOKUP($B$7:$B$5000,SUM!$L$6:$L$500,1,FALSE)</f>
        <v>#N/A</v>
      </c>
      <c r="D2991" s="171" t="s">
        <v>4915</v>
      </c>
      <c r="E2991" s="165" t="s">
        <v>58</v>
      </c>
      <c r="F2991" s="81" t="s">
        <v>4099</v>
      </c>
      <c r="G2991" s="125" t="s">
        <v>4956</v>
      </c>
      <c r="H2991" s="81" t="s">
        <v>4959</v>
      </c>
      <c r="I2991" s="149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77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1">
        <v>2986.0</v>
      </c>
      <c r="B2992" s="180" t="s">
        <v>5080</v>
      </c>
      <c r="C2992" s="82" t="str">
        <f>VLOOKUP($B$7:$B$5000,SUM!$L$6:$L$500,1,FALSE)</f>
        <v>#N/A</v>
      </c>
      <c r="D2992" s="171" t="s">
        <v>4915</v>
      </c>
      <c r="E2992" s="165" t="s">
        <v>58</v>
      </c>
      <c r="F2992" s="81" t="s">
        <v>4099</v>
      </c>
      <c r="G2992" s="125" t="s">
        <v>4956</v>
      </c>
      <c r="H2992" s="81" t="s">
        <v>4961</v>
      </c>
      <c r="I2992" s="149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77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1">
        <v>2987.0</v>
      </c>
      <c r="B2993" s="180" t="s">
        <v>5082</v>
      </c>
      <c r="C2993" s="82" t="str">
        <f>VLOOKUP($B$7:$B$5000,SUM!$L$6:$L$500,1,FALSE)</f>
        <v>#N/A</v>
      </c>
      <c r="D2993" s="171" t="s">
        <v>4915</v>
      </c>
      <c r="E2993" s="165" t="s">
        <v>58</v>
      </c>
      <c r="F2993" s="81" t="s">
        <v>4099</v>
      </c>
      <c r="G2993" s="125" t="s">
        <v>4956</v>
      </c>
      <c r="H2993" s="81" t="s">
        <v>4963</v>
      </c>
      <c r="I2993" s="149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77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1">
        <v>2988.0</v>
      </c>
      <c r="B2994" s="180" t="s">
        <v>5083</v>
      </c>
      <c r="C2994" s="82" t="str">
        <f>VLOOKUP($B$7:$B$5000,SUM!$L$6:$L$500,1,FALSE)</f>
        <v>#N/A</v>
      </c>
      <c r="D2994" s="171" t="s">
        <v>4915</v>
      </c>
      <c r="E2994" s="165" t="s">
        <v>58</v>
      </c>
      <c r="F2994" s="81" t="s">
        <v>4099</v>
      </c>
      <c r="G2994" s="125" t="s">
        <v>4956</v>
      </c>
      <c r="H2994" s="81" t="s">
        <v>4965</v>
      </c>
      <c r="I2994" s="149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77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1">
        <v>2989.0</v>
      </c>
      <c r="B2995" s="180" t="s">
        <v>5084</v>
      </c>
      <c r="C2995" s="82" t="str">
        <f>VLOOKUP($B$7:$B$5000,SUM!$L$6:$L$500,1,FALSE)</f>
        <v>#N/A</v>
      </c>
      <c r="D2995" s="171" t="s">
        <v>4915</v>
      </c>
      <c r="E2995" s="165" t="s">
        <v>58</v>
      </c>
      <c r="F2995" s="81" t="s">
        <v>4099</v>
      </c>
      <c r="G2995" s="125" t="s">
        <v>4956</v>
      </c>
      <c r="H2995" s="81" t="s">
        <v>4967</v>
      </c>
      <c r="I2995" s="149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77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1">
        <v>2990.0</v>
      </c>
      <c r="B2996" s="180" t="s">
        <v>5085</v>
      </c>
      <c r="C2996" s="82" t="str">
        <f>VLOOKUP($B$7:$B$5000,SUM!$L$6:$L$500,1,FALSE)</f>
        <v>#N/A</v>
      </c>
      <c r="D2996" s="171" t="s">
        <v>4915</v>
      </c>
      <c r="E2996" s="165" t="s">
        <v>58</v>
      </c>
      <c r="F2996" s="81" t="s">
        <v>4099</v>
      </c>
      <c r="G2996" s="125" t="s">
        <v>4956</v>
      </c>
      <c r="H2996" s="81" t="s">
        <v>4969</v>
      </c>
      <c r="I2996" s="149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77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1">
        <v>2991.0</v>
      </c>
      <c r="B2997" s="180" t="s">
        <v>5086</v>
      </c>
      <c r="C2997" s="82" t="str">
        <f>VLOOKUP($B$7:$B$5000,SUM!$L$6:$L$500,1,FALSE)</f>
        <v>#N/A</v>
      </c>
      <c r="D2997" s="171" t="s">
        <v>4915</v>
      </c>
      <c r="E2997" s="165" t="s">
        <v>58</v>
      </c>
      <c r="F2997" s="81" t="s">
        <v>4099</v>
      </c>
      <c r="G2997" s="125" t="s">
        <v>4956</v>
      </c>
      <c r="H2997" s="81" t="s">
        <v>4971</v>
      </c>
      <c r="I2997" s="149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77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1">
        <v>2992.0</v>
      </c>
      <c r="B2998" s="180" t="s">
        <v>5087</v>
      </c>
      <c r="C2998" s="82" t="str">
        <f>VLOOKUP($B$7:$B$5000,SUM!$L$6:$L$500,1,FALSE)</f>
        <v>#N/A</v>
      </c>
      <c r="D2998" s="171" t="s">
        <v>4915</v>
      </c>
      <c r="E2998" s="165" t="s">
        <v>58</v>
      </c>
      <c r="F2998" s="81" t="s">
        <v>4099</v>
      </c>
      <c r="G2998" s="125" t="s">
        <v>4956</v>
      </c>
      <c r="H2998" s="81" t="s">
        <v>4973</v>
      </c>
      <c r="I2998" s="149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77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1">
        <v>2993.0</v>
      </c>
      <c r="B2999" s="180" t="s">
        <v>5088</v>
      </c>
      <c r="C2999" s="82" t="str">
        <f>VLOOKUP($B$7:$B$5000,SUM!$L$6:$L$500,1,FALSE)</f>
        <v>#N/A</v>
      </c>
      <c r="D2999" s="171" t="s">
        <v>4915</v>
      </c>
      <c r="E2999" s="165" t="s">
        <v>58</v>
      </c>
      <c r="F2999" s="81" t="s">
        <v>4099</v>
      </c>
      <c r="G2999" s="125" t="s">
        <v>4956</v>
      </c>
      <c r="H2999" s="81" t="s">
        <v>4975</v>
      </c>
      <c r="I2999" s="149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77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1">
        <v>2994.0</v>
      </c>
      <c r="B3000" s="180" t="s">
        <v>5089</v>
      </c>
      <c r="C3000" s="82" t="str">
        <f>VLOOKUP($B$7:$B$5000,SUM!$L$6:$L$500,1,FALSE)</f>
        <v>#N/A</v>
      </c>
      <c r="D3000" s="171" t="s">
        <v>4915</v>
      </c>
      <c r="E3000" s="165" t="s">
        <v>58</v>
      </c>
      <c r="F3000" s="81" t="s">
        <v>4099</v>
      </c>
      <c r="G3000" s="125" t="s">
        <v>4956</v>
      </c>
      <c r="H3000" s="81" t="s">
        <v>4977</v>
      </c>
      <c r="I3000" s="149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77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1">
        <v>2995.0</v>
      </c>
      <c r="B3001" s="180" t="s">
        <v>5091</v>
      </c>
      <c r="C3001" s="82" t="str">
        <f>VLOOKUP($B$7:$B$5000,SUM!$L$6:$L$500,1,FALSE)</f>
        <v>#N/A</v>
      </c>
      <c r="D3001" s="171" t="s">
        <v>4915</v>
      </c>
      <c r="E3001" s="165" t="s">
        <v>58</v>
      </c>
      <c r="F3001" s="81" t="s">
        <v>4099</v>
      </c>
      <c r="G3001" s="125" t="s">
        <v>4956</v>
      </c>
      <c r="H3001" s="81" t="s">
        <v>4979</v>
      </c>
      <c r="I3001" s="149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77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1">
        <v>2996.0</v>
      </c>
      <c r="B3002" s="180" t="s">
        <v>5092</v>
      </c>
      <c r="C3002" s="82" t="str">
        <f>VLOOKUP($B$7:$B$5000,SUM!$L$6:$L$500,1,FALSE)</f>
        <v>#N/A</v>
      </c>
      <c r="D3002" s="171" t="s">
        <v>4915</v>
      </c>
      <c r="E3002" s="165" t="s">
        <v>58</v>
      </c>
      <c r="F3002" s="81" t="s">
        <v>4099</v>
      </c>
      <c r="G3002" s="125" t="s">
        <v>4956</v>
      </c>
      <c r="H3002" s="81" t="s">
        <v>4981</v>
      </c>
      <c r="I3002" s="149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77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1">
        <v>2997.0</v>
      </c>
      <c r="B3003" s="180" t="s">
        <v>5093</v>
      </c>
      <c r="C3003" s="82" t="str">
        <f>VLOOKUP($B$7:$B$5000,SUM!$L$6:$L$500,1,FALSE)</f>
        <v>#N/A</v>
      </c>
      <c r="D3003" s="171" t="s">
        <v>4915</v>
      </c>
      <c r="E3003" s="165" t="s">
        <v>58</v>
      </c>
      <c r="F3003" s="81" t="s">
        <v>4099</v>
      </c>
      <c r="G3003" s="125" t="s">
        <v>4956</v>
      </c>
      <c r="H3003" s="81" t="s">
        <v>4983</v>
      </c>
      <c r="I3003" s="149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77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1">
        <v>2998.0</v>
      </c>
      <c r="B3004" s="180" t="s">
        <v>5094</v>
      </c>
      <c r="C3004" s="82" t="str">
        <f>VLOOKUP($B$7:$B$5000,SUM!$L$6:$L$500,1,FALSE)</f>
        <v>#N/A</v>
      </c>
      <c r="D3004" s="171" t="s">
        <v>5095</v>
      </c>
      <c r="E3004" s="165" t="s">
        <v>58</v>
      </c>
      <c r="F3004" s="81" t="s">
        <v>4099</v>
      </c>
      <c r="G3004" s="125" t="s">
        <v>1765</v>
      </c>
      <c r="H3004" s="81" t="s">
        <v>5096</v>
      </c>
      <c r="I3004" s="149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77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1">
        <v>2999.0</v>
      </c>
      <c r="B3005" s="180" t="s">
        <v>5098</v>
      </c>
      <c r="C3005" s="82" t="str">
        <f>VLOOKUP($B$7:$B$5000,SUM!$L$6:$L$500,1,FALSE)</f>
        <v>#N/A</v>
      </c>
      <c r="D3005" s="171" t="s">
        <v>5095</v>
      </c>
      <c r="E3005" s="165" t="s">
        <v>58</v>
      </c>
      <c r="F3005" s="81" t="s">
        <v>4099</v>
      </c>
      <c r="G3005" s="125" t="s">
        <v>1765</v>
      </c>
      <c r="H3005" s="81" t="s">
        <v>5099</v>
      </c>
      <c r="I3005" s="149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77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1">
        <v>3000.0</v>
      </c>
      <c r="B3006" s="180" t="s">
        <v>5100</v>
      </c>
      <c r="C3006" s="82" t="str">
        <f>VLOOKUP($B$7:$B$5000,SUM!$L$6:$L$500,1,FALSE)</f>
        <v>#N/A</v>
      </c>
      <c r="D3006" s="171" t="s">
        <v>5095</v>
      </c>
      <c r="E3006" s="165" t="s">
        <v>58</v>
      </c>
      <c r="F3006" s="81" t="s">
        <v>4099</v>
      </c>
      <c r="G3006" s="125" t="s">
        <v>1765</v>
      </c>
      <c r="H3006" s="81" t="s">
        <v>5101</v>
      </c>
      <c r="I3006" s="149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77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1">
        <v>3001.0</v>
      </c>
      <c r="B3007" s="180" t="s">
        <v>5102</v>
      </c>
      <c r="C3007" s="82" t="str">
        <f>VLOOKUP($B$7:$B$5000,SUM!$L$6:$L$500,1,FALSE)</f>
        <v>#N/A</v>
      </c>
      <c r="D3007" s="171" t="s">
        <v>5095</v>
      </c>
      <c r="E3007" s="165" t="s">
        <v>58</v>
      </c>
      <c r="F3007" s="81" t="s">
        <v>4099</v>
      </c>
      <c r="G3007" s="125" t="s">
        <v>1765</v>
      </c>
      <c r="H3007" s="81" t="s">
        <v>5103</v>
      </c>
      <c r="I3007" s="149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77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1">
        <v>3002.0</v>
      </c>
      <c r="B3008" s="180" t="s">
        <v>5104</v>
      </c>
      <c r="C3008" s="82" t="str">
        <f>VLOOKUP($B$7:$B$5000,SUM!$L$6:$L$500,1,FALSE)</f>
        <v>#N/A</v>
      </c>
      <c r="D3008" s="171" t="s">
        <v>5095</v>
      </c>
      <c r="E3008" s="165" t="s">
        <v>58</v>
      </c>
      <c r="F3008" s="81" t="s">
        <v>4099</v>
      </c>
      <c r="G3008" s="125" t="s">
        <v>1765</v>
      </c>
      <c r="H3008" s="81" t="s">
        <v>5105</v>
      </c>
      <c r="I3008" s="149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77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1">
        <v>3003.0</v>
      </c>
      <c r="B3009" s="180" t="s">
        <v>5106</v>
      </c>
      <c r="C3009" s="82" t="str">
        <f>VLOOKUP($B$7:$B$5000,SUM!$L$6:$L$500,1,FALSE)</f>
        <v>#N/A</v>
      </c>
      <c r="D3009" s="171" t="s">
        <v>5095</v>
      </c>
      <c r="E3009" s="165" t="s">
        <v>58</v>
      </c>
      <c r="F3009" s="81" t="s">
        <v>4099</v>
      </c>
      <c r="G3009" s="125" t="s">
        <v>1765</v>
      </c>
      <c r="H3009" s="81" t="s">
        <v>5107</v>
      </c>
      <c r="I3009" s="149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77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1">
        <v>3004.0</v>
      </c>
      <c r="B3010" s="180" t="s">
        <v>5108</v>
      </c>
      <c r="C3010" s="82" t="str">
        <f>VLOOKUP($B$7:$B$5000,SUM!$L$6:$L$500,1,FALSE)</f>
        <v>#N/A</v>
      </c>
      <c r="D3010" s="171" t="s">
        <v>5095</v>
      </c>
      <c r="E3010" s="165" t="s">
        <v>58</v>
      </c>
      <c r="F3010" s="81" t="s">
        <v>4099</v>
      </c>
      <c r="G3010" s="125" t="s">
        <v>1765</v>
      </c>
      <c r="H3010" s="81" t="s">
        <v>5109</v>
      </c>
      <c r="I3010" s="149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77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1">
        <v>3005.0</v>
      </c>
      <c r="B3011" s="180" t="s">
        <v>5110</v>
      </c>
      <c r="C3011" s="82" t="str">
        <f>VLOOKUP($B$7:$B$5000,SUM!$L$6:$L$500,1,FALSE)</f>
        <v>#N/A</v>
      </c>
      <c r="D3011" s="171" t="s">
        <v>5095</v>
      </c>
      <c r="E3011" s="165" t="s">
        <v>58</v>
      </c>
      <c r="F3011" s="81" t="s">
        <v>4099</v>
      </c>
      <c r="G3011" s="125" t="s">
        <v>1765</v>
      </c>
      <c r="H3011" s="81" t="s">
        <v>5111</v>
      </c>
      <c r="I3011" s="149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77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1">
        <v>3006.0</v>
      </c>
      <c r="B3012" s="180" t="s">
        <v>5112</v>
      </c>
      <c r="C3012" s="82" t="str">
        <f>VLOOKUP($B$7:$B$5000,SUM!$L$6:$L$500,1,FALSE)</f>
        <v>#N/A</v>
      </c>
      <c r="D3012" s="171" t="s">
        <v>5095</v>
      </c>
      <c r="E3012" s="165" t="s">
        <v>58</v>
      </c>
      <c r="F3012" s="81" t="s">
        <v>4099</v>
      </c>
      <c r="G3012" s="125" t="s">
        <v>1765</v>
      </c>
      <c r="H3012" s="81" t="s">
        <v>5113</v>
      </c>
      <c r="I3012" s="149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77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1">
        <v>3007.0</v>
      </c>
      <c r="B3013" s="180" t="s">
        <v>5114</v>
      </c>
      <c r="C3013" s="82" t="str">
        <f>VLOOKUP($B$7:$B$5000,SUM!$L$6:$L$500,1,FALSE)</f>
        <v>#N/A</v>
      </c>
      <c r="D3013" s="171" t="s">
        <v>5095</v>
      </c>
      <c r="E3013" s="165" t="s">
        <v>58</v>
      </c>
      <c r="F3013" s="81" t="s">
        <v>4099</v>
      </c>
      <c r="G3013" s="125" t="s">
        <v>1765</v>
      </c>
      <c r="H3013" s="81" t="s">
        <v>5115</v>
      </c>
      <c r="I3013" s="149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77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1">
        <v>3008.0</v>
      </c>
      <c r="B3014" s="180" t="s">
        <v>5116</v>
      </c>
      <c r="C3014" s="82" t="str">
        <f>VLOOKUP($B$7:$B$5000,SUM!$L$6:$L$500,1,FALSE)</f>
        <v>#N/A</v>
      </c>
      <c r="D3014" s="171" t="s">
        <v>5095</v>
      </c>
      <c r="E3014" s="165" t="s">
        <v>58</v>
      </c>
      <c r="F3014" s="81" t="s">
        <v>4099</v>
      </c>
      <c r="G3014" s="125" t="s">
        <v>1765</v>
      </c>
      <c r="H3014" s="81" t="s">
        <v>5117</v>
      </c>
      <c r="I3014" s="149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77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1">
        <v>3009.0</v>
      </c>
      <c r="B3015" s="180" t="s">
        <v>5118</v>
      </c>
      <c r="C3015" s="82" t="str">
        <f>VLOOKUP($B$7:$B$5000,SUM!$L$6:$L$500,1,FALSE)</f>
        <v>#N/A</v>
      </c>
      <c r="D3015" s="171" t="s">
        <v>5095</v>
      </c>
      <c r="E3015" s="165" t="s">
        <v>58</v>
      </c>
      <c r="F3015" s="81" t="s">
        <v>4099</v>
      </c>
      <c r="G3015" s="125" t="s">
        <v>1765</v>
      </c>
      <c r="H3015" s="81" t="s">
        <v>5119</v>
      </c>
      <c r="I3015" s="149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77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1">
        <v>3010.0</v>
      </c>
      <c r="B3016" s="180" t="s">
        <v>5120</v>
      </c>
      <c r="C3016" s="82" t="str">
        <f>VLOOKUP($B$7:$B$5000,SUM!$L$6:$L$500,1,FALSE)</f>
        <v>#N/A</v>
      </c>
      <c r="D3016" s="171" t="s">
        <v>5095</v>
      </c>
      <c r="E3016" s="165" t="s">
        <v>58</v>
      </c>
      <c r="F3016" s="81" t="s">
        <v>4099</v>
      </c>
      <c r="G3016" s="125" t="s">
        <v>1765</v>
      </c>
      <c r="H3016" s="81" t="s">
        <v>5121</v>
      </c>
      <c r="I3016" s="149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77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1">
        <v>3011.0</v>
      </c>
      <c r="B3017" s="180" t="s">
        <v>5122</v>
      </c>
      <c r="C3017" s="82" t="str">
        <f>VLOOKUP($B$7:$B$5000,SUM!$L$6:$L$500,1,FALSE)</f>
        <v>#N/A</v>
      </c>
      <c r="D3017" s="171" t="s">
        <v>5095</v>
      </c>
      <c r="E3017" s="165" t="s">
        <v>58</v>
      </c>
      <c r="F3017" s="81" t="s">
        <v>4099</v>
      </c>
      <c r="G3017" s="125" t="s">
        <v>1765</v>
      </c>
      <c r="H3017" s="81" t="s">
        <v>5123</v>
      </c>
      <c r="I3017" s="149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77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1">
        <v>3012.0</v>
      </c>
      <c r="B3018" s="180" t="s">
        <v>5124</v>
      </c>
      <c r="C3018" s="82" t="str">
        <f>VLOOKUP($B$7:$B$5000,SUM!$L$6:$L$500,1,FALSE)</f>
        <v>#N/A</v>
      </c>
      <c r="D3018" s="171" t="s">
        <v>5095</v>
      </c>
      <c r="E3018" s="165" t="s">
        <v>58</v>
      </c>
      <c r="F3018" s="81" t="s">
        <v>4099</v>
      </c>
      <c r="G3018" s="125" t="s">
        <v>1765</v>
      </c>
      <c r="H3018" s="81" t="s">
        <v>5125</v>
      </c>
      <c r="I3018" s="149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77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1">
        <v>3013.0</v>
      </c>
      <c r="B3019" s="180" t="s">
        <v>5126</v>
      </c>
      <c r="C3019" s="82" t="str">
        <f>VLOOKUP($B$7:$B$5000,SUM!$L$6:$L$500,1,FALSE)</f>
        <v>#N/A</v>
      </c>
      <c r="D3019" s="171" t="s">
        <v>5095</v>
      </c>
      <c r="E3019" s="165" t="s">
        <v>58</v>
      </c>
      <c r="F3019" s="81" t="s">
        <v>4099</v>
      </c>
      <c r="G3019" s="125" t="s">
        <v>1765</v>
      </c>
      <c r="H3019" s="81" t="s">
        <v>5127</v>
      </c>
      <c r="I3019" s="149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77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1">
        <v>3014.0</v>
      </c>
      <c r="B3020" s="180" t="s">
        <v>5128</v>
      </c>
      <c r="C3020" s="82" t="str">
        <f>VLOOKUP($B$7:$B$5000,SUM!$L$6:$L$500,1,FALSE)</f>
        <v>#N/A</v>
      </c>
      <c r="D3020" s="171" t="s">
        <v>5095</v>
      </c>
      <c r="E3020" s="165" t="s">
        <v>58</v>
      </c>
      <c r="F3020" s="81" t="s">
        <v>4099</v>
      </c>
      <c r="G3020" s="125" t="s">
        <v>1765</v>
      </c>
      <c r="H3020" s="81" t="s">
        <v>5129</v>
      </c>
      <c r="I3020" s="149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77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1">
        <v>3015.0</v>
      </c>
      <c r="B3021" s="180" t="s">
        <v>5130</v>
      </c>
      <c r="C3021" s="82" t="str">
        <f>VLOOKUP($B$7:$B$5000,SUM!$L$6:$L$500,1,FALSE)</f>
        <v>#N/A</v>
      </c>
      <c r="D3021" s="171" t="s">
        <v>5095</v>
      </c>
      <c r="E3021" s="165" t="s">
        <v>58</v>
      </c>
      <c r="F3021" s="81" t="s">
        <v>4099</v>
      </c>
      <c r="G3021" s="125" t="s">
        <v>1765</v>
      </c>
      <c r="H3021" s="81" t="s">
        <v>5131</v>
      </c>
      <c r="I3021" s="149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77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1">
        <v>3016.0</v>
      </c>
      <c r="B3022" s="180" t="s">
        <v>5132</v>
      </c>
      <c r="C3022" s="82" t="str">
        <f>VLOOKUP($B$7:$B$5000,SUM!$L$6:$L$500,1,FALSE)</f>
        <v>#N/A</v>
      </c>
      <c r="D3022" s="171" t="s">
        <v>5095</v>
      </c>
      <c r="E3022" s="165" t="s">
        <v>58</v>
      </c>
      <c r="F3022" s="81" t="s">
        <v>4099</v>
      </c>
      <c r="G3022" s="125" t="s">
        <v>1765</v>
      </c>
      <c r="H3022" s="81" t="s">
        <v>5133</v>
      </c>
      <c r="I3022" s="149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77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1">
        <v>3017.0</v>
      </c>
      <c r="B3023" s="180" t="s">
        <v>5134</v>
      </c>
      <c r="C3023" s="82" t="str">
        <f>VLOOKUP($B$7:$B$5000,SUM!$L$6:$L$500,1,FALSE)</f>
        <v>#N/A</v>
      </c>
      <c r="D3023" s="171" t="s">
        <v>5095</v>
      </c>
      <c r="E3023" s="165" t="s">
        <v>58</v>
      </c>
      <c r="F3023" s="81" t="s">
        <v>4099</v>
      </c>
      <c r="G3023" s="125" t="s">
        <v>1765</v>
      </c>
      <c r="H3023" s="81" t="s">
        <v>5135</v>
      </c>
      <c r="I3023" s="149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77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1">
        <v>3018.0</v>
      </c>
      <c r="B3024" s="180" t="s">
        <v>5137</v>
      </c>
      <c r="C3024" s="82" t="str">
        <f>VLOOKUP($B$7:$B$5000,SUM!$L$6:$L$500,1,FALSE)</f>
        <v>#N/A</v>
      </c>
      <c r="D3024" s="171" t="s">
        <v>5095</v>
      </c>
      <c r="E3024" s="165" t="s">
        <v>58</v>
      </c>
      <c r="F3024" s="81" t="s">
        <v>4099</v>
      </c>
      <c r="G3024" s="125" t="s">
        <v>1765</v>
      </c>
      <c r="H3024" s="81" t="s">
        <v>5138</v>
      </c>
      <c r="I3024" s="149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77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1">
        <v>3019.0</v>
      </c>
      <c r="B3025" s="180" t="s">
        <v>5139</v>
      </c>
      <c r="C3025" s="82" t="str">
        <f>VLOOKUP($B$7:$B$5000,SUM!$L$6:$L$500,1,FALSE)</f>
        <v>#N/A</v>
      </c>
      <c r="D3025" s="171" t="s">
        <v>5095</v>
      </c>
      <c r="E3025" s="165" t="s">
        <v>58</v>
      </c>
      <c r="F3025" s="81" t="s">
        <v>4099</v>
      </c>
      <c r="G3025" s="125" t="s">
        <v>1765</v>
      </c>
      <c r="H3025" s="81" t="s">
        <v>5140</v>
      </c>
      <c r="I3025" s="149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77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1">
        <v>3020.0</v>
      </c>
      <c r="B3026" s="180" t="s">
        <v>5141</v>
      </c>
      <c r="C3026" s="82" t="str">
        <f>VLOOKUP($B$7:$B$5000,SUM!$L$6:$L$500,1,FALSE)</f>
        <v>#N/A</v>
      </c>
      <c r="D3026" s="171" t="s">
        <v>5095</v>
      </c>
      <c r="E3026" s="165" t="s">
        <v>58</v>
      </c>
      <c r="F3026" s="81" t="s">
        <v>4099</v>
      </c>
      <c r="G3026" s="125" t="s">
        <v>1765</v>
      </c>
      <c r="H3026" s="81" t="s">
        <v>5142</v>
      </c>
      <c r="I3026" s="149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77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1">
        <v>3021.0</v>
      </c>
      <c r="B3027" s="180" t="s">
        <v>5143</v>
      </c>
      <c r="C3027" s="82" t="str">
        <f>VLOOKUP($B$7:$B$5000,SUM!$L$6:$L$500,1,FALSE)</f>
        <v>#N/A</v>
      </c>
      <c r="D3027" s="171" t="s">
        <v>5095</v>
      </c>
      <c r="E3027" s="165" t="s">
        <v>58</v>
      </c>
      <c r="F3027" s="81" t="s">
        <v>4099</v>
      </c>
      <c r="G3027" s="125" t="s">
        <v>1765</v>
      </c>
      <c r="H3027" s="81" t="s">
        <v>5144</v>
      </c>
      <c r="I3027" s="149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77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1">
        <v>3022.0</v>
      </c>
      <c r="B3028" s="180" t="s">
        <v>5145</v>
      </c>
      <c r="C3028" s="82" t="str">
        <f>VLOOKUP($B$7:$B$5000,SUM!$L$6:$L$500,1,FALSE)</f>
        <v>#N/A</v>
      </c>
      <c r="D3028" s="171" t="s">
        <v>5095</v>
      </c>
      <c r="E3028" s="165" t="s">
        <v>58</v>
      </c>
      <c r="F3028" s="81" t="s">
        <v>4099</v>
      </c>
      <c r="G3028" s="125" t="s">
        <v>1765</v>
      </c>
      <c r="H3028" s="81" t="s">
        <v>5146</v>
      </c>
      <c r="I3028" s="149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77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1">
        <v>3023.0</v>
      </c>
      <c r="B3029" s="180" t="s">
        <v>5147</v>
      </c>
      <c r="C3029" s="82" t="str">
        <f>VLOOKUP($B$7:$B$5000,SUM!$L$6:$L$500,1,FALSE)</f>
        <v>#N/A</v>
      </c>
      <c r="D3029" s="171" t="s">
        <v>5095</v>
      </c>
      <c r="E3029" s="165" t="s">
        <v>58</v>
      </c>
      <c r="F3029" s="81" t="s">
        <v>4099</v>
      </c>
      <c r="G3029" s="125" t="s">
        <v>1765</v>
      </c>
      <c r="H3029" s="81" t="s">
        <v>5148</v>
      </c>
      <c r="I3029" s="149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77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1">
        <v>3024.0</v>
      </c>
      <c r="B3030" s="180" t="s">
        <v>5149</v>
      </c>
      <c r="C3030" s="82" t="str">
        <f>VLOOKUP($B$7:$B$5000,SUM!$L$6:$L$500,1,FALSE)</f>
        <v>#N/A</v>
      </c>
      <c r="D3030" s="171" t="s">
        <v>5095</v>
      </c>
      <c r="E3030" s="165" t="s">
        <v>58</v>
      </c>
      <c r="F3030" s="81" t="s">
        <v>4099</v>
      </c>
      <c r="G3030" s="125" t="s">
        <v>1765</v>
      </c>
      <c r="H3030" s="81" t="s">
        <v>5150</v>
      </c>
      <c r="I3030" s="149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77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1">
        <v>3025.0</v>
      </c>
      <c r="B3031" s="180" t="s">
        <v>5151</v>
      </c>
      <c r="C3031" s="82" t="str">
        <f>VLOOKUP($B$7:$B$5000,SUM!$L$6:$L$500,1,FALSE)</f>
        <v>#N/A</v>
      </c>
      <c r="D3031" s="171" t="s">
        <v>5095</v>
      </c>
      <c r="E3031" s="165" t="s">
        <v>58</v>
      </c>
      <c r="F3031" s="81" t="s">
        <v>4099</v>
      </c>
      <c r="G3031" s="125" t="s">
        <v>1765</v>
      </c>
      <c r="H3031" s="81" t="s">
        <v>5152</v>
      </c>
      <c r="I3031" s="149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77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1">
        <v>3026.0</v>
      </c>
      <c r="B3032" s="180" t="s">
        <v>5153</v>
      </c>
      <c r="C3032" s="82" t="str">
        <f>VLOOKUP($B$7:$B$5000,SUM!$L$6:$L$500,1,FALSE)</f>
        <v>#N/A</v>
      </c>
      <c r="D3032" s="171" t="s">
        <v>5095</v>
      </c>
      <c r="E3032" s="165" t="s">
        <v>58</v>
      </c>
      <c r="F3032" s="81" t="s">
        <v>4099</v>
      </c>
      <c r="G3032" s="125" t="s">
        <v>1765</v>
      </c>
      <c r="H3032" s="81" t="s">
        <v>5154</v>
      </c>
      <c r="I3032" s="149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77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1">
        <v>3027.0</v>
      </c>
      <c r="B3033" s="180" t="s">
        <v>5155</v>
      </c>
      <c r="C3033" s="82" t="str">
        <f>VLOOKUP($B$7:$B$5000,SUM!$L$6:$L$500,1,FALSE)</f>
        <v>#N/A</v>
      </c>
      <c r="D3033" s="171" t="s">
        <v>5095</v>
      </c>
      <c r="E3033" s="165" t="s">
        <v>58</v>
      </c>
      <c r="F3033" s="81" t="s">
        <v>4099</v>
      </c>
      <c r="G3033" s="125" t="s">
        <v>1765</v>
      </c>
      <c r="H3033" s="81" t="s">
        <v>5156</v>
      </c>
      <c r="I3033" s="149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77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1">
        <v>3028.0</v>
      </c>
      <c r="B3034" s="180" t="s">
        <v>5157</v>
      </c>
      <c r="C3034" s="82" t="str">
        <f>VLOOKUP($B$7:$B$5000,SUM!$L$6:$L$500,1,FALSE)</f>
        <v>#N/A</v>
      </c>
      <c r="D3034" s="171" t="s">
        <v>5095</v>
      </c>
      <c r="E3034" s="165" t="s">
        <v>58</v>
      </c>
      <c r="F3034" s="81" t="s">
        <v>4099</v>
      </c>
      <c r="G3034" s="125" t="s">
        <v>1765</v>
      </c>
      <c r="H3034" s="81" t="s">
        <v>5158</v>
      </c>
      <c r="I3034" s="149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77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1">
        <v>3029.0</v>
      </c>
      <c r="B3035" s="180" t="s">
        <v>5159</v>
      </c>
      <c r="C3035" s="82" t="str">
        <f>VLOOKUP($B$7:$B$5000,SUM!$L$6:$L$500,1,FALSE)</f>
        <v>#N/A</v>
      </c>
      <c r="D3035" s="171" t="s">
        <v>5095</v>
      </c>
      <c r="E3035" s="165" t="s">
        <v>58</v>
      </c>
      <c r="F3035" s="81" t="s">
        <v>4099</v>
      </c>
      <c r="G3035" s="125" t="s">
        <v>1765</v>
      </c>
      <c r="H3035" s="81" t="s">
        <v>5160</v>
      </c>
      <c r="I3035" s="149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77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1">
        <v>3030.0</v>
      </c>
      <c r="B3036" s="180" t="s">
        <v>5161</v>
      </c>
      <c r="C3036" s="82" t="str">
        <f>VLOOKUP($B$7:$B$5000,SUM!$L$6:$L$500,1,FALSE)</f>
        <v>#N/A</v>
      </c>
      <c r="D3036" s="171" t="s">
        <v>5095</v>
      </c>
      <c r="E3036" s="165" t="s">
        <v>58</v>
      </c>
      <c r="F3036" s="81" t="s">
        <v>4099</v>
      </c>
      <c r="G3036" s="125" t="s">
        <v>1765</v>
      </c>
      <c r="H3036" s="81" t="s">
        <v>5162</v>
      </c>
      <c r="I3036" s="149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77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1">
        <v>3031.0</v>
      </c>
      <c r="B3037" s="180" t="s">
        <v>5163</v>
      </c>
      <c r="C3037" s="82" t="str">
        <f>VLOOKUP($B$7:$B$5000,SUM!$L$6:$L$500,1,FALSE)</f>
        <v>#N/A</v>
      </c>
      <c r="D3037" s="171" t="s">
        <v>5095</v>
      </c>
      <c r="E3037" s="165" t="s">
        <v>58</v>
      </c>
      <c r="F3037" s="81" t="s">
        <v>4099</v>
      </c>
      <c r="G3037" s="125" t="s">
        <v>1765</v>
      </c>
      <c r="H3037" s="81" t="s">
        <v>5164</v>
      </c>
      <c r="I3037" s="149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77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1">
        <v>3032.0</v>
      </c>
      <c r="B3038" s="180" t="s">
        <v>5165</v>
      </c>
      <c r="C3038" s="82" t="str">
        <f>VLOOKUP($B$7:$B$5000,SUM!$L$6:$L$500,1,FALSE)</f>
        <v>#N/A</v>
      </c>
      <c r="D3038" s="171" t="s">
        <v>5095</v>
      </c>
      <c r="E3038" s="165" t="s">
        <v>58</v>
      </c>
      <c r="F3038" s="81" t="s">
        <v>4099</v>
      </c>
      <c r="G3038" s="125" t="s">
        <v>1765</v>
      </c>
      <c r="H3038" s="81" t="s">
        <v>5166</v>
      </c>
      <c r="I3038" s="149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77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1">
        <v>3033.0</v>
      </c>
      <c r="B3039" s="180" t="s">
        <v>5167</v>
      </c>
      <c r="C3039" s="82" t="str">
        <f>VLOOKUP($B$7:$B$5000,SUM!$L$6:$L$500,1,FALSE)</f>
        <v>#N/A</v>
      </c>
      <c r="D3039" s="171" t="s">
        <v>5095</v>
      </c>
      <c r="E3039" s="165" t="s">
        <v>58</v>
      </c>
      <c r="F3039" s="81" t="s">
        <v>4099</v>
      </c>
      <c r="G3039" s="125" t="s">
        <v>1765</v>
      </c>
      <c r="H3039" s="81" t="s">
        <v>5168</v>
      </c>
      <c r="I3039" s="149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77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1">
        <v>3034.0</v>
      </c>
      <c r="B3040" s="180" t="s">
        <v>5169</v>
      </c>
      <c r="C3040" s="82" t="str">
        <f>VLOOKUP($B$7:$B$5000,SUM!$L$6:$L$500,1,FALSE)</f>
        <v>#N/A</v>
      </c>
      <c r="D3040" s="171" t="s">
        <v>5095</v>
      </c>
      <c r="E3040" s="165" t="s">
        <v>58</v>
      </c>
      <c r="F3040" s="81" t="s">
        <v>4099</v>
      </c>
      <c r="G3040" s="125" t="s">
        <v>1765</v>
      </c>
      <c r="H3040" s="81" t="s">
        <v>5170</v>
      </c>
      <c r="I3040" s="149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77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1">
        <v>3035.0</v>
      </c>
      <c r="B3041" s="180" t="s">
        <v>5171</v>
      </c>
      <c r="C3041" s="82" t="str">
        <f>VLOOKUP($B$7:$B$5000,SUM!$L$6:$L$500,1,FALSE)</f>
        <v>#N/A</v>
      </c>
      <c r="D3041" s="171" t="s">
        <v>5095</v>
      </c>
      <c r="E3041" s="165" t="s">
        <v>58</v>
      </c>
      <c r="F3041" s="81" t="s">
        <v>4099</v>
      </c>
      <c r="G3041" s="125" t="s">
        <v>1765</v>
      </c>
      <c r="H3041" s="81" t="s">
        <v>5096</v>
      </c>
      <c r="I3041" s="149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77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1">
        <v>3036.0</v>
      </c>
      <c r="B3042" s="180" t="s">
        <v>5173</v>
      </c>
      <c r="C3042" s="82" t="str">
        <f>VLOOKUP($B$7:$B$5000,SUM!$L$6:$L$500,1,FALSE)</f>
        <v>#N/A</v>
      </c>
      <c r="D3042" s="171" t="s">
        <v>5095</v>
      </c>
      <c r="E3042" s="165" t="s">
        <v>58</v>
      </c>
      <c r="F3042" s="81" t="s">
        <v>4099</v>
      </c>
      <c r="G3042" s="125" t="s">
        <v>1765</v>
      </c>
      <c r="H3042" s="81" t="s">
        <v>5099</v>
      </c>
      <c r="I3042" s="149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77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1">
        <v>3037.0</v>
      </c>
      <c r="B3043" s="180" t="s">
        <v>5174</v>
      </c>
      <c r="C3043" s="82" t="str">
        <f>VLOOKUP($B$7:$B$5000,SUM!$L$6:$L$500,1,FALSE)</f>
        <v>#N/A</v>
      </c>
      <c r="D3043" s="171" t="s">
        <v>5095</v>
      </c>
      <c r="E3043" s="165" t="s">
        <v>58</v>
      </c>
      <c r="F3043" s="81" t="s">
        <v>4099</v>
      </c>
      <c r="G3043" s="125" t="s">
        <v>1765</v>
      </c>
      <c r="H3043" s="81" t="s">
        <v>5101</v>
      </c>
      <c r="I3043" s="149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77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1">
        <v>3038.0</v>
      </c>
      <c r="B3044" s="180" t="s">
        <v>5175</v>
      </c>
      <c r="C3044" s="82" t="str">
        <f>VLOOKUP($B$7:$B$5000,SUM!$L$6:$L$500,1,FALSE)</f>
        <v>#N/A</v>
      </c>
      <c r="D3044" s="171" t="s">
        <v>5095</v>
      </c>
      <c r="E3044" s="165" t="s">
        <v>58</v>
      </c>
      <c r="F3044" s="81" t="s">
        <v>4099</v>
      </c>
      <c r="G3044" s="125" t="s">
        <v>1765</v>
      </c>
      <c r="H3044" s="81" t="s">
        <v>5103</v>
      </c>
      <c r="I3044" s="149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77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1">
        <v>3039.0</v>
      </c>
      <c r="B3045" s="180" t="s">
        <v>5176</v>
      </c>
      <c r="C3045" s="82" t="str">
        <f>VLOOKUP($B$7:$B$5000,SUM!$L$6:$L$500,1,FALSE)</f>
        <v>#N/A</v>
      </c>
      <c r="D3045" s="171" t="s">
        <v>5095</v>
      </c>
      <c r="E3045" s="165" t="s">
        <v>58</v>
      </c>
      <c r="F3045" s="81" t="s">
        <v>4099</v>
      </c>
      <c r="G3045" s="125" t="s">
        <v>1765</v>
      </c>
      <c r="H3045" s="81" t="s">
        <v>5105</v>
      </c>
      <c r="I3045" s="149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77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1">
        <v>3040.0</v>
      </c>
      <c r="B3046" s="180" t="s">
        <v>5177</v>
      </c>
      <c r="C3046" s="82" t="str">
        <f>VLOOKUP($B$7:$B$5000,SUM!$L$6:$L$500,1,FALSE)</f>
        <v>#N/A</v>
      </c>
      <c r="D3046" s="171" t="s">
        <v>5095</v>
      </c>
      <c r="E3046" s="165" t="s">
        <v>58</v>
      </c>
      <c r="F3046" s="81" t="s">
        <v>4099</v>
      </c>
      <c r="G3046" s="125" t="s">
        <v>1765</v>
      </c>
      <c r="H3046" s="81" t="s">
        <v>5107</v>
      </c>
      <c r="I3046" s="149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77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1">
        <v>3041.0</v>
      </c>
      <c r="B3047" s="180" t="s">
        <v>5178</v>
      </c>
      <c r="C3047" s="82" t="str">
        <f>VLOOKUP($B$7:$B$5000,SUM!$L$6:$L$500,1,FALSE)</f>
        <v>#N/A</v>
      </c>
      <c r="D3047" s="171" t="s">
        <v>5095</v>
      </c>
      <c r="E3047" s="165" t="s">
        <v>58</v>
      </c>
      <c r="F3047" s="81" t="s">
        <v>4099</v>
      </c>
      <c r="G3047" s="125" t="s">
        <v>1765</v>
      </c>
      <c r="H3047" s="81" t="s">
        <v>5109</v>
      </c>
      <c r="I3047" s="149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77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1">
        <v>3042.0</v>
      </c>
      <c r="B3048" s="180" t="s">
        <v>5179</v>
      </c>
      <c r="C3048" s="82" t="str">
        <f>VLOOKUP($B$7:$B$5000,SUM!$L$6:$L$500,1,FALSE)</f>
        <v>#N/A</v>
      </c>
      <c r="D3048" s="171" t="s">
        <v>5095</v>
      </c>
      <c r="E3048" s="165" t="s">
        <v>58</v>
      </c>
      <c r="F3048" s="81" t="s">
        <v>4099</v>
      </c>
      <c r="G3048" s="125" t="s">
        <v>1765</v>
      </c>
      <c r="H3048" s="81" t="s">
        <v>5111</v>
      </c>
      <c r="I3048" s="149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77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1">
        <v>3043.0</v>
      </c>
      <c r="B3049" s="180" t="s">
        <v>5180</v>
      </c>
      <c r="C3049" s="82" t="str">
        <f>VLOOKUP($B$7:$B$5000,SUM!$L$6:$L$500,1,FALSE)</f>
        <v>#N/A</v>
      </c>
      <c r="D3049" s="171" t="s">
        <v>5095</v>
      </c>
      <c r="E3049" s="165" t="s">
        <v>58</v>
      </c>
      <c r="F3049" s="81" t="s">
        <v>4099</v>
      </c>
      <c r="G3049" s="125" t="s">
        <v>1765</v>
      </c>
      <c r="H3049" s="81" t="s">
        <v>5113</v>
      </c>
      <c r="I3049" s="149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77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1">
        <v>3044.0</v>
      </c>
      <c r="B3050" s="180" t="s">
        <v>5181</v>
      </c>
      <c r="C3050" s="82" t="str">
        <f>VLOOKUP($B$7:$B$5000,SUM!$L$6:$L$500,1,FALSE)</f>
        <v>#N/A</v>
      </c>
      <c r="D3050" s="171" t="s">
        <v>5095</v>
      </c>
      <c r="E3050" s="165" t="s">
        <v>58</v>
      </c>
      <c r="F3050" s="81" t="s">
        <v>4099</v>
      </c>
      <c r="G3050" s="125" t="s">
        <v>1765</v>
      </c>
      <c r="H3050" s="81" t="s">
        <v>5115</v>
      </c>
      <c r="I3050" s="149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77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1">
        <v>3045.0</v>
      </c>
      <c r="B3051" s="180" t="s">
        <v>5182</v>
      </c>
      <c r="C3051" s="82" t="str">
        <f>VLOOKUP($B$7:$B$5000,SUM!$L$6:$L$500,1,FALSE)</f>
        <v>#N/A</v>
      </c>
      <c r="D3051" s="171" t="s">
        <v>5095</v>
      </c>
      <c r="E3051" s="165" t="s">
        <v>58</v>
      </c>
      <c r="F3051" s="81" t="s">
        <v>4099</v>
      </c>
      <c r="G3051" s="125" t="s">
        <v>1765</v>
      </c>
      <c r="H3051" s="81" t="s">
        <v>5117</v>
      </c>
      <c r="I3051" s="149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77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1">
        <v>3046.0</v>
      </c>
      <c r="B3052" s="180" t="s">
        <v>5183</v>
      </c>
      <c r="C3052" s="82" t="str">
        <f>VLOOKUP($B$7:$B$5000,SUM!$L$6:$L$500,1,FALSE)</f>
        <v>#N/A</v>
      </c>
      <c r="D3052" s="171" t="s">
        <v>5095</v>
      </c>
      <c r="E3052" s="165" t="s">
        <v>58</v>
      </c>
      <c r="F3052" s="81" t="s">
        <v>4099</v>
      </c>
      <c r="G3052" s="125" t="s">
        <v>1765</v>
      </c>
      <c r="H3052" s="81" t="s">
        <v>5119</v>
      </c>
      <c r="I3052" s="149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77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1">
        <v>3047.0</v>
      </c>
      <c r="B3053" s="180" t="s">
        <v>5184</v>
      </c>
      <c r="C3053" s="82" t="str">
        <f>VLOOKUP($B$7:$B$5000,SUM!$L$6:$L$500,1,FALSE)</f>
        <v>#N/A</v>
      </c>
      <c r="D3053" s="171" t="s">
        <v>5095</v>
      </c>
      <c r="E3053" s="165" t="s">
        <v>58</v>
      </c>
      <c r="F3053" s="81" t="s">
        <v>4099</v>
      </c>
      <c r="G3053" s="125" t="s">
        <v>1765</v>
      </c>
      <c r="H3053" s="81" t="s">
        <v>5121</v>
      </c>
      <c r="I3053" s="149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77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1">
        <v>3048.0</v>
      </c>
      <c r="B3054" s="180" t="s">
        <v>5185</v>
      </c>
      <c r="C3054" s="82" t="str">
        <f>VLOOKUP($B$7:$B$5000,SUM!$L$6:$L$500,1,FALSE)</f>
        <v>#N/A</v>
      </c>
      <c r="D3054" s="171" t="s">
        <v>5095</v>
      </c>
      <c r="E3054" s="165" t="s">
        <v>58</v>
      </c>
      <c r="F3054" s="81" t="s">
        <v>4099</v>
      </c>
      <c r="G3054" s="125" t="s">
        <v>1765</v>
      </c>
      <c r="H3054" s="81" t="s">
        <v>5123</v>
      </c>
      <c r="I3054" s="149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77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1">
        <v>3049.0</v>
      </c>
      <c r="B3055" s="180" t="s">
        <v>5186</v>
      </c>
      <c r="C3055" s="82" t="str">
        <f>VLOOKUP($B$7:$B$5000,SUM!$L$6:$L$500,1,FALSE)</f>
        <v>#N/A</v>
      </c>
      <c r="D3055" s="171" t="s">
        <v>5095</v>
      </c>
      <c r="E3055" s="165" t="s">
        <v>58</v>
      </c>
      <c r="F3055" s="81" t="s">
        <v>4099</v>
      </c>
      <c r="G3055" s="125" t="s">
        <v>1765</v>
      </c>
      <c r="H3055" s="81" t="s">
        <v>5125</v>
      </c>
      <c r="I3055" s="149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77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1">
        <v>3050.0</v>
      </c>
      <c r="B3056" s="180" t="s">
        <v>5187</v>
      </c>
      <c r="C3056" s="82" t="str">
        <f>VLOOKUP($B$7:$B$5000,SUM!$L$6:$L$500,1,FALSE)</f>
        <v>#N/A</v>
      </c>
      <c r="D3056" s="171" t="s">
        <v>5095</v>
      </c>
      <c r="E3056" s="165" t="s">
        <v>58</v>
      </c>
      <c r="F3056" s="81" t="s">
        <v>4099</v>
      </c>
      <c r="G3056" s="125" t="s">
        <v>1765</v>
      </c>
      <c r="H3056" s="81" t="s">
        <v>5127</v>
      </c>
      <c r="I3056" s="149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77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1">
        <v>3051.0</v>
      </c>
      <c r="B3057" s="180" t="s">
        <v>5188</v>
      </c>
      <c r="C3057" s="82" t="str">
        <f>VLOOKUP($B$7:$B$5000,SUM!$L$6:$L$500,1,FALSE)</f>
        <v>#N/A</v>
      </c>
      <c r="D3057" s="171" t="s">
        <v>5095</v>
      </c>
      <c r="E3057" s="165" t="s">
        <v>58</v>
      </c>
      <c r="F3057" s="81" t="s">
        <v>4099</v>
      </c>
      <c r="G3057" s="125" t="s">
        <v>1765</v>
      </c>
      <c r="H3057" s="81" t="s">
        <v>5129</v>
      </c>
      <c r="I3057" s="149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77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1">
        <v>3052.0</v>
      </c>
      <c r="B3058" s="180" t="s">
        <v>5189</v>
      </c>
      <c r="C3058" s="82" t="str">
        <f>VLOOKUP($B$7:$B$5000,SUM!$L$6:$L$500,1,FALSE)</f>
        <v>#N/A</v>
      </c>
      <c r="D3058" s="171" t="s">
        <v>5095</v>
      </c>
      <c r="E3058" s="165" t="s">
        <v>58</v>
      </c>
      <c r="F3058" s="81" t="s">
        <v>4099</v>
      </c>
      <c r="G3058" s="125" t="s">
        <v>1765</v>
      </c>
      <c r="H3058" s="81" t="s">
        <v>5131</v>
      </c>
      <c r="I3058" s="149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77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1">
        <v>3053.0</v>
      </c>
      <c r="B3059" s="180" t="s">
        <v>5190</v>
      </c>
      <c r="C3059" s="82" t="str">
        <f>VLOOKUP($B$7:$B$5000,SUM!$L$6:$L$500,1,FALSE)</f>
        <v>#N/A</v>
      </c>
      <c r="D3059" s="171" t="s">
        <v>5095</v>
      </c>
      <c r="E3059" s="165" t="s">
        <v>58</v>
      </c>
      <c r="F3059" s="81" t="s">
        <v>4099</v>
      </c>
      <c r="G3059" s="125" t="s">
        <v>1765</v>
      </c>
      <c r="H3059" s="81" t="s">
        <v>5133</v>
      </c>
      <c r="I3059" s="149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77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1">
        <v>3054.0</v>
      </c>
      <c r="B3060" s="180" t="s">
        <v>5191</v>
      </c>
      <c r="C3060" s="82" t="str">
        <f>VLOOKUP($B$7:$B$5000,SUM!$L$6:$L$500,1,FALSE)</f>
        <v>#N/A</v>
      </c>
      <c r="D3060" s="171" t="s">
        <v>5095</v>
      </c>
      <c r="E3060" s="165" t="s">
        <v>58</v>
      </c>
      <c r="F3060" s="81" t="s">
        <v>4099</v>
      </c>
      <c r="G3060" s="125" t="s">
        <v>1765</v>
      </c>
      <c r="H3060" s="81" t="s">
        <v>5135</v>
      </c>
      <c r="I3060" s="149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77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1">
        <v>3055.0</v>
      </c>
      <c r="B3061" s="180" t="s">
        <v>5193</v>
      </c>
      <c r="C3061" s="82" t="str">
        <f>VLOOKUP($B$7:$B$5000,SUM!$L$6:$L$500,1,FALSE)</f>
        <v>#N/A</v>
      </c>
      <c r="D3061" s="171" t="s">
        <v>5095</v>
      </c>
      <c r="E3061" s="165" t="s">
        <v>58</v>
      </c>
      <c r="F3061" s="81" t="s">
        <v>4099</v>
      </c>
      <c r="G3061" s="125" t="s">
        <v>1765</v>
      </c>
      <c r="H3061" s="81" t="s">
        <v>5138</v>
      </c>
      <c r="I3061" s="149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77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1">
        <v>3056.0</v>
      </c>
      <c r="B3062" s="180" t="s">
        <v>5194</v>
      </c>
      <c r="C3062" s="82" t="str">
        <f>VLOOKUP($B$7:$B$5000,SUM!$L$6:$L$500,1,FALSE)</f>
        <v>#N/A</v>
      </c>
      <c r="D3062" s="171" t="s">
        <v>5095</v>
      </c>
      <c r="E3062" s="165" t="s">
        <v>58</v>
      </c>
      <c r="F3062" s="81" t="s">
        <v>4099</v>
      </c>
      <c r="G3062" s="125" t="s">
        <v>1765</v>
      </c>
      <c r="H3062" s="81" t="s">
        <v>5140</v>
      </c>
      <c r="I3062" s="149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77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1">
        <v>3057.0</v>
      </c>
      <c r="B3063" s="180" t="s">
        <v>5195</v>
      </c>
      <c r="C3063" s="82" t="str">
        <f>VLOOKUP($B$7:$B$5000,SUM!$L$6:$L$500,1,FALSE)</f>
        <v>#N/A</v>
      </c>
      <c r="D3063" s="171" t="s">
        <v>5095</v>
      </c>
      <c r="E3063" s="165" t="s">
        <v>58</v>
      </c>
      <c r="F3063" s="81" t="s">
        <v>4099</v>
      </c>
      <c r="G3063" s="125" t="s">
        <v>1765</v>
      </c>
      <c r="H3063" s="81" t="s">
        <v>5142</v>
      </c>
      <c r="I3063" s="149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77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1">
        <v>3058.0</v>
      </c>
      <c r="B3064" s="180" t="s">
        <v>5196</v>
      </c>
      <c r="C3064" s="82" t="str">
        <f>VLOOKUP($B$7:$B$5000,SUM!$L$6:$L$500,1,FALSE)</f>
        <v>#N/A</v>
      </c>
      <c r="D3064" s="171" t="s">
        <v>5095</v>
      </c>
      <c r="E3064" s="165" t="s">
        <v>58</v>
      </c>
      <c r="F3064" s="81" t="s">
        <v>4099</v>
      </c>
      <c r="G3064" s="125" t="s">
        <v>1765</v>
      </c>
      <c r="H3064" s="81" t="s">
        <v>5144</v>
      </c>
      <c r="I3064" s="149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77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1">
        <v>3059.0</v>
      </c>
      <c r="B3065" s="180" t="s">
        <v>5197</v>
      </c>
      <c r="C3065" s="82" t="str">
        <f>VLOOKUP($B$7:$B$5000,SUM!$L$6:$L$500,1,FALSE)</f>
        <v>#N/A</v>
      </c>
      <c r="D3065" s="171" t="s">
        <v>5095</v>
      </c>
      <c r="E3065" s="165" t="s">
        <v>58</v>
      </c>
      <c r="F3065" s="81" t="s">
        <v>4099</v>
      </c>
      <c r="G3065" s="125" t="s">
        <v>1765</v>
      </c>
      <c r="H3065" s="81" t="s">
        <v>5146</v>
      </c>
      <c r="I3065" s="149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77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1">
        <v>3060.0</v>
      </c>
      <c r="B3066" s="180" t="s">
        <v>5198</v>
      </c>
      <c r="C3066" s="82" t="str">
        <f>VLOOKUP($B$7:$B$5000,SUM!$L$6:$L$500,1,FALSE)</f>
        <v>#N/A</v>
      </c>
      <c r="D3066" s="171" t="s">
        <v>5095</v>
      </c>
      <c r="E3066" s="165" t="s">
        <v>58</v>
      </c>
      <c r="F3066" s="81" t="s">
        <v>4099</v>
      </c>
      <c r="G3066" s="125" t="s">
        <v>1765</v>
      </c>
      <c r="H3066" s="81" t="s">
        <v>5148</v>
      </c>
      <c r="I3066" s="149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77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1">
        <v>3061.0</v>
      </c>
      <c r="B3067" s="180" t="s">
        <v>5199</v>
      </c>
      <c r="C3067" s="82" t="str">
        <f>VLOOKUP($B$7:$B$5000,SUM!$L$6:$L$500,1,FALSE)</f>
        <v>#N/A</v>
      </c>
      <c r="D3067" s="171" t="s">
        <v>5095</v>
      </c>
      <c r="E3067" s="165" t="s">
        <v>58</v>
      </c>
      <c r="F3067" s="81" t="s">
        <v>4099</v>
      </c>
      <c r="G3067" s="125" t="s">
        <v>1765</v>
      </c>
      <c r="H3067" s="81" t="s">
        <v>5150</v>
      </c>
      <c r="I3067" s="149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77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1">
        <v>3062.0</v>
      </c>
      <c r="B3068" s="180" t="s">
        <v>5200</v>
      </c>
      <c r="C3068" s="82" t="str">
        <f>VLOOKUP($B$7:$B$5000,SUM!$L$6:$L$500,1,FALSE)</f>
        <v>#N/A</v>
      </c>
      <c r="D3068" s="171" t="s">
        <v>5095</v>
      </c>
      <c r="E3068" s="165" t="s">
        <v>58</v>
      </c>
      <c r="F3068" s="81" t="s">
        <v>4099</v>
      </c>
      <c r="G3068" s="125" t="s">
        <v>1765</v>
      </c>
      <c r="H3068" s="81" t="s">
        <v>5152</v>
      </c>
      <c r="I3068" s="149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77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1">
        <v>3063.0</v>
      </c>
      <c r="B3069" s="180" t="s">
        <v>5201</v>
      </c>
      <c r="C3069" s="82" t="str">
        <f>VLOOKUP($B$7:$B$5000,SUM!$L$6:$L$500,1,FALSE)</f>
        <v>#N/A</v>
      </c>
      <c r="D3069" s="171" t="s">
        <v>5095</v>
      </c>
      <c r="E3069" s="165" t="s">
        <v>58</v>
      </c>
      <c r="F3069" s="81" t="s">
        <v>4099</v>
      </c>
      <c r="G3069" s="125" t="s">
        <v>1765</v>
      </c>
      <c r="H3069" s="81" t="s">
        <v>5154</v>
      </c>
      <c r="I3069" s="149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77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1">
        <v>3064.0</v>
      </c>
      <c r="B3070" s="180" t="s">
        <v>5202</v>
      </c>
      <c r="C3070" s="82" t="str">
        <f>VLOOKUP($B$7:$B$5000,SUM!$L$6:$L$500,1,FALSE)</f>
        <v>#N/A</v>
      </c>
      <c r="D3070" s="171" t="s">
        <v>5095</v>
      </c>
      <c r="E3070" s="165" t="s">
        <v>58</v>
      </c>
      <c r="F3070" s="81" t="s">
        <v>4099</v>
      </c>
      <c r="G3070" s="125" t="s">
        <v>1765</v>
      </c>
      <c r="H3070" s="81" t="s">
        <v>5156</v>
      </c>
      <c r="I3070" s="149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77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1">
        <v>3065.0</v>
      </c>
      <c r="B3071" s="180" t="s">
        <v>5203</v>
      </c>
      <c r="C3071" s="82" t="str">
        <f>VLOOKUP($B$7:$B$5000,SUM!$L$6:$L$500,1,FALSE)</f>
        <v>#N/A</v>
      </c>
      <c r="D3071" s="171" t="s">
        <v>5095</v>
      </c>
      <c r="E3071" s="165" t="s">
        <v>58</v>
      </c>
      <c r="F3071" s="81" t="s">
        <v>4099</v>
      </c>
      <c r="G3071" s="125" t="s">
        <v>1765</v>
      </c>
      <c r="H3071" s="81" t="s">
        <v>5158</v>
      </c>
      <c r="I3071" s="149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77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1">
        <v>3066.0</v>
      </c>
      <c r="B3072" s="180" t="s">
        <v>5204</v>
      </c>
      <c r="C3072" s="82" t="str">
        <f>VLOOKUP($B$7:$B$5000,SUM!$L$6:$L$500,1,FALSE)</f>
        <v>#N/A</v>
      </c>
      <c r="D3072" s="171" t="s">
        <v>5095</v>
      </c>
      <c r="E3072" s="165" t="s">
        <v>58</v>
      </c>
      <c r="F3072" s="81" t="s">
        <v>4099</v>
      </c>
      <c r="G3072" s="125" t="s">
        <v>1765</v>
      </c>
      <c r="H3072" s="81" t="s">
        <v>5160</v>
      </c>
      <c r="I3072" s="149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77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1">
        <v>3067.0</v>
      </c>
      <c r="B3073" s="180" t="s">
        <v>5205</v>
      </c>
      <c r="C3073" s="82" t="str">
        <f>VLOOKUP($B$7:$B$5000,SUM!$L$6:$L$500,1,FALSE)</f>
        <v>#N/A</v>
      </c>
      <c r="D3073" s="171" t="s">
        <v>5095</v>
      </c>
      <c r="E3073" s="165" t="s">
        <v>58</v>
      </c>
      <c r="F3073" s="81" t="s">
        <v>4099</v>
      </c>
      <c r="G3073" s="125" t="s">
        <v>1765</v>
      </c>
      <c r="H3073" s="81" t="s">
        <v>5162</v>
      </c>
      <c r="I3073" s="149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77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1">
        <v>3068.0</v>
      </c>
      <c r="B3074" s="180" t="s">
        <v>5206</v>
      </c>
      <c r="C3074" s="82" t="str">
        <f>VLOOKUP($B$7:$B$5000,SUM!$L$6:$L$500,1,FALSE)</f>
        <v>#N/A</v>
      </c>
      <c r="D3074" s="171" t="s">
        <v>5095</v>
      </c>
      <c r="E3074" s="165" t="s">
        <v>58</v>
      </c>
      <c r="F3074" s="81" t="s">
        <v>4099</v>
      </c>
      <c r="G3074" s="125" t="s">
        <v>1765</v>
      </c>
      <c r="H3074" s="81" t="s">
        <v>5164</v>
      </c>
      <c r="I3074" s="149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77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1">
        <v>3069.0</v>
      </c>
      <c r="B3075" s="180" t="s">
        <v>5207</v>
      </c>
      <c r="C3075" s="82" t="str">
        <f>VLOOKUP($B$7:$B$5000,SUM!$L$6:$L$500,1,FALSE)</f>
        <v>#N/A</v>
      </c>
      <c r="D3075" s="171" t="s">
        <v>5095</v>
      </c>
      <c r="E3075" s="165" t="s">
        <v>58</v>
      </c>
      <c r="F3075" s="81" t="s">
        <v>4099</v>
      </c>
      <c r="G3075" s="125" t="s">
        <v>1765</v>
      </c>
      <c r="H3075" s="81" t="s">
        <v>5166</v>
      </c>
      <c r="I3075" s="149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77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1">
        <v>3070.0</v>
      </c>
      <c r="B3076" s="180" t="s">
        <v>5208</v>
      </c>
      <c r="C3076" s="82" t="str">
        <f>VLOOKUP($B$7:$B$5000,SUM!$L$6:$L$500,1,FALSE)</f>
        <v>#N/A</v>
      </c>
      <c r="D3076" s="171" t="s">
        <v>5095</v>
      </c>
      <c r="E3076" s="165" t="s">
        <v>58</v>
      </c>
      <c r="F3076" s="81" t="s">
        <v>4099</v>
      </c>
      <c r="G3076" s="125" t="s">
        <v>1765</v>
      </c>
      <c r="H3076" s="81" t="s">
        <v>5168</v>
      </c>
      <c r="I3076" s="149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77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1">
        <v>3071.0</v>
      </c>
      <c r="B3077" s="180" t="s">
        <v>5209</v>
      </c>
      <c r="C3077" s="82" t="str">
        <f>VLOOKUP($B$7:$B$5000,SUM!$L$6:$L$500,1,FALSE)</f>
        <v>#N/A</v>
      </c>
      <c r="D3077" s="171" t="s">
        <v>5095</v>
      </c>
      <c r="E3077" s="165" t="s">
        <v>58</v>
      </c>
      <c r="F3077" s="81" t="s">
        <v>4099</v>
      </c>
      <c r="G3077" s="125" t="s">
        <v>1765</v>
      </c>
      <c r="H3077" s="81" t="s">
        <v>5170</v>
      </c>
      <c r="I3077" s="149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77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1">
        <v>3072.0</v>
      </c>
      <c r="B3078" s="180" t="s">
        <v>5210</v>
      </c>
      <c r="C3078" s="82" t="str">
        <f>VLOOKUP($B$7:$B$5000,SUM!$L$6:$L$500,1,FALSE)</f>
        <v>#N/A</v>
      </c>
      <c r="D3078" s="171" t="s">
        <v>5095</v>
      </c>
      <c r="E3078" s="165" t="s">
        <v>58</v>
      </c>
      <c r="F3078" s="81" t="s">
        <v>4099</v>
      </c>
      <c r="G3078" s="125" t="s">
        <v>1765</v>
      </c>
      <c r="H3078" s="81" t="s">
        <v>5096</v>
      </c>
      <c r="I3078" s="149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77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1">
        <v>3073.0</v>
      </c>
      <c r="B3079" s="180" t="s">
        <v>5212</v>
      </c>
      <c r="C3079" s="82" t="str">
        <f>VLOOKUP($B$7:$B$5000,SUM!$L$6:$L$500,1,FALSE)</f>
        <v>#N/A</v>
      </c>
      <c r="D3079" s="171" t="s">
        <v>5095</v>
      </c>
      <c r="E3079" s="165" t="s">
        <v>58</v>
      </c>
      <c r="F3079" s="81" t="s">
        <v>4099</v>
      </c>
      <c r="G3079" s="125" t="s">
        <v>1765</v>
      </c>
      <c r="H3079" s="81" t="s">
        <v>5099</v>
      </c>
      <c r="I3079" s="149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77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1">
        <v>3074.0</v>
      </c>
      <c r="B3080" s="180" t="s">
        <v>5213</v>
      </c>
      <c r="C3080" s="82" t="str">
        <f>VLOOKUP($B$7:$B$5000,SUM!$L$6:$L$500,1,FALSE)</f>
        <v>#N/A</v>
      </c>
      <c r="D3080" s="171" t="s">
        <v>5095</v>
      </c>
      <c r="E3080" s="165" t="s">
        <v>58</v>
      </c>
      <c r="F3080" s="81" t="s">
        <v>4099</v>
      </c>
      <c r="G3080" s="125" t="s">
        <v>1765</v>
      </c>
      <c r="H3080" s="81" t="s">
        <v>5101</v>
      </c>
      <c r="I3080" s="149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77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1">
        <v>3075.0</v>
      </c>
      <c r="B3081" s="180" t="s">
        <v>5214</v>
      </c>
      <c r="C3081" s="82" t="str">
        <f>VLOOKUP($B$7:$B$5000,SUM!$L$6:$L$500,1,FALSE)</f>
        <v>#N/A</v>
      </c>
      <c r="D3081" s="171" t="s">
        <v>5095</v>
      </c>
      <c r="E3081" s="165" t="s">
        <v>58</v>
      </c>
      <c r="F3081" s="81" t="s">
        <v>4099</v>
      </c>
      <c r="G3081" s="125" t="s">
        <v>1765</v>
      </c>
      <c r="H3081" s="81" t="s">
        <v>5103</v>
      </c>
      <c r="I3081" s="149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77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1">
        <v>3076.0</v>
      </c>
      <c r="B3082" s="180" t="s">
        <v>5215</v>
      </c>
      <c r="C3082" s="82" t="str">
        <f>VLOOKUP($B$7:$B$5000,SUM!$L$6:$L$500,1,FALSE)</f>
        <v>#N/A</v>
      </c>
      <c r="D3082" s="171" t="s">
        <v>5095</v>
      </c>
      <c r="E3082" s="165" t="s">
        <v>58</v>
      </c>
      <c r="F3082" s="81" t="s">
        <v>4099</v>
      </c>
      <c r="G3082" s="125" t="s">
        <v>1765</v>
      </c>
      <c r="H3082" s="81" t="s">
        <v>5105</v>
      </c>
      <c r="I3082" s="149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77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1">
        <v>3077.0</v>
      </c>
      <c r="B3083" s="180" t="s">
        <v>5216</v>
      </c>
      <c r="C3083" s="82" t="str">
        <f>VLOOKUP($B$7:$B$5000,SUM!$L$6:$L$500,1,FALSE)</f>
        <v>#N/A</v>
      </c>
      <c r="D3083" s="171" t="s">
        <v>5095</v>
      </c>
      <c r="E3083" s="165" t="s">
        <v>58</v>
      </c>
      <c r="F3083" s="81" t="s">
        <v>4099</v>
      </c>
      <c r="G3083" s="125" t="s">
        <v>1765</v>
      </c>
      <c r="H3083" s="81" t="s">
        <v>5107</v>
      </c>
      <c r="I3083" s="149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77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1">
        <v>3078.0</v>
      </c>
      <c r="B3084" s="180" t="s">
        <v>5217</v>
      </c>
      <c r="C3084" s="82" t="str">
        <f>VLOOKUP($B$7:$B$5000,SUM!$L$6:$L$500,1,FALSE)</f>
        <v>#N/A</v>
      </c>
      <c r="D3084" s="171" t="s">
        <v>5095</v>
      </c>
      <c r="E3084" s="165" t="s">
        <v>58</v>
      </c>
      <c r="F3084" s="81" t="s">
        <v>4099</v>
      </c>
      <c r="G3084" s="125" t="s">
        <v>1765</v>
      </c>
      <c r="H3084" s="81" t="s">
        <v>5109</v>
      </c>
      <c r="I3084" s="149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77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1">
        <v>3079.0</v>
      </c>
      <c r="B3085" s="180" t="s">
        <v>5218</v>
      </c>
      <c r="C3085" s="82" t="str">
        <f>VLOOKUP($B$7:$B$5000,SUM!$L$6:$L$500,1,FALSE)</f>
        <v>#N/A</v>
      </c>
      <c r="D3085" s="171" t="s">
        <v>5095</v>
      </c>
      <c r="E3085" s="165" t="s">
        <v>58</v>
      </c>
      <c r="F3085" s="81" t="s">
        <v>4099</v>
      </c>
      <c r="G3085" s="125" t="s">
        <v>1765</v>
      </c>
      <c r="H3085" s="81" t="s">
        <v>5111</v>
      </c>
      <c r="I3085" s="149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77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1">
        <v>3080.0</v>
      </c>
      <c r="B3086" s="180" t="s">
        <v>5219</v>
      </c>
      <c r="C3086" s="82" t="str">
        <f>VLOOKUP($B$7:$B$5000,SUM!$L$6:$L$500,1,FALSE)</f>
        <v>#N/A</v>
      </c>
      <c r="D3086" s="171" t="s">
        <v>5095</v>
      </c>
      <c r="E3086" s="165" t="s">
        <v>58</v>
      </c>
      <c r="F3086" s="81" t="s">
        <v>4099</v>
      </c>
      <c r="G3086" s="125" t="s">
        <v>1765</v>
      </c>
      <c r="H3086" s="81" t="s">
        <v>5113</v>
      </c>
      <c r="I3086" s="149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77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1">
        <v>3081.0</v>
      </c>
      <c r="B3087" s="180" t="s">
        <v>5220</v>
      </c>
      <c r="C3087" s="82" t="str">
        <f>VLOOKUP($B$7:$B$5000,SUM!$L$6:$L$500,1,FALSE)</f>
        <v>#N/A</v>
      </c>
      <c r="D3087" s="171" t="s">
        <v>5095</v>
      </c>
      <c r="E3087" s="165" t="s">
        <v>58</v>
      </c>
      <c r="F3087" s="81" t="s">
        <v>4099</v>
      </c>
      <c r="G3087" s="125" t="s">
        <v>1765</v>
      </c>
      <c r="H3087" s="81" t="s">
        <v>5115</v>
      </c>
      <c r="I3087" s="149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77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1">
        <v>3082.0</v>
      </c>
      <c r="B3088" s="180" t="s">
        <v>5221</v>
      </c>
      <c r="C3088" s="82" t="str">
        <f>VLOOKUP($B$7:$B$5000,SUM!$L$6:$L$500,1,FALSE)</f>
        <v>#N/A</v>
      </c>
      <c r="D3088" s="171" t="s">
        <v>5095</v>
      </c>
      <c r="E3088" s="165" t="s">
        <v>58</v>
      </c>
      <c r="F3088" s="81" t="s">
        <v>4099</v>
      </c>
      <c r="G3088" s="125" t="s">
        <v>1765</v>
      </c>
      <c r="H3088" s="81" t="s">
        <v>5117</v>
      </c>
      <c r="I3088" s="149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77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1">
        <v>3083.0</v>
      </c>
      <c r="B3089" s="180" t="s">
        <v>5222</v>
      </c>
      <c r="C3089" s="82" t="str">
        <f>VLOOKUP($B$7:$B$5000,SUM!$L$6:$L$500,1,FALSE)</f>
        <v>#N/A</v>
      </c>
      <c r="D3089" s="171" t="s">
        <v>5095</v>
      </c>
      <c r="E3089" s="165" t="s">
        <v>58</v>
      </c>
      <c r="F3089" s="81" t="s">
        <v>4099</v>
      </c>
      <c r="G3089" s="125" t="s">
        <v>1765</v>
      </c>
      <c r="H3089" s="81" t="s">
        <v>5119</v>
      </c>
      <c r="I3089" s="149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77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1">
        <v>3084.0</v>
      </c>
      <c r="B3090" s="180" t="s">
        <v>5223</v>
      </c>
      <c r="C3090" s="82" t="str">
        <f>VLOOKUP($B$7:$B$5000,SUM!$L$6:$L$500,1,FALSE)</f>
        <v>#N/A</v>
      </c>
      <c r="D3090" s="171" t="s">
        <v>5095</v>
      </c>
      <c r="E3090" s="165" t="s">
        <v>58</v>
      </c>
      <c r="F3090" s="81" t="s">
        <v>4099</v>
      </c>
      <c r="G3090" s="125" t="s">
        <v>1765</v>
      </c>
      <c r="H3090" s="81" t="s">
        <v>5121</v>
      </c>
      <c r="I3090" s="149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77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1">
        <v>3085.0</v>
      </c>
      <c r="B3091" s="180" t="s">
        <v>5224</v>
      </c>
      <c r="C3091" s="82" t="str">
        <f>VLOOKUP($B$7:$B$5000,SUM!$L$6:$L$500,1,FALSE)</f>
        <v>#N/A</v>
      </c>
      <c r="D3091" s="171" t="s">
        <v>5095</v>
      </c>
      <c r="E3091" s="165" t="s">
        <v>58</v>
      </c>
      <c r="F3091" s="81" t="s">
        <v>4099</v>
      </c>
      <c r="G3091" s="125" t="s">
        <v>1765</v>
      </c>
      <c r="H3091" s="81" t="s">
        <v>5123</v>
      </c>
      <c r="I3091" s="149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77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1">
        <v>3086.0</v>
      </c>
      <c r="B3092" s="180" t="s">
        <v>5225</v>
      </c>
      <c r="C3092" s="82" t="str">
        <f>VLOOKUP($B$7:$B$5000,SUM!$L$6:$L$500,1,FALSE)</f>
        <v>#N/A</v>
      </c>
      <c r="D3092" s="171" t="s">
        <v>5095</v>
      </c>
      <c r="E3092" s="165" t="s">
        <v>58</v>
      </c>
      <c r="F3092" s="81" t="s">
        <v>4099</v>
      </c>
      <c r="G3092" s="125" t="s">
        <v>1765</v>
      </c>
      <c r="H3092" s="81" t="s">
        <v>5125</v>
      </c>
      <c r="I3092" s="149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77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1">
        <v>3087.0</v>
      </c>
      <c r="B3093" s="180" t="s">
        <v>5226</v>
      </c>
      <c r="C3093" s="82" t="str">
        <f>VLOOKUP($B$7:$B$5000,SUM!$L$6:$L$500,1,FALSE)</f>
        <v>#N/A</v>
      </c>
      <c r="D3093" s="171" t="s">
        <v>5095</v>
      </c>
      <c r="E3093" s="165" t="s">
        <v>58</v>
      </c>
      <c r="F3093" s="81" t="s">
        <v>4099</v>
      </c>
      <c r="G3093" s="125" t="s">
        <v>1765</v>
      </c>
      <c r="H3093" s="81" t="s">
        <v>5127</v>
      </c>
      <c r="I3093" s="149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77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1">
        <v>3088.0</v>
      </c>
      <c r="B3094" s="180" t="s">
        <v>5227</v>
      </c>
      <c r="C3094" s="82" t="str">
        <f>VLOOKUP($B$7:$B$5000,SUM!$L$6:$L$500,1,FALSE)</f>
        <v>#N/A</v>
      </c>
      <c r="D3094" s="171" t="s">
        <v>5095</v>
      </c>
      <c r="E3094" s="165" t="s">
        <v>58</v>
      </c>
      <c r="F3094" s="81" t="s">
        <v>4099</v>
      </c>
      <c r="G3094" s="125" t="s">
        <v>1765</v>
      </c>
      <c r="H3094" s="81" t="s">
        <v>5129</v>
      </c>
      <c r="I3094" s="149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77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1">
        <v>3089.0</v>
      </c>
      <c r="B3095" s="180" t="s">
        <v>5228</v>
      </c>
      <c r="C3095" s="82" t="str">
        <f>VLOOKUP($B$7:$B$5000,SUM!$L$6:$L$500,1,FALSE)</f>
        <v>#N/A</v>
      </c>
      <c r="D3095" s="171" t="s">
        <v>5095</v>
      </c>
      <c r="E3095" s="165" t="s">
        <v>58</v>
      </c>
      <c r="F3095" s="81" t="s">
        <v>4099</v>
      </c>
      <c r="G3095" s="125" t="s">
        <v>1765</v>
      </c>
      <c r="H3095" s="81" t="s">
        <v>5131</v>
      </c>
      <c r="I3095" s="149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77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1">
        <v>3090.0</v>
      </c>
      <c r="B3096" s="180" t="s">
        <v>5229</v>
      </c>
      <c r="C3096" s="82" t="str">
        <f>VLOOKUP($B$7:$B$5000,SUM!$L$6:$L$500,1,FALSE)</f>
        <v>#N/A</v>
      </c>
      <c r="D3096" s="171" t="s">
        <v>5095</v>
      </c>
      <c r="E3096" s="165" t="s">
        <v>58</v>
      </c>
      <c r="F3096" s="81" t="s">
        <v>4099</v>
      </c>
      <c r="G3096" s="125" t="s">
        <v>1765</v>
      </c>
      <c r="H3096" s="81" t="s">
        <v>5133</v>
      </c>
      <c r="I3096" s="149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77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1">
        <v>3091.0</v>
      </c>
      <c r="B3097" s="180" t="s">
        <v>5230</v>
      </c>
      <c r="C3097" s="82" t="str">
        <f>VLOOKUP($B$7:$B$5000,SUM!$L$6:$L$500,1,FALSE)</f>
        <v>#N/A</v>
      </c>
      <c r="D3097" s="171" t="s">
        <v>5095</v>
      </c>
      <c r="E3097" s="165" t="s">
        <v>58</v>
      </c>
      <c r="F3097" s="81" t="s">
        <v>4099</v>
      </c>
      <c r="G3097" s="125" t="s">
        <v>1765</v>
      </c>
      <c r="H3097" s="81" t="s">
        <v>5135</v>
      </c>
      <c r="I3097" s="149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77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1">
        <v>3092.0</v>
      </c>
      <c r="B3098" s="180" t="s">
        <v>5232</v>
      </c>
      <c r="C3098" s="82" t="str">
        <f>VLOOKUP($B$7:$B$5000,SUM!$L$6:$L$500,1,FALSE)</f>
        <v>#N/A</v>
      </c>
      <c r="D3098" s="171" t="s">
        <v>5095</v>
      </c>
      <c r="E3098" s="165" t="s">
        <v>58</v>
      </c>
      <c r="F3098" s="81" t="s">
        <v>4099</v>
      </c>
      <c r="G3098" s="125" t="s">
        <v>1765</v>
      </c>
      <c r="H3098" s="81" t="s">
        <v>5138</v>
      </c>
      <c r="I3098" s="149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77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1">
        <v>3093.0</v>
      </c>
      <c r="B3099" s="180" t="s">
        <v>5233</v>
      </c>
      <c r="C3099" s="82" t="str">
        <f>VLOOKUP($B$7:$B$5000,SUM!$L$6:$L$500,1,FALSE)</f>
        <v>#N/A</v>
      </c>
      <c r="D3099" s="171" t="s">
        <v>5095</v>
      </c>
      <c r="E3099" s="165" t="s">
        <v>58</v>
      </c>
      <c r="F3099" s="81" t="s">
        <v>4099</v>
      </c>
      <c r="G3099" s="125" t="s">
        <v>1765</v>
      </c>
      <c r="H3099" s="81" t="s">
        <v>5140</v>
      </c>
      <c r="I3099" s="149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77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1">
        <v>3094.0</v>
      </c>
      <c r="B3100" s="180" t="s">
        <v>5234</v>
      </c>
      <c r="C3100" s="82" t="str">
        <f>VLOOKUP($B$7:$B$5000,SUM!$L$6:$L$500,1,FALSE)</f>
        <v>#N/A</v>
      </c>
      <c r="D3100" s="171" t="s">
        <v>5095</v>
      </c>
      <c r="E3100" s="165" t="s">
        <v>58</v>
      </c>
      <c r="F3100" s="81" t="s">
        <v>4099</v>
      </c>
      <c r="G3100" s="125" t="s">
        <v>1765</v>
      </c>
      <c r="H3100" s="81" t="s">
        <v>5142</v>
      </c>
      <c r="I3100" s="149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77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1">
        <v>3095.0</v>
      </c>
      <c r="B3101" s="180" t="s">
        <v>5235</v>
      </c>
      <c r="C3101" s="82" t="str">
        <f>VLOOKUP($B$7:$B$5000,SUM!$L$6:$L$500,1,FALSE)</f>
        <v>#N/A</v>
      </c>
      <c r="D3101" s="171" t="s">
        <v>5095</v>
      </c>
      <c r="E3101" s="165" t="s">
        <v>58</v>
      </c>
      <c r="F3101" s="81" t="s">
        <v>4099</v>
      </c>
      <c r="G3101" s="125" t="s">
        <v>1765</v>
      </c>
      <c r="H3101" s="81" t="s">
        <v>5144</v>
      </c>
      <c r="I3101" s="149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77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1">
        <v>3096.0</v>
      </c>
      <c r="B3102" s="180" t="s">
        <v>5236</v>
      </c>
      <c r="C3102" s="82" t="str">
        <f>VLOOKUP($B$7:$B$5000,SUM!$L$6:$L$500,1,FALSE)</f>
        <v>#N/A</v>
      </c>
      <c r="D3102" s="171" t="s">
        <v>5095</v>
      </c>
      <c r="E3102" s="165" t="s">
        <v>58</v>
      </c>
      <c r="F3102" s="81" t="s">
        <v>4099</v>
      </c>
      <c r="G3102" s="125" t="s">
        <v>1765</v>
      </c>
      <c r="H3102" s="81" t="s">
        <v>5146</v>
      </c>
      <c r="I3102" s="149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77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1">
        <v>3097.0</v>
      </c>
      <c r="B3103" s="180" t="s">
        <v>5237</v>
      </c>
      <c r="C3103" s="82" t="str">
        <f>VLOOKUP($B$7:$B$5000,SUM!$L$6:$L$500,1,FALSE)</f>
        <v>#N/A</v>
      </c>
      <c r="D3103" s="171" t="s">
        <v>5095</v>
      </c>
      <c r="E3103" s="165" t="s">
        <v>58</v>
      </c>
      <c r="F3103" s="81" t="s">
        <v>4099</v>
      </c>
      <c r="G3103" s="125" t="s">
        <v>1765</v>
      </c>
      <c r="H3103" s="81" t="s">
        <v>5148</v>
      </c>
      <c r="I3103" s="149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77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1">
        <v>3098.0</v>
      </c>
      <c r="B3104" s="180" t="s">
        <v>5238</v>
      </c>
      <c r="C3104" s="82" t="str">
        <f>VLOOKUP($B$7:$B$5000,SUM!$L$6:$L$500,1,FALSE)</f>
        <v>#N/A</v>
      </c>
      <c r="D3104" s="171" t="s">
        <v>5095</v>
      </c>
      <c r="E3104" s="165" t="s">
        <v>58</v>
      </c>
      <c r="F3104" s="81" t="s">
        <v>4099</v>
      </c>
      <c r="G3104" s="125" t="s">
        <v>1765</v>
      </c>
      <c r="H3104" s="81" t="s">
        <v>5150</v>
      </c>
      <c r="I3104" s="149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77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1">
        <v>3099.0</v>
      </c>
      <c r="B3105" s="180" t="s">
        <v>5239</v>
      </c>
      <c r="C3105" s="82" t="str">
        <f>VLOOKUP($B$7:$B$5000,SUM!$L$6:$L$500,1,FALSE)</f>
        <v>#N/A</v>
      </c>
      <c r="D3105" s="171" t="s">
        <v>5095</v>
      </c>
      <c r="E3105" s="165" t="s">
        <v>58</v>
      </c>
      <c r="F3105" s="81" t="s">
        <v>4099</v>
      </c>
      <c r="G3105" s="125" t="s">
        <v>1765</v>
      </c>
      <c r="H3105" s="81" t="s">
        <v>5152</v>
      </c>
      <c r="I3105" s="149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77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1">
        <v>3100.0</v>
      </c>
      <c r="B3106" s="180" t="s">
        <v>5240</v>
      </c>
      <c r="C3106" s="82" t="str">
        <f>VLOOKUP($B$7:$B$5000,SUM!$L$6:$L$500,1,FALSE)</f>
        <v>#N/A</v>
      </c>
      <c r="D3106" s="171" t="s">
        <v>5095</v>
      </c>
      <c r="E3106" s="165" t="s">
        <v>58</v>
      </c>
      <c r="F3106" s="81" t="s">
        <v>4099</v>
      </c>
      <c r="G3106" s="125" t="s">
        <v>1765</v>
      </c>
      <c r="H3106" s="81" t="s">
        <v>5154</v>
      </c>
      <c r="I3106" s="149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77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1">
        <v>3101.0</v>
      </c>
      <c r="B3107" s="180" t="s">
        <v>5241</v>
      </c>
      <c r="C3107" s="82" t="str">
        <f>VLOOKUP($B$7:$B$5000,SUM!$L$6:$L$500,1,FALSE)</f>
        <v>#N/A</v>
      </c>
      <c r="D3107" s="171" t="s">
        <v>5095</v>
      </c>
      <c r="E3107" s="165" t="s">
        <v>58</v>
      </c>
      <c r="F3107" s="81" t="s">
        <v>4099</v>
      </c>
      <c r="G3107" s="125" t="s">
        <v>1765</v>
      </c>
      <c r="H3107" s="81" t="s">
        <v>5156</v>
      </c>
      <c r="I3107" s="149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77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1">
        <v>3102.0</v>
      </c>
      <c r="B3108" s="180" t="s">
        <v>5242</v>
      </c>
      <c r="C3108" s="82" t="str">
        <f>VLOOKUP($B$7:$B$5000,SUM!$L$6:$L$500,1,FALSE)</f>
        <v>#N/A</v>
      </c>
      <c r="D3108" s="171" t="s">
        <v>5095</v>
      </c>
      <c r="E3108" s="165" t="s">
        <v>58</v>
      </c>
      <c r="F3108" s="81" t="s">
        <v>4099</v>
      </c>
      <c r="G3108" s="125" t="s">
        <v>1765</v>
      </c>
      <c r="H3108" s="81" t="s">
        <v>5158</v>
      </c>
      <c r="I3108" s="149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77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1">
        <v>3103.0</v>
      </c>
      <c r="B3109" s="180" t="s">
        <v>5243</v>
      </c>
      <c r="C3109" s="82" t="str">
        <f>VLOOKUP($B$7:$B$5000,SUM!$L$6:$L$500,1,FALSE)</f>
        <v>#N/A</v>
      </c>
      <c r="D3109" s="171" t="s">
        <v>5095</v>
      </c>
      <c r="E3109" s="165" t="s">
        <v>58</v>
      </c>
      <c r="F3109" s="81" t="s">
        <v>4099</v>
      </c>
      <c r="G3109" s="125" t="s">
        <v>1765</v>
      </c>
      <c r="H3109" s="81" t="s">
        <v>5160</v>
      </c>
      <c r="I3109" s="149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77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1">
        <v>3104.0</v>
      </c>
      <c r="B3110" s="180" t="s">
        <v>5244</v>
      </c>
      <c r="C3110" s="82" t="str">
        <f>VLOOKUP($B$7:$B$5000,SUM!$L$6:$L$500,1,FALSE)</f>
        <v>#N/A</v>
      </c>
      <c r="D3110" s="171" t="s">
        <v>5095</v>
      </c>
      <c r="E3110" s="165" t="s">
        <v>58</v>
      </c>
      <c r="F3110" s="81" t="s">
        <v>4099</v>
      </c>
      <c r="G3110" s="125" t="s">
        <v>1765</v>
      </c>
      <c r="H3110" s="81" t="s">
        <v>5162</v>
      </c>
      <c r="I3110" s="149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77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1">
        <v>3105.0</v>
      </c>
      <c r="B3111" s="180" t="s">
        <v>5245</v>
      </c>
      <c r="C3111" s="82" t="str">
        <f>VLOOKUP($B$7:$B$5000,SUM!$L$6:$L$500,1,FALSE)</f>
        <v>#N/A</v>
      </c>
      <c r="D3111" s="171" t="s">
        <v>5095</v>
      </c>
      <c r="E3111" s="165" t="s">
        <v>58</v>
      </c>
      <c r="F3111" s="81" t="s">
        <v>4099</v>
      </c>
      <c r="G3111" s="125" t="s">
        <v>1765</v>
      </c>
      <c r="H3111" s="81" t="s">
        <v>5164</v>
      </c>
      <c r="I3111" s="149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77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1">
        <v>3106.0</v>
      </c>
      <c r="B3112" s="180" t="s">
        <v>5246</v>
      </c>
      <c r="C3112" s="82" t="str">
        <f>VLOOKUP($B$7:$B$5000,SUM!$L$6:$L$500,1,FALSE)</f>
        <v>#N/A</v>
      </c>
      <c r="D3112" s="171" t="s">
        <v>5095</v>
      </c>
      <c r="E3112" s="165" t="s">
        <v>58</v>
      </c>
      <c r="F3112" s="81" t="s">
        <v>4099</v>
      </c>
      <c r="G3112" s="125" t="s">
        <v>1765</v>
      </c>
      <c r="H3112" s="81" t="s">
        <v>5166</v>
      </c>
      <c r="I3112" s="149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77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1">
        <v>3107.0</v>
      </c>
      <c r="B3113" s="180" t="s">
        <v>5247</v>
      </c>
      <c r="C3113" s="82" t="str">
        <f>VLOOKUP($B$7:$B$5000,SUM!$L$6:$L$500,1,FALSE)</f>
        <v>#N/A</v>
      </c>
      <c r="D3113" s="171" t="s">
        <v>5095</v>
      </c>
      <c r="E3113" s="165" t="s">
        <v>58</v>
      </c>
      <c r="F3113" s="81" t="s">
        <v>4099</v>
      </c>
      <c r="G3113" s="125" t="s">
        <v>1765</v>
      </c>
      <c r="H3113" s="81" t="s">
        <v>5168</v>
      </c>
      <c r="I3113" s="149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77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1">
        <v>3108.0</v>
      </c>
      <c r="B3114" s="180" t="s">
        <v>5248</v>
      </c>
      <c r="C3114" s="82" t="str">
        <f>VLOOKUP($B$7:$B$5000,SUM!$L$6:$L$500,1,FALSE)</f>
        <v>#N/A</v>
      </c>
      <c r="D3114" s="171" t="s">
        <v>5095</v>
      </c>
      <c r="E3114" s="165" t="s">
        <v>58</v>
      </c>
      <c r="F3114" s="81" t="s">
        <v>4099</v>
      </c>
      <c r="G3114" s="125" t="s">
        <v>1765</v>
      </c>
      <c r="H3114" s="81" t="s">
        <v>5170</v>
      </c>
      <c r="I3114" s="149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77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1">
        <v>3109.0</v>
      </c>
      <c r="B3115" s="180" t="s">
        <v>5249</v>
      </c>
      <c r="C3115" s="82" t="str">
        <f>VLOOKUP($B$7:$B$5000,SUM!$L$6:$L$500,1,FALSE)</f>
        <v>#N/A</v>
      </c>
      <c r="D3115" s="171" t="s">
        <v>5095</v>
      </c>
      <c r="E3115" s="165" t="s">
        <v>58</v>
      </c>
      <c r="F3115" s="81" t="s">
        <v>4099</v>
      </c>
      <c r="G3115" s="125" t="s">
        <v>1765</v>
      </c>
      <c r="H3115" s="81" t="s">
        <v>5096</v>
      </c>
      <c r="I3115" s="149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77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1">
        <v>3110.0</v>
      </c>
      <c r="B3116" s="180" t="s">
        <v>5251</v>
      </c>
      <c r="C3116" s="82" t="str">
        <f>VLOOKUP($B$7:$B$5000,SUM!$L$6:$L$500,1,FALSE)</f>
        <v>#N/A</v>
      </c>
      <c r="D3116" s="171" t="s">
        <v>5095</v>
      </c>
      <c r="E3116" s="165" t="s">
        <v>58</v>
      </c>
      <c r="F3116" s="81" t="s">
        <v>4099</v>
      </c>
      <c r="G3116" s="125" t="s">
        <v>1765</v>
      </c>
      <c r="H3116" s="81" t="s">
        <v>5099</v>
      </c>
      <c r="I3116" s="149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77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1">
        <v>3111.0</v>
      </c>
      <c r="B3117" s="180" t="s">
        <v>5252</v>
      </c>
      <c r="C3117" s="82" t="str">
        <f>VLOOKUP($B$7:$B$5000,SUM!$L$6:$L$500,1,FALSE)</f>
        <v>#N/A</v>
      </c>
      <c r="D3117" s="171" t="s">
        <v>5095</v>
      </c>
      <c r="E3117" s="165" t="s">
        <v>58</v>
      </c>
      <c r="F3117" s="81" t="s">
        <v>4099</v>
      </c>
      <c r="G3117" s="125" t="s">
        <v>1765</v>
      </c>
      <c r="H3117" s="81" t="s">
        <v>5101</v>
      </c>
      <c r="I3117" s="149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77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1">
        <v>3112.0</v>
      </c>
      <c r="B3118" s="180" t="s">
        <v>5253</v>
      </c>
      <c r="C3118" s="82" t="str">
        <f>VLOOKUP($B$7:$B$5000,SUM!$L$6:$L$500,1,FALSE)</f>
        <v>#N/A</v>
      </c>
      <c r="D3118" s="171" t="s">
        <v>5095</v>
      </c>
      <c r="E3118" s="165" t="s">
        <v>58</v>
      </c>
      <c r="F3118" s="81" t="s">
        <v>4099</v>
      </c>
      <c r="G3118" s="125" t="s">
        <v>1765</v>
      </c>
      <c r="H3118" s="81" t="s">
        <v>5103</v>
      </c>
      <c r="I3118" s="149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77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1">
        <v>3113.0</v>
      </c>
      <c r="B3119" s="180" t="s">
        <v>5254</v>
      </c>
      <c r="C3119" s="82" t="str">
        <f>VLOOKUP($B$7:$B$5000,SUM!$L$6:$L$500,1,FALSE)</f>
        <v>#N/A</v>
      </c>
      <c r="D3119" s="171" t="s">
        <v>5095</v>
      </c>
      <c r="E3119" s="165" t="s">
        <v>58</v>
      </c>
      <c r="F3119" s="81" t="s">
        <v>4099</v>
      </c>
      <c r="G3119" s="125" t="s">
        <v>1765</v>
      </c>
      <c r="H3119" s="81" t="s">
        <v>5105</v>
      </c>
      <c r="I3119" s="149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77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1">
        <v>3114.0</v>
      </c>
      <c r="B3120" s="180" t="s">
        <v>5255</v>
      </c>
      <c r="C3120" s="82" t="str">
        <f>VLOOKUP($B$7:$B$5000,SUM!$L$6:$L$500,1,FALSE)</f>
        <v>#N/A</v>
      </c>
      <c r="D3120" s="171" t="s">
        <v>5095</v>
      </c>
      <c r="E3120" s="165" t="s">
        <v>58</v>
      </c>
      <c r="F3120" s="81" t="s">
        <v>4099</v>
      </c>
      <c r="G3120" s="125" t="s">
        <v>1765</v>
      </c>
      <c r="H3120" s="81" t="s">
        <v>5107</v>
      </c>
      <c r="I3120" s="149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77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1">
        <v>3115.0</v>
      </c>
      <c r="B3121" s="180" t="s">
        <v>5256</v>
      </c>
      <c r="C3121" s="82" t="str">
        <f>VLOOKUP($B$7:$B$5000,SUM!$L$6:$L$500,1,FALSE)</f>
        <v>#N/A</v>
      </c>
      <c r="D3121" s="171" t="s">
        <v>5095</v>
      </c>
      <c r="E3121" s="165" t="s">
        <v>58</v>
      </c>
      <c r="F3121" s="81" t="s">
        <v>4099</v>
      </c>
      <c r="G3121" s="125" t="s">
        <v>1765</v>
      </c>
      <c r="H3121" s="81" t="s">
        <v>5109</v>
      </c>
      <c r="I3121" s="149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77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1">
        <v>3116.0</v>
      </c>
      <c r="B3122" s="180" t="s">
        <v>5257</v>
      </c>
      <c r="C3122" s="82" t="str">
        <f>VLOOKUP($B$7:$B$5000,SUM!$L$6:$L$500,1,FALSE)</f>
        <v>#N/A</v>
      </c>
      <c r="D3122" s="171" t="s">
        <v>5095</v>
      </c>
      <c r="E3122" s="165" t="s">
        <v>58</v>
      </c>
      <c r="F3122" s="81" t="s">
        <v>4099</v>
      </c>
      <c r="G3122" s="125" t="s">
        <v>1765</v>
      </c>
      <c r="H3122" s="81" t="s">
        <v>5111</v>
      </c>
      <c r="I3122" s="149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77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1">
        <v>3117.0</v>
      </c>
      <c r="B3123" s="180" t="s">
        <v>5258</v>
      </c>
      <c r="C3123" s="82" t="str">
        <f>VLOOKUP($B$7:$B$5000,SUM!$L$6:$L$500,1,FALSE)</f>
        <v>#N/A</v>
      </c>
      <c r="D3123" s="171" t="s">
        <v>5095</v>
      </c>
      <c r="E3123" s="165" t="s">
        <v>58</v>
      </c>
      <c r="F3123" s="81" t="s">
        <v>4099</v>
      </c>
      <c r="G3123" s="125" t="s">
        <v>1765</v>
      </c>
      <c r="H3123" s="81" t="s">
        <v>5113</v>
      </c>
      <c r="I3123" s="149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77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1">
        <v>3118.0</v>
      </c>
      <c r="B3124" s="180" t="s">
        <v>5259</v>
      </c>
      <c r="C3124" s="82" t="str">
        <f>VLOOKUP($B$7:$B$5000,SUM!$L$6:$L$500,1,FALSE)</f>
        <v>#N/A</v>
      </c>
      <c r="D3124" s="171" t="s">
        <v>5095</v>
      </c>
      <c r="E3124" s="165" t="s">
        <v>58</v>
      </c>
      <c r="F3124" s="81" t="s">
        <v>4099</v>
      </c>
      <c r="G3124" s="125" t="s">
        <v>1765</v>
      </c>
      <c r="H3124" s="81" t="s">
        <v>5115</v>
      </c>
      <c r="I3124" s="149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77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1">
        <v>3119.0</v>
      </c>
      <c r="B3125" s="180" t="s">
        <v>5260</v>
      </c>
      <c r="C3125" s="82" t="str">
        <f>VLOOKUP($B$7:$B$5000,SUM!$L$6:$L$500,1,FALSE)</f>
        <v>#N/A</v>
      </c>
      <c r="D3125" s="171" t="s">
        <v>5095</v>
      </c>
      <c r="E3125" s="165" t="s">
        <v>58</v>
      </c>
      <c r="F3125" s="81" t="s">
        <v>4099</v>
      </c>
      <c r="G3125" s="125" t="s">
        <v>1765</v>
      </c>
      <c r="H3125" s="81" t="s">
        <v>5117</v>
      </c>
      <c r="I3125" s="149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77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1">
        <v>3120.0</v>
      </c>
      <c r="B3126" s="180" t="s">
        <v>5261</v>
      </c>
      <c r="C3126" s="82" t="str">
        <f>VLOOKUP($B$7:$B$5000,SUM!$L$6:$L$500,1,FALSE)</f>
        <v>#N/A</v>
      </c>
      <c r="D3126" s="171" t="s">
        <v>5095</v>
      </c>
      <c r="E3126" s="165" t="s">
        <v>58</v>
      </c>
      <c r="F3126" s="81" t="s">
        <v>4099</v>
      </c>
      <c r="G3126" s="125" t="s">
        <v>1765</v>
      </c>
      <c r="H3126" s="81" t="s">
        <v>5119</v>
      </c>
      <c r="I3126" s="149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77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1">
        <v>3121.0</v>
      </c>
      <c r="B3127" s="180" t="s">
        <v>5262</v>
      </c>
      <c r="C3127" s="82" t="str">
        <f>VLOOKUP($B$7:$B$5000,SUM!$L$6:$L$500,1,FALSE)</f>
        <v>#N/A</v>
      </c>
      <c r="D3127" s="171" t="s">
        <v>5095</v>
      </c>
      <c r="E3127" s="165" t="s">
        <v>58</v>
      </c>
      <c r="F3127" s="81" t="s">
        <v>4099</v>
      </c>
      <c r="G3127" s="125" t="s">
        <v>1765</v>
      </c>
      <c r="H3127" s="81" t="s">
        <v>5121</v>
      </c>
      <c r="I3127" s="149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77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1">
        <v>3122.0</v>
      </c>
      <c r="B3128" s="180" t="s">
        <v>5263</v>
      </c>
      <c r="C3128" s="82" t="str">
        <f>VLOOKUP($B$7:$B$5000,SUM!$L$6:$L$500,1,FALSE)</f>
        <v>#N/A</v>
      </c>
      <c r="D3128" s="171" t="s">
        <v>5095</v>
      </c>
      <c r="E3128" s="165" t="s">
        <v>58</v>
      </c>
      <c r="F3128" s="81" t="s">
        <v>4099</v>
      </c>
      <c r="G3128" s="125" t="s">
        <v>1765</v>
      </c>
      <c r="H3128" s="81" t="s">
        <v>5123</v>
      </c>
      <c r="I3128" s="149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77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1">
        <v>3123.0</v>
      </c>
      <c r="B3129" s="180" t="s">
        <v>5264</v>
      </c>
      <c r="C3129" s="82" t="str">
        <f>VLOOKUP($B$7:$B$5000,SUM!$L$6:$L$500,1,FALSE)</f>
        <v>#N/A</v>
      </c>
      <c r="D3129" s="171" t="s">
        <v>5095</v>
      </c>
      <c r="E3129" s="165" t="s">
        <v>58</v>
      </c>
      <c r="F3129" s="81" t="s">
        <v>4099</v>
      </c>
      <c r="G3129" s="125" t="s">
        <v>1765</v>
      </c>
      <c r="H3129" s="81" t="s">
        <v>5125</v>
      </c>
      <c r="I3129" s="149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77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1">
        <v>3124.0</v>
      </c>
      <c r="B3130" s="180" t="s">
        <v>5265</v>
      </c>
      <c r="C3130" s="82" t="str">
        <f>VLOOKUP($B$7:$B$5000,SUM!$L$6:$L$500,1,FALSE)</f>
        <v>#N/A</v>
      </c>
      <c r="D3130" s="171" t="s">
        <v>5095</v>
      </c>
      <c r="E3130" s="165" t="s">
        <v>58</v>
      </c>
      <c r="F3130" s="81" t="s">
        <v>4099</v>
      </c>
      <c r="G3130" s="125" t="s">
        <v>1765</v>
      </c>
      <c r="H3130" s="81" t="s">
        <v>5127</v>
      </c>
      <c r="I3130" s="149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77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1">
        <v>3125.0</v>
      </c>
      <c r="B3131" s="180" t="s">
        <v>5266</v>
      </c>
      <c r="C3131" s="82" t="str">
        <f>VLOOKUP($B$7:$B$5000,SUM!$L$6:$L$500,1,FALSE)</f>
        <v>#N/A</v>
      </c>
      <c r="D3131" s="171" t="s">
        <v>5095</v>
      </c>
      <c r="E3131" s="165" t="s">
        <v>58</v>
      </c>
      <c r="F3131" s="81" t="s">
        <v>4099</v>
      </c>
      <c r="G3131" s="125" t="s">
        <v>1765</v>
      </c>
      <c r="H3131" s="81" t="s">
        <v>5129</v>
      </c>
      <c r="I3131" s="149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77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1">
        <v>3126.0</v>
      </c>
      <c r="B3132" s="180" t="s">
        <v>5267</v>
      </c>
      <c r="C3132" s="82" t="str">
        <f>VLOOKUP($B$7:$B$5000,SUM!$L$6:$L$500,1,FALSE)</f>
        <v>#N/A</v>
      </c>
      <c r="D3132" s="171" t="s">
        <v>5095</v>
      </c>
      <c r="E3132" s="165" t="s">
        <v>58</v>
      </c>
      <c r="F3132" s="81" t="s">
        <v>4099</v>
      </c>
      <c r="G3132" s="125" t="s">
        <v>1765</v>
      </c>
      <c r="H3132" s="81" t="s">
        <v>5131</v>
      </c>
      <c r="I3132" s="149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77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1">
        <v>3127.0</v>
      </c>
      <c r="B3133" s="180" t="s">
        <v>5268</v>
      </c>
      <c r="C3133" s="82" t="str">
        <f>VLOOKUP($B$7:$B$5000,SUM!$L$6:$L$500,1,FALSE)</f>
        <v>#N/A</v>
      </c>
      <c r="D3133" s="171" t="s">
        <v>5095</v>
      </c>
      <c r="E3133" s="165" t="s">
        <v>58</v>
      </c>
      <c r="F3133" s="81" t="s">
        <v>4099</v>
      </c>
      <c r="G3133" s="125" t="s">
        <v>1765</v>
      </c>
      <c r="H3133" s="81" t="s">
        <v>5133</v>
      </c>
      <c r="I3133" s="149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77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1">
        <v>3128.0</v>
      </c>
      <c r="B3134" s="180" t="s">
        <v>5269</v>
      </c>
      <c r="C3134" s="82" t="str">
        <f>VLOOKUP($B$7:$B$5000,SUM!$L$6:$L$500,1,FALSE)</f>
        <v>#N/A</v>
      </c>
      <c r="D3134" s="171" t="s">
        <v>5095</v>
      </c>
      <c r="E3134" s="165" t="s">
        <v>58</v>
      </c>
      <c r="F3134" s="81" t="s">
        <v>4099</v>
      </c>
      <c r="G3134" s="125" t="s">
        <v>1765</v>
      </c>
      <c r="H3134" s="81" t="s">
        <v>5135</v>
      </c>
      <c r="I3134" s="149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77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1">
        <v>3129.0</v>
      </c>
      <c r="B3135" s="180" t="s">
        <v>5271</v>
      </c>
      <c r="C3135" s="82" t="str">
        <f>VLOOKUP($B$7:$B$5000,SUM!$L$6:$L$500,1,FALSE)</f>
        <v>#N/A</v>
      </c>
      <c r="D3135" s="171" t="s">
        <v>5095</v>
      </c>
      <c r="E3135" s="165" t="s">
        <v>58</v>
      </c>
      <c r="F3135" s="81" t="s">
        <v>4099</v>
      </c>
      <c r="G3135" s="125" t="s">
        <v>1765</v>
      </c>
      <c r="H3135" s="81" t="s">
        <v>5138</v>
      </c>
      <c r="I3135" s="149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77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1">
        <v>3130.0</v>
      </c>
      <c r="B3136" s="180" t="s">
        <v>5272</v>
      </c>
      <c r="C3136" s="82" t="str">
        <f>VLOOKUP($B$7:$B$5000,SUM!$L$6:$L$500,1,FALSE)</f>
        <v>#N/A</v>
      </c>
      <c r="D3136" s="171" t="s">
        <v>5095</v>
      </c>
      <c r="E3136" s="165" t="s">
        <v>58</v>
      </c>
      <c r="F3136" s="81" t="s">
        <v>4099</v>
      </c>
      <c r="G3136" s="125" t="s">
        <v>1765</v>
      </c>
      <c r="H3136" s="81" t="s">
        <v>5140</v>
      </c>
      <c r="I3136" s="149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77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1">
        <v>3131.0</v>
      </c>
      <c r="B3137" s="180" t="s">
        <v>5273</v>
      </c>
      <c r="C3137" s="82" t="str">
        <f>VLOOKUP($B$7:$B$5000,SUM!$L$6:$L$500,1,FALSE)</f>
        <v>#N/A</v>
      </c>
      <c r="D3137" s="171" t="s">
        <v>5095</v>
      </c>
      <c r="E3137" s="165" t="s">
        <v>58</v>
      </c>
      <c r="F3137" s="81" t="s">
        <v>4099</v>
      </c>
      <c r="G3137" s="125" t="s">
        <v>1765</v>
      </c>
      <c r="H3137" s="81" t="s">
        <v>5142</v>
      </c>
      <c r="I3137" s="149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77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1">
        <v>3132.0</v>
      </c>
      <c r="B3138" s="180" t="s">
        <v>5274</v>
      </c>
      <c r="C3138" s="82" t="str">
        <f>VLOOKUP($B$7:$B$5000,SUM!$L$6:$L$500,1,FALSE)</f>
        <v>#N/A</v>
      </c>
      <c r="D3138" s="171" t="s">
        <v>5095</v>
      </c>
      <c r="E3138" s="165" t="s">
        <v>58</v>
      </c>
      <c r="F3138" s="81" t="s">
        <v>4099</v>
      </c>
      <c r="G3138" s="125" t="s">
        <v>1765</v>
      </c>
      <c r="H3138" s="81" t="s">
        <v>5144</v>
      </c>
      <c r="I3138" s="149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77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1">
        <v>3133.0</v>
      </c>
      <c r="B3139" s="180" t="s">
        <v>5275</v>
      </c>
      <c r="C3139" s="82" t="str">
        <f>VLOOKUP($B$7:$B$5000,SUM!$L$6:$L$500,1,FALSE)</f>
        <v>#N/A</v>
      </c>
      <c r="D3139" s="171" t="s">
        <v>5095</v>
      </c>
      <c r="E3139" s="165" t="s">
        <v>58</v>
      </c>
      <c r="F3139" s="81" t="s">
        <v>4099</v>
      </c>
      <c r="G3139" s="125" t="s">
        <v>1765</v>
      </c>
      <c r="H3139" s="81" t="s">
        <v>5146</v>
      </c>
      <c r="I3139" s="149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77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1">
        <v>3134.0</v>
      </c>
      <c r="B3140" s="180" t="s">
        <v>5276</v>
      </c>
      <c r="C3140" s="82" t="str">
        <f>VLOOKUP($B$7:$B$5000,SUM!$L$6:$L$500,1,FALSE)</f>
        <v>#N/A</v>
      </c>
      <c r="D3140" s="171" t="s">
        <v>5095</v>
      </c>
      <c r="E3140" s="165" t="s">
        <v>58</v>
      </c>
      <c r="F3140" s="81" t="s">
        <v>4099</v>
      </c>
      <c r="G3140" s="125" t="s">
        <v>1765</v>
      </c>
      <c r="H3140" s="81" t="s">
        <v>5148</v>
      </c>
      <c r="I3140" s="149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77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1">
        <v>3135.0</v>
      </c>
      <c r="B3141" s="180" t="s">
        <v>5277</v>
      </c>
      <c r="C3141" s="82" t="str">
        <f>VLOOKUP($B$7:$B$5000,SUM!$L$6:$L$500,1,FALSE)</f>
        <v>#N/A</v>
      </c>
      <c r="D3141" s="171" t="s">
        <v>5095</v>
      </c>
      <c r="E3141" s="165" t="s">
        <v>58</v>
      </c>
      <c r="F3141" s="81" t="s">
        <v>4099</v>
      </c>
      <c r="G3141" s="125" t="s">
        <v>1765</v>
      </c>
      <c r="H3141" s="81" t="s">
        <v>5150</v>
      </c>
      <c r="I3141" s="149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77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1">
        <v>3136.0</v>
      </c>
      <c r="B3142" s="180" t="s">
        <v>5278</v>
      </c>
      <c r="C3142" s="82" t="str">
        <f>VLOOKUP($B$7:$B$5000,SUM!$L$6:$L$500,1,FALSE)</f>
        <v>#N/A</v>
      </c>
      <c r="D3142" s="171" t="s">
        <v>5095</v>
      </c>
      <c r="E3142" s="165" t="s">
        <v>58</v>
      </c>
      <c r="F3142" s="81" t="s">
        <v>4099</v>
      </c>
      <c r="G3142" s="125" t="s">
        <v>1765</v>
      </c>
      <c r="H3142" s="81" t="s">
        <v>5152</v>
      </c>
      <c r="I3142" s="149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77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1">
        <v>3137.0</v>
      </c>
      <c r="B3143" s="180" t="s">
        <v>5279</v>
      </c>
      <c r="C3143" s="82" t="str">
        <f>VLOOKUP($B$7:$B$5000,SUM!$L$6:$L$500,1,FALSE)</f>
        <v>#N/A</v>
      </c>
      <c r="D3143" s="171" t="s">
        <v>5095</v>
      </c>
      <c r="E3143" s="165" t="s">
        <v>58</v>
      </c>
      <c r="F3143" s="81" t="s">
        <v>4099</v>
      </c>
      <c r="G3143" s="125" t="s">
        <v>1765</v>
      </c>
      <c r="H3143" s="81" t="s">
        <v>5154</v>
      </c>
      <c r="I3143" s="149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77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1">
        <v>3138.0</v>
      </c>
      <c r="B3144" s="180" t="s">
        <v>5280</v>
      </c>
      <c r="C3144" s="82" t="str">
        <f>VLOOKUP($B$7:$B$5000,SUM!$L$6:$L$500,1,FALSE)</f>
        <v>#N/A</v>
      </c>
      <c r="D3144" s="171" t="s">
        <v>5095</v>
      </c>
      <c r="E3144" s="165" t="s">
        <v>58</v>
      </c>
      <c r="F3144" s="81" t="s">
        <v>4099</v>
      </c>
      <c r="G3144" s="125" t="s">
        <v>1765</v>
      </c>
      <c r="H3144" s="81" t="s">
        <v>5156</v>
      </c>
      <c r="I3144" s="149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77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1">
        <v>3139.0</v>
      </c>
      <c r="B3145" s="180" t="s">
        <v>5281</v>
      </c>
      <c r="C3145" s="82" t="str">
        <f>VLOOKUP($B$7:$B$5000,SUM!$L$6:$L$500,1,FALSE)</f>
        <v>#N/A</v>
      </c>
      <c r="D3145" s="171" t="s">
        <v>5095</v>
      </c>
      <c r="E3145" s="165" t="s">
        <v>58</v>
      </c>
      <c r="F3145" s="81" t="s">
        <v>4099</v>
      </c>
      <c r="G3145" s="125" t="s">
        <v>1765</v>
      </c>
      <c r="H3145" s="81" t="s">
        <v>5158</v>
      </c>
      <c r="I3145" s="149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77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1">
        <v>3140.0</v>
      </c>
      <c r="B3146" s="180" t="s">
        <v>5282</v>
      </c>
      <c r="C3146" s="82" t="str">
        <f>VLOOKUP($B$7:$B$5000,SUM!$L$6:$L$500,1,FALSE)</f>
        <v>#N/A</v>
      </c>
      <c r="D3146" s="171" t="s">
        <v>5095</v>
      </c>
      <c r="E3146" s="165" t="s">
        <v>58</v>
      </c>
      <c r="F3146" s="81" t="s">
        <v>4099</v>
      </c>
      <c r="G3146" s="125" t="s">
        <v>1765</v>
      </c>
      <c r="H3146" s="81" t="s">
        <v>5160</v>
      </c>
      <c r="I3146" s="149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77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1">
        <v>3141.0</v>
      </c>
      <c r="B3147" s="180" t="s">
        <v>5283</v>
      </c>
      <c r="C3147" s="82" t="str">
        <f>VLOOKUP($B$7:$B$5000,SUM!$L$6:$L$500,1,FALSE)</f>
        <v>#N/A</v>
      </c>
      <c r="D3147" s="171" t="s">
        <v>5095</v>
      </c>
      <c r="E3147" s="165" t="s">
        <v>58</v>
      </c>
      <c r="F3147" s="81" t="s">
        <v>4099</v>
      </c>
      <c r="G3147" s="125" t="s">
        <v>1765</v>
      </c>
      <c r="H3147" s="81" t="s">
        <v>5162</v>
      </c>
      <c r="I3147" s="149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77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1">
        <v>3142.0</v>
      </c>
      <c r="B3148" s="180" t="s">
        <v>5284</v>
      </c>
      <c r="C3148" s="82" t="str">
        <f>VLOOKUP($B$7:$B$5000,SUM!$L$6:$L$500,1,FALSE)</f>
        <v>#N/A</v>
      </c>
      <c r="D3148" s="171" t="s">
        <v>5095</v>
      </c>
      <c r="E3148" s="165" t="s">
        <v>58</v>
      </c>
      <c r="F3148" s="81" t="s">
        <v>4099</v>
      </c>
      <c r="G3148" s="125" t="s">
        <v>1765</v>
      </c>
      <c r="H3148" s="81" t="s">
        <v>5164</v>
      </c>
      <c r="I3148" s="149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77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1">
        <v>3143.0</v>
      </c>
      <c r="B3149" s="180" t="s">
        <v>5285</v>
      </c>
      <c r="C3149" s="82" t="str">
        <f>VLOOKUP($B$7:$B$5000,SUM!$L$6:$L$500,1,FALSE)</f>
        <v>#N/A</v>
      </c>
      <c r="D3149" s="171" t="s">
        <v>5095</v>
      </c>
      <c r="E3149" s="165" t="s">
        <v>58</v>
      </c>
      <c r="F3149" s="81" t="s">
        <v>4099</v>
      </c>
      <c r="G3149" s="125" t="s">
        <v>1765</v>
      </c>
      <c r="H3149" s="81" t="s">
        <v>5166</v>
      </c>
      <c r="I3149" s="149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77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1">
        <v>3144.0</v>
      </c>
      <c r="B3150" s="180" t="s">
        <v>5286</v>
      </c>
      <c r="C3150" s="82" t="str">
        <f>VLOOKUP($B$7:$B$5000,SUM!$L$6:$L$500,1,FALSE)</f>
        <v>#N/A</v>
      </c>
      <c r="D3150" s="171" t="s">
        <v>5095</v>
      </c>
      <c r="E3150" s="165" t="s">
        <v>58</v>
      </c>
      <c r="F3150" s="81" t="s">
        <v>4099</v>
      </c>
      <c r="G3150" s="125" t="s">
        <v>1765</v>
      </c>
      <c r="H3150" s="81" t="s">
        <v>5168</v>
      </c>
      <c r="I3150" s="149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77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1">
        <v>3145.0</v>
      </c>
      <c r="B3151" s="180" t="s">
        <v>5287</v>
      </c>
      <c r="C3151" s="82" t="str">
        <f>VLOOKUP($B$7:$B$5000,SUM!$L$6:$L$500,1,FALSE)</f>
        <v>#N/A</v>
      </c>
      <c r="D3151" s="171" t="s">
        <v>5095</v>
      </c>
      <c r="E3151" s="165" t="s">
        <v>58</v>
      </c>
      <c r="F3151" s="81" t="s">
        <v>4099</v>
      </c>
      <c r="G3151" s="125" t="s">
        <v>1765</v>
      </c>
      <c r="H3151" s="81" t="s">
        <v>5170</v>
      </c>
      <c r="I3151" s="149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77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1">
        <v>3146.0</v>
      </c>
      <c r="B3152" s="180" t="s">
        <v>5288</v>
      </c>
      <c r="C3152" s="82" t="str">
        <f>VLOOKUP($B$7:$B$5000,SUM!$L$6:$L$500,1,FALSE)</f>
        <v>#N/A</v>
      </c>
      <c r="D3152" s="171" t="s">
        <v>5095</v>
      </c>
      <c r="E3152" s="165" t="s">
        <v>58</v>
      </c>
      <c r="F3152" s="81" t="s">
        <v>4099</v>
      </c>
      <c r="G3152" s="125" t="s">
        <v>1765</v>
      </c>
      <c r="H3152" s="81" t="s">
        <v>5096</v>
      </c>
      <c r="I3152" s="149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77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1">
        <v>3147.0</v>
      </c>
      <c r="B3153" s="180" t="s">
        <v>5290</v>
      </c>
      <c r="C3153" s="82" t="str">
        <f>VLOOKUP($B$7:$B$5000,SUM!$L$6:$L$500,1,FALSE)</f>
        <v>#N/A</v>
      </c>
      <c r="D3153" s="171" t="s">
        <v>5095</v>
      </c>
      <c r="E3153" s="165" t="s">
        <v>58</v>
      </c>
      <c r="F3153" s="81" t="s">
        <v>4099</v>
      </c>
      <c r="G3153" s="125" t="s">
        <v>1765</v>
      </c>
      <c r="H3153" s="81" t="s">
        <v>5101</v>
      </c>
      <c r="I3153" s="149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77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1">
        <v>3148.0</v>
      </c>
      <c r="B3154" s="180" t="s">
        <v>5291</v>
      </c>
      <c r="C3154" s="82" t="str">
        <f>VLOOKUP($B$7:$B$5000,SUM!$L$6:$L$500,1,FALSE)</f>
        <v>#N/A</v>
      </c>
      <c r="D3154" s="171" t="s">
        <v>5095</v>
      </c>
      <c r="E3154" s="165" t="s">
        <v>58</v>
      </c>
      <c r="F3154" s="81" t="s">
        <v>4099</v>
      </c>
      <c r="G3154" s="125" t="s">
        <v>1765</v>
      </c>
      <c r="H3154" s="81" t="s">
        <v>5103</v>
      </c>
      <c r="I3154" s="149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77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1">
        <v>3149.0</v>
      </c>
      <c r="B3155" s="180" t="s">
        <v>5292</v>
      </c>
      <c r="C3155" s="82" t="str">
        <f>VLOOKUP($B$7:$B$5000,SUM!$L$6:$L$500,1,FALSE)</f>
        <v>#N/A</v>
      </c>
      <c r="D3155" s="171" t="s">
        <v>5095</v>
      </c>
      <c r="E3155" s="165" t="s">
        <v>58</v>
      </c>
      <c r="F3155" s="81" t="s">
        <v>4099</v>
      </c>
      <c r="G3155" s="125" t="s">
        <v>1765</v>
      </c>
      <c r="H3155" s="81" t="s">
        <v>5105</v>
      </c>
      <c r="I3155" s="149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77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1">
        <v>3150.0</v>
      </c>
      <c r="B3156" s="180" t="s">
        <v>5293</v>
      </c>
      <c r="C3156" s="82" t="str">
        <f>VLOOKUP($B$7:$B$5000,SUM!$L$6:$L$500,1,FALSE)</f>
        <v>#N/A</v>
      </c>
      <c r="D3156" s="171" t="s">
        <v>5095</v>
      </c>
      <c r="E3156" s="165" t="s">
        <v>58</v>
      </c>
      <c r="F3156" s="81" t="s">
        <v>4099</v>
      </c>
      <c r="G3156" s="125" t="s">
        <v>1765</v>
      </c>
      <c r="H3156" s="81" t="s">
        <v>5107</v>
      </c>
      <c r="I3156" s="149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77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1">
        <v>3151.0</v>
      </c>
      <c r="B3157" s="180" t="s">
        <v>5294</v>
      </c>
      <c r="C3157" s="82" t="str">
        <f>VLOOKUP($B$7:$B$5000,SUM!$L$6:$L$500,1,FALSE)</f>
        <v>#N/A</v>
      </c>
      <c r="D3157" s="171" t="s">
        <v>5095</v>
      </c>
      <c r="E3157" s="165" t="s">
        <v>58</v>
      </c>
      <c r="F3157" s="81" t="s">
        <v>4099</v>
      </c>
      <c r="G3157" s="125" t="s">
        <v>1765</v>
      </c>
      <c r="H3157" s="81" t="s">
        <v>5109</v>
      </c>
      <c r="I3157" s="149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77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1">
        <v>3152.0</v>
      </c>
      <c r="B3158" s="180" t="s">
        <v>5295</v>
      </c>
      <c r="C3158" s="82" t="str">
        <f>VLOOKUP($B$7:$B$5000,SUM!$L$6:$L$500,1,FALSE)</f>
        <v>#N/A</v>
      </c>
      <c r="D3158" s="171" t="s">
        <v>5095</v>
      </c>
      <c r="E3158" s="165" t="s">
        <v>58</v>
      </c>
      <c r="F3158" s="81" t="s">
        <v>4099</v>
      </c>
      <c r="G3158" s="125" t="s">
        <v>1765</v>
      </c>
      <c r="H3158" s="81" t="s">
        <v>5111</v>
      </c>
      <c r="I3158" s="149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77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1">
        <v>3153.0</v>
      </c>
      <c r="B3159" s="180" t="s">
        <v>5296</v>
      </c>
      <c r="C3159" s="82" t="str">
        <f>VLOOKUP($B$7:$B$5000,SUM!$L$6:$L$500,1,FALSE)</f>
        <v>#N/A</v>
      </c>
      <c r="D3159" s="171" t="s">
        <v>5095</v>
      </c>
      <c r="E3159" s="165" t="s">
        <v>58</v>
      </c>
      <c r="F3159" s="81" t="s">
        <v>4099</v>
      </c>
      <c r="G3159" s="125" t="s">
        <v>1765</v>
      </c>
      <c r="H3159" s="81" t="s">
        <v>5121</v>
      </c>
      <c r="I3159" s="149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77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1">
        <v>3154.0</v>
      </c>
      <c r="B3160" s="180" t="s">
        <v>5297</v>
      </c>
      <c r="C3160" s="82" t="str">
        <f>VLOOKUP($B$7:$B$5000,SUM!$L$6:$L$500,1,FALSE)</f>
        <v>#N/A</v>
      </c>
      <c r="D3160" s="171" t="s">
        <v>5095</v>
      </c>
      <c r="E3160" s="165" t="s">
        <v>58</v>
      </c>
      <c r="F3160" s="81" t="s">
        <v>4099</v>
      </c>
      <c r="G3160" s="125" t="s">
        <v>1765</v>
      </c>
      <c r="H3160" s="81" t="s">
        <v>5135</v>
      </c>
      <c r="I3160" s="149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77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1">
        <v>3155.0</v>
      </c>
      <c r="B3161" s="180" t="s">
        <v>5299</v>
      </c>
      <c r="C3161" s="82" t="str">
        <f>VLOOKUP($B$7:$B$5000,SUM!$L$6:$L$500,1,FALSE)</f>
        <v>#N/A</v>
      </c>
      <c r="D3161" s="171" t="s">
        <v>5095</v>
      </c>
      <c r="E3161" s="165" t="s">
        <v>58</v>
      </c>
      <c r="F3161" s="81" t="s">
        <v>4099</v>
      </c>
      <c r="G3161" s="125" t="s">
        <v>1765</v>
      </c>
      <c r="H3161" s="81" t="s">
        <v>5140</v>
      </c>
      <c r="I3161" s="149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77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1">
        <v>3156.0</v>
      </c>
      <c r="B3162" s="180" t="s">
        <v>5300</v>
      </c>
      <c r="C3162" s="82" t="str">
        <f>VLOOKUP($B$7:$B$5000,SUM!$L$6:$L$500,1,FALSE)</f>
        <v>#N/A</v>
      </c>
      <c r="D3162" s="171" t="s">
        <v>5095</v>
      </c>
      <c r="E3162" s="165" t="s">
        <v>58</v>
      </c>
      <c r="F3162" s="81" t="s">
        <v>4099</v>
      </c>
      <c r="G3162" s="125" t="s">
        <v>1765</v>
      </c>
      <c r="H3162" s="81" t="s">
        <v>5142</v>
      </c>
      <c r="I3162" s="149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77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1">
        <v>3157.0</v>
      </c>
      <c r="B3163" s="180" t="s">
        <v>5301</v>
      </c>
      <c r="C3163" s="82" t="str">
        <f>VLOOKUP($B$7:$B$5000,SUM!$L$6:$L$500,1,FALSE)</f>
        <v>#N/A</v>
      </c>
      <c r="D3163" s="171" t="s">
        <v>5095</v>
      </c>
      <c r="E3163" s="165" t="s">
        <v>58</v>
      </c>
      <c r="F3163" s="81" t="s">
        <v>4099</v>
      </c>
      <c r="G3163" s="125" t="s">
        <v>1765</v>
      </c>
      <c r="H3163" s="81" t="s">
        <v>5144</v>
      </c>
      <c r="I3163" s="149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77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1">
        <v>3158.0</v>
      </c>
      <c r="B3164" s="180" t="s">
        <v>5302</v>
      </c>
      <c r="C3164" s="82" t="str">
        <f>VLOOKUP($B$7:$B$5000,SUM!$L$6:$L$500,1,FALSE)</f>
        <v>#N/A</v>
      </c>
      <c r="D3164" s="171" t="s">
        <v>5095</v>
      </c>
      <c r="E3164" s="165" t="s">
        <v>58</v>
      </c>
      <c r="F3164" s="81" t="s">
        <v>4099</v>
      </c>
      <c r="G3164" s="125" t="s">
        <v>1765</v>
      </c>
      <c r="H3164" s="81" t="s">
        <v>5146</v>
      </c>
      <c r="I3164" s="149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77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1">
        <v>3159.0</v>
      </c>
      <c r="B3165" s="180" t="s">
        <v>5303</v>
      </c>
      <c r="C3165" s="82" t="str">
        <f>VLOOKUP($B$7:$B$5000,SUM!$L$6:$L$500,1,FALSE)</f>
        <v>#N/A</v>
      </c>
      <c r="D3165" s="171" t="s">
        <v>5095</v>
      </c>
      <c r="E3165" s="165" t="s">
        <v>58</v>
      </c>
      <c r="F3165" s="81" t="s">
        <v>4099</v>
      </c>
      <c r="G3165" s="125" t="s">
        <v>1765</v>
      </c>
      <c r="H3165" s="81" t="s">
        <v>5148</v>
      </c>
      <c r="I3165" s="149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77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1">
        <v>3160.0</v>
      </c>
      <c r="B3166" s="180" t="s">
        <v>5304</v>
      </c>
      <c r="C3166" s="82" t="str">
        <f>VLOOKUP($B$7:$B$5000,SUM!$L$6:$L$500,1,FALSE)</f>
        <v>#N/A</v>
      </c>
      <c r="D3166" s="171" t="s">
        <v>5095</v>
      </c>
      <c r="E3166" s="165" t="s">
        <v>58</v>
      </c>
      <c r="F3166" s="81" t="s">
        <v>4099</v>
      </c>
      <c r="G3166" s="125" t="s">
        <v>1765</v>
      </c>
      <c r="H3166" s="81" t="s">
        <v>5150</v>
      </c>
      <c r="I3166" s="149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77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1">
        <v>3161.0</v>
      </c>
      <c r="B3167" s="180" t="s">
        <v>5305</v>
      </c>
      <c r="C3167" s="82" t="str">
        <f>VLOOKUP($B$7:$B$5000,SUM!$L$6:$L$500,1,FALSE)</f>
        <v>#N/A</v>
      </c>
      <c r="D3167" s="171" t="s">
        <v>5306</v>
      </c>
      <c r="E3167" s="165" t="s">
        <v>58</v>
      </c>
      <c r="F3167" s="81" t="s">
        <v>4099</v>
      </c>
      <c r="G3167" s="125" t="s">
        <v>5307</v>
      </c>
      <c r="H3167" s="81" t="s">
        <v>5308</v>
      </c>
      <c r="I3167" s="149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77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1">
        <v>3162.0</v>
      </c>
      <c r="B3168" s="180" t="s">
        <v>5309</v>
      </c>
      <c r="C3168" s="82" t="str">
        <f>VLOOKUP($B$7:$B$5000,SUM!$L$6:$L$500,1,FALSE)</f>
        <v>#N/A</v>
      </c>
      <c r="D3168" s="171" t="s">
        <v>5306</v>
      </c>
      <c r="E3168" s="165" t="s">
        <v>58</v>
      </c>
      <c r="F3168" s="81" t="s">
        <v>4099</v>
      </c>
      <c r="G3168" s="125" t="s">
        <v>5307</v>
      </c>
      <c r="H3168" s="81" t="s">
        <v>5310</v>
      </c>
      <c r="I3168" s="149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77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1">
        <v>3163.0</v>
      </c>
      <c r="B3169" s="180" t="s">
        <v>5311</v>
      </c>
      <c r="C3169" s="82" t="str">
        <f>VLOOKUP($B$7:$B$5000,SUM!$L$6:$L$500,1,FALSE)</f>
        <v>#N/A</v>
      </c>
      <c r="D3169" s="171" t="s">
        <v>5306</v>
      </c>
      <c r="E3169" s="165" t="s">
        <v>58</v>
      </c>
      <c r="F3169" s="81" t="s">
        <v>4099</v>
      </c>
      <c r="G3169" s="125" t="s">
        <v>5307</v>
      </c>
      <c r="H3169" s="81" t="s">
        <v>5312</v>
      </c>
      <c r="I3169" s="149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77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1">
        <v>3164.0</v>
      </c>
      <c r="B3170" s="180" t="s">
        <v>5313</v>
      </c>
      <c r="C3170" s="82" t="str">
        <f>VLOOKUP($B$7:$B$5000,SUM!$L$6:$L$500,1,FALSE)</f>
        <v>#N/A</v>
      </c>
      <c r="D3170" s="171" t="s">
        <v>5306</v>
      </c>
      <c r="E3170" s="165" t="s">
        <v>58</v>
      </c>
      <c r="F3170" s="81" t="s">
        <v>4099</v>
      </c>
      <c r="G3170" s="125" t="s">
        <v>5307</v>
      </c>
      <c r="H3170" s="81" t="s">
        <v>5314</v>
      </c>
      <c r="I3170" s="149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77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1">
        <v>3165.0</v>
      </c>
      <c r="B3171" s="180" t="s">
        <v>5315</v>
      </c>
      <c r="C3171" s="82" t="str">
        <f>VLOOKUP($B$7:$B$5000,SUM!$L$6:$L$500,1,FALSE)</f>
        <v>#N/A</v>
      </c>
      <c r="D3171" s="171" t="s">
        <v>5306</v>
      </c>
      <c r="E3171" s="165" t="s">
        <v>58</v>
      </c>
      <c r="F3171" s="81" t="s">
        <v>4099</v>
      </c>
      <c r="G3171" s="125" t="s">
        <v>5307</v>
      </c>
      <c r="H3171" s="81" t="s">
        <v>5316</v>
      </c>
      <c r="I3171" s="149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77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1">
        <v>3166.0</v>
      </c>
      <c r="B3172" s="180" t="s">
        <v>5317</v>
      </c>
      <c r="C3172" s="82" t="str">
        <f>VLOOKUP($B$7:$B$5000,SUM!$L$6:$L$500,1,FALSE)</f>
        <v>#N/A</v>
      </c>
      <c r="D3172" s="171" t="s">
        <v>5306</v>
      </c>
      <c r="E3172" s="165" t="s">
        <v>58</v>
      </c>
      <c r="F3172" s="81" t="s">
        <v>4099</v>
      </c>
      <c r="G3172" s="125" t="s">
        <v>5307</v>
      </c>
      <c r="H3172" s="81" t="s">
        <v>5318</v>
      </c>
      <c r="I3172" s="149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77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1">
        <v>3167.0</v>
      </c>
      <c r="B3173" s="180" t="s">
        <v>5319</v>
      </c>
      <c r="C3173" s="82" t="str">
        <f>VLOOKUP($B$7:$B$5000,SUM!$L$6:$L$500,1,FALSE)</f>
        <v>#N/A</v>
      </c>
      <c r="D3173" s="171" t="s">
        <v>5306</v>
      </c>
      <c r="E3173" s="165" t="s">
        <v>58</v>
      </c>
      <c r="F3173" s="81" t="s">
        <v>4099</v>
      </c>
      <c r="G3173" s="125" t="s">
        <v>4956</v>
      </c>
      <c r="H3173" s="81" t="s">
        <v>5320</v>
      </c>
      <c r="I3173" s="149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77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1">
        <v>3168.0</v>
      </c>
      <c r="B3174" s="180" t="s">
        <v>5321</v>
      </c>
      <c r="C3174" s="82" t="str">
        <f>VLOOKUP($B$7:$B$5000,SUM!$L$6:$L$500,1,FALSE)</f>
        <v>#N/A</v>
      </c>
      <c r="D3174" s="171" t="s">
        <v>5306</v>
      </c>
      <c r="E3174" s="165" t="s">
        <v>58</v>
      </c>
      <c r="F3174" s="81" t="s">
        <v>4099</v>
      </c>
      <c r="G3174" s="125" t="s">
        <v>4956</v>
      </c>
      <c r="H3174" s="81" t="s">
        <v>5322</v>
      </c>
      <c r="I3174" s="149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77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1">
        <v>3169.0</v>
      </c>
      <c r="B3175" s="180" t="s">
        <v>5323</v>
      </c>
      <c r="C3175" s="82" t="str">
        <f>VLOOKUP($B$7:$B$5000,SUM!$L$6:$L$500,1,FALSE)</f>
        <v>#N/A</v>
      </c>
      <c r="D3175" s="171" t="s">
        <v>5306</v>
      </c>
      <c r="E3175" s="165" t="s">
        <v>58</v>
      </c>
      <c r="F3175" s="81" t="s">
        <v>4099</v>
      </c>
      <c r="G3175" s="125" t="s">
        <v>4956</v>
      </c>
      <c r="H3175" s="81" t="s">
        <v>5324</v>
      </c>
      <c r="I3175" s="149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77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1">
        <v>3170.0</v>
      </c>
      <c r="B3176" s="180" t="s">
        <v>5325</v>
      </c>
      <c r="C3176" s="82" t="str">
        <f>VLOOKUP($B$7:$B$5000,SUM!$L$6:$L$500,1,FALSE)</f>
        <v>#N/A</v>
      </c>
      <c r="D3176" s="171" t="s">
        <v>5306</v>
      </c>
      <c r="E3176" s="165" t="s">
        <v>58</v>
      </c>
      <c r="F3176" s="81" t="s">
        <v>4099</v>
      </c>
      <c r="G3176" s="125" t="s">
        <v>4956</v>
      </c>
      <c r="H3176" s="81" t="s">
        <v>5326</v>
      </c>
      <c r="I3176" s="149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77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1">
        <v>3171.0</v>
      </c>
      <c r="B3177" s="180" t="s">
        <v>5327</v>
      </c>
      <c r="C3177" s="82" t="str">
        <f>VLOOKUP($B$7:$B$5000,SUM!$L$6:$L$500,1,FALSE)</f>
        <v>#N/A</v>
      </c>
      <c r="D3177" s="171" t="s">
        <v>5306</v>
      </c>
      <c r="E3177" s="165" t="s">
        <v>58</v>
      </c>
      <c r="F3177" s="81" t="s">
        <v>4099</v>
      </c>
      <c r="G3177" s="125" t="s">
        <v>4956</v>
      </c>
      <c r="H3177" s="81" t="s">
        <v>5328</v>
      </c>
      <c r="I3177" s="149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77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1">
        <v>3172.0</v>
      </c>
      <c r="B3178" s="180" t="s">
        <v>5329</v>
      </c>
      <c r="C3178" s="82" t="str">
        <f>VLOOKUP($B$7:$B$5000,SUM!$L$6:$L$500,1,FALSE)</f>
        <v>#N/A</v>
      </c>
      <c r="D3178" s="171" t="s">
        <v>5306</v>
      </c>
      <c r="E3178" s="165" t="s">
        <v>58</v>
      </c>
      <c r="F3178" s="81" t="s">
        <v>4099</v>
      </c>
      <c r="G3178" s="125" t="s">
        <v>5307</v>
      </c>
      <c r="H3178" s="81" t="s">
        <v>5330</v>
      </c>
      <c r="I3178" s="149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77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1">
        <v>3173.0</v>
      </c>
      <c r="B3179" s="180" t="s">
        <v>5331</v>
      </c>
      <c r="C3179" s="82" t="str">
        <f>VLOOKUP($B$7:$B$5000,SUM!$L$6:$L$500,1,FALSE)</f>
        <v>#N/A</v>
      </c>
      <c r="D3179" s="171" t="s">
        <v>5306</v>
      </c>
      <c r="E3179" s="165" t="s">
        <v>58</v>
      </c>
      <c r="F3179" s="81" t="s">
        <v>4099</v>
      </c>
      <c r="G3179" s="125" t="s">
        <v>5307</v>
      </c>
      <c r="H3179" s="81" t="s">
        <v>5332</v>
      </c>
      <c r="I3179" s="149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77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1">
        <v>3174.0</v>
      </c>
      <c r="B3180" s="180" t="s">
        <v>5333</v>
      </c>
      <c r="C3180" s="82" t="str">
        <f>VLOOKUP($B$7:$B$5000,SUM!$L$6:$L$500,1,FALSE)</f>
        <v>#N/A</v>
      </c>
      <c r="D3180" s="171" t="s">
        <v>5306</v>
      </c>
      <c r="E3180" s="165" t="s">
        <v>58</v>
      </c>
      <c r="F3180" s="81" t="s">
        <v>4099</v>
      </c>
      <c r="G3180" s="125" t="s">
        <v>5307</v>
      </c>
      <c r="H3180" s="81" t="s">
        <v>5334</v>
      </c>
      <c r="I3180" s="149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77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1">
        <v>3175.0</v>
      </c>
      <c r="B3181" s="180" t="s">
        <v>5335</v>
      </c>
      <c r="C3181" s="82" t="str">
        <f>VLOOKUP($B$7:$B$5000,SUM!$L$6:$L$500,1,FALSE)</f>
        <v>#N/A</v>
      </c>
      <c r="D3181" s="171" t="s">
        <v>5306</v>
      </c>
      <c r="E3181" s="165" t="s">
        <v>58</v>
      </c>
      <c r="F3181" s="81" t="s">
        <v>4099</v>
      </c>
      <c r="G3181" s="125" t="s">
        <v>5307</v>
      </c>
      <c r="H3181" s="81" t="s">
        <v>5336</v>
      </c>
      <c r="I3181" s="149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77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1">
        <v>3176.0</v>
      </c>
      <c r="B3182" s="180" t="s">
        <v>5337</v>
      </c>
      <c r="C3182" s="82" t="str">
        <f>VLOOKUP($B$7:$B$5000,SUM!$L$6:$L$500,1,FALSE)</f>
        <v>#N/A</v>
      </c>
      <c r="D3182" s="171" t="s">
        <v>5306</v>
      </c>
      <c r="E3182" s="165" t="s">
        <v>58</v>
      </c>
      <c r="F3182" s="81" t="s">
        <v>4099</v>
      </c>
      <c r="G3182" s="125" t="s">
        <v>5307</v>
      </c>
      <c r="H3182" s="81" t="s">
        <v>5338</v>
      </c>
      <c r="I3182" s="149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77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1">
        <v>3177.0</v>
      </c>
      <c r="B3183" s="180" t="s">
        <v>5339</v>
      </c>
      <c r="C3183" s="82" t="str">
        <f>VLOOKUP($B$7:$B$5000,SUM!$L$6:$L$500,1,FALSE)</f>
        <v>#N/A</v>
      </c>
      <c r="D3183" s="171" t="s">
        <v>5306</v>
      </c>
      <c r="E3183" s="165" t="s">
        <v>58</v>
      </c>
      <c r="F3183" s="81" t="s">
        <v>4099</v>
      </c>
      <c r="G3183" s="125" t="s">
        <v>5307</v>
      </c>
      <c r="H3183" s="81" t="s">
        <v>5340</v>
      </c>
      <c r="I3183" s="149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77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1">
        <v>3178.0</v>
      </c>
      <c r="B3184" s="180" t="s">
        <v>5341</v>
      </c>
      <c r="C3184" s="82" t="str">
        <f>VLOOKUP($B$7:$B$5000,SUM!$L$6:$L$500,1,FALSE)</f>
        <v>#N/A</v>
      </c>
      <c r="D3184" s="171" t="s">
        <v>5306</v>
      </c>
      <c r="E3184" s="165" t="s">
        <v>58</v>
      </c>
      <c r="F3184" s="81" t="s">
        <v>4099</v>
      </c>
      <c r="G3184" s="125" t="s">
        <v>5307</v>
      </c>
      <c r="H3184" s="81" t="s">
        <v>5342</v>
      </c>
      <c r="I3184" s="149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77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1">
        <v>3179.0</v>
      </c>
      <c r="B3185" s="180" t="s">
        <v>5343</v>
      </c>
      <c r="C3185" s="82" t="str">
        <f>VLOOKUP($B$7:$B$5000,SUM!$L$6:$L$500,1,FALSE)</f>
        <v>#N/A</v>
      </c>
      <c r="D3185" s="171" t="s">
        <v>5306</v>
      </c>
      <c r="E3185" s="165" t="s">
        <v>58</v>
      </c>
      <c r="F3185" s="81" t="s">
        <v>4099</v>
      </c>
      <c r="G3185" s="125" t="s">
        <v>5344</v>
      </c>
      <c r="H3185" s="81" t="s">
        <v>5345</v>
      </c>
      <c r="I3185" s="149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77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1">
        <v>3180.0</v>
      </c>
      <c r="B3186" s="180" t="s">
        <v>5346</v>
      </c>
      <c r="C3186" s="82" t="str">
        <f>VLOOKUP($B$7:$B$5000,SUM!$L$6:$L$500,1,FALSE)</f>
        <v>#N/A</v>
      </c>
      <c r="D3186" s="171" t="s">
        <v>5306</v>
      </c>
      <c r="E3186" s="165" t="s">
        <v>58</v>
      </c>
      <c r="F3186" s="81" t="s">
        <v>4099</v>
      </c>
      <c r="G3186" s="125" t="s">
        <v>5344</v>
      </c>
      <c r="H3186" s="81" t="s">
        <v>5347</v>
      </c>
      <c r="I3186" s="149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77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1">
        <v>3181.0</v>
      </c>
      <c r="B3187" s="180" t="s">
        <v>5348</v>
      </c>
      <c r="C3187" s="82" t="str">
        <f>VLOOKUP($B$7:$B$5000,SUM!$L$6:$L$500,1,FALSE)</f>
        <v>#N/A</v>
      </c>
      <c r="D3187" s="171" t="s">
        <v>5306</v>
      </c>
      <c r="E3187" s="165" t="s">
        <v>58</v>
      </c>
      <c r="F3187" s="81" t="s">
        <v>4099</v>
      </c>
      <c r="G3187" s="125" t="s">
        <v>4956</v>
      </c>
      <c r="H3187" s="81" t="s">
        <v>5349</v>
      </c>
      <c r="I3187" s="149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77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1">
        <v>3182.0</v>
      </c>
      <c r="B3188" s="180" t="s">
        <v>5350</v>
      </c>
      <c r="C3188" s="82" t="str">
        <f>VLOOKUP($B$7:$B$5000,SUM!$L$6:$L$500,1,FALSE)</f>
        <v>#N/A</v>
      </c>
      <c r="D3188" s="171" t="s">
        <v>5306</v>
      </c>
      <c r="E3188" s="165" t="s">
        <v>58</v>
      </c>
      <c r="F3188" s="81" t="s">
        <v>4099</v>
      </c>
      <c r="G3188" s="125" t="s">
        <v>4956</v>
      </c>
      <c r="H3188" s="81" t="s">
        <v>5351</v>
      </c>
      <c r="I3188" s="149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77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1">
        <v>3183.0</v>
      </c>
      <c r="B3189" s="180" t="s">
        <v>5352</v>
      </c>
      <c r="C3189" s="82" t="str">
        <f>VLOOKUP($B$7:$B$5000,SUM!$L$6:$L$500,1,FALSE)</f>
        <v>#N/A</v>
      </c>
      <c r="D3189" s="171" t="s">
        <v>5306</v>
      </c>
      <c r="E3189" s="165" t="s">
        <v>58</v>
      </c>
      <c r="F3189" s="81" t="s">
        <v>4099</v>
      </c>
      <c r="G3189" s="125" t="s">
        <v>4956</v>
      </c>
      <c r="H3189" s="81" t="s">
        <v>5353</v>
      </c>
      <c r="I3189" s="149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77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1">
        <v>3184.0</v>
      </c>
      <c r="B3190" s="180" t="s">
        <v>5354</v>
      </c>
      <c r="C3190" s="82" t="str">
        <f>VLOOKUP($B$7:$B$5000,SUM!$L$6:$L$500,1,FALSE)</f>
        <v>#N/A</v>
      </c>
      <c r="D3190" s="171" t="s">
        <v>5306</v>
      </c>
      <c r="E3190" s="165" t="s">
        <v>58</v>
      </c>
      <c r="F3190" s="81" t="s">
        <v>4099</v>
      </c>
      <c r="G3190" s="125" t="s">
        <v>4956</v>
      </c>
      <c r="H3190" s="81" t="s">
        <v>5355</v>
      </c>
      <c r="I3190" s="149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77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1">
        <v>3185.0</v>
      </c>
      <c r="B3191" s="180" t="s">
        <v>5356</v>
      </c>
      <c r="C3191" s="82" t="str">
        <f>VLOOKUP($B$7:$B$5000,SUM!$L$6:$L$500,1,FALSE)</f>
        <v>#N/A</v>
      </c>
      <c r="D3191" s="171" t="s">
        <v>5306</v>
      </c>
      <c r="E3191" s="165" t="s">
        <v>58</v>
      </c>
      <c r="F3191" s="81" t="s">
        <v>4099</v>
      </c>
      <c r="G3191" s="125" t="s">
        <v>4956</v>
      </c>
      <c r="H3191" s="81" t="s">
        <v>5357</v>
      </c>
      <c r="I3191" s="149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77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1">
        <v>3186.0</v>
      </c>
      <c r="B3192" s="180" t="s">
        <v>5358</v>
      </c>
      <c r="C3192" s="82" t="str">
        <f>VLOOKUP($B$7:$B$5000,SUM!$L$6:$L$500,1,FALSE)</f>
        <v>#N/A</v>
      </c>
      <c r="D3192" s="171" t="s">
        <v>5306</v>
      </c>
      <c r="E3192" s="165" t="s">
        <v>58</v>
      </c>
      <c r="F3192" s="81" t="s">
        <v>4099</v>
      </c>
      <c r="G3192" s="125" t="s">
        <v>5307</v>
      </c>
      <c r="H3192" s="81" t="s">
        <v>5308</v>
      </c>
      <c r="I3192" s="149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77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1">
        <v>3187.0</v>
      </c>
      <c r="B3193" s="180" t="s">
        <v>5360</v>
      </c>
      <c r="C3193" s="82" t="str">
        <f>VLOOKUP($B$7:$B$5000,SUM!$L$6:$L$500,1,FALSE)</f>
        <v>#N/A</v>
      </c>
      <c r="D3193" s="171" t="s">
        <v>5306</v>
      </c>
      <c r="E3193" s="165" t="s">
        <v>58</v>
      </c>
      <c r="F3193" s="81" t="s">
        <v>4099</v>
      </c>
      <c r="G3193" s="125" t="s">
        <v>5307</v>
      </c>
      <c r="H3193" s="81" t="s">
        <v>5310</v>
      </c>
      <c r="I3193" s="149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77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1">
        <v>3188.0</v>
      </c>
      <c r="B3194" s="180" t="s">
        <v>5361</v>
      </c>
      <c r="C3194" s="82" t="str">
        <f>VLOOKUP($B$7:$B$5000,SUM!$L$6:$L$500,1,FALSE)</f>
        <v>#N/A</v>
      </c>
      <c r="D3194" s="171" t="s">
        <v>5306</v>
      </c>
      <c r="E3194" s="165" t="s">
        <v>58</v>
      </c>
      <c r="F3194" s="81" t="s">
        <v>4099</v>
      </c>
      <c r="G3194" s="125" t="s">
        <v>5307</v>
      </c>
      <c r="H3194" s="81" t="s">
        <v>5312</v>
      </c>
      <c r="I3194" s="149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77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1">
        <v>3189.0</v>
      </c>
      <c r="B3195" s="180" t="s">
        <v>5362</v>
      </c>
      <c r="C3195" s="82" t="str">
        <f>VLOOKUP($B$7:$B$5000,SUM!$L$6:$L$500,1,FALSE)</f>
        <v>#N/A</v>
      </c>
      <c r="D3195" s="171" t="s">
        <v>5306</v>
      </c>
      <c r="E3195" s="165" t="s">
        <v>58</v>
      </c>
      <c r="F3195" s="81" t="s">
        <v>4099</v>
      </c>
      <c r="G3195" s="125" t="s">
        <v>5307</v>
      </c>
      <c r="H3195" s="81" t="s">
        <v>5314</v>
      </c>
      <c r="I3195" s="149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77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1">
        <v>3190.0</v>
      </c>
      <c r="B3196" s="180" t="s">
        <v>5363</v>
      </c>
      <c r="C3196" s="82" t="str">
        <f>VLOOKUP($B$7:$B$5000,SUM!$L$6:$L$500,1,FALSE)</f>
        <v>#N/A</v>
      </c>
      <c r="D3196" s="171" t="s">
        <v>5306</v>
      </c>
      <c r="E3196" s="165" t="s">
        <v>58</v>
      </c>
      <c r="F3196" s="81" t="s">
        <v>4099</v>
      </c>
      <c r="G3196" s="125" t="s">
        <v>5307</v>
      </c>
      <c r="H3196" s="81" t="s">
        <v>5316</v>
      </c>
      <c r="I3196" s="149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77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1">
        <v>3191.0</v>
      </c>
      <c r="B3197" s="180" t="s">
        <v>5364</v>
      </c>
      <c r="C3197" s="82" t="str">
        <f>VLOOKUP($B$7:$B$5000,SUM!$L$6:$L$500,1,FALSE)</f>
        <v>#N/A</v>
      </c>
      <c r="D3197" s="171" t="s">
        <v>5306</v>
      </c>
      <c r="E3197" s="165" t="s">
        <v>58</v>
      </c>
      <c r="F3197" s="81" t="s">
        <v>4099</v>
      </c>
      <c r="G3197" s="125" t="s">
        <v>5307</v>
      </c>
      <c r="H3197" s="81" t="s">
        <v>5318</v>
      </c>
      <c r="I3197" s="149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77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1">
        <v>3192.0</v>
      </c>
      <c r="B3198" s="180" t="s">
        <v>5365</v>
      </c>
      <c r="C3198" s="82" t="str">
        <f>VLOOKUP($B$7:$B$5000,SUM!$L$6:$L$500,1,FALSE)</f>
        <v>#N/A</v>
      </c>
      <c r="D3198" s="171" t="s">
        <v>5306</v>
      </c>
      <c r="E3198" s="165" t="s">
        <v>58</v>
      </c>
      <c r="F3198" s="81" t="s">
        <v>4099</v>
      </c>
      <c r="G3198" s="125" t="s">
        <v>4956</v>
      </c>
      <c r="H3198" s="81" t="s">
        <v>5320</v>
      </c>
      <c r="I3198" s="149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77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1">
        <v>3193.0</v>
      </c>
      <c r="B3199" s="180" t="s">
        <v>5366</v>
      </c>
      <c r="C3199" s="82" t="str">
        <f>VLOOKUP($B$7:$B$5000,SUM!$L$6:$L$500,1,FALSE)</f>
        <v>#N/A</v>
      </c>
      <c r="D3199" s="171" t="s">
        <v>5306</v>
      </c>
      <c r="E3199" s="165" t="s">
        <v>58</v>
      </c>
      <c r="F3199" s="81" t="s">
        <v>4099</v>
      </c>
      <c r="G3199" s="125" t="s">
        <v>4956</v>
      </c>
      <c r="H3199" s="81" t="s">
        <v>5322</v>
      </c>
      <c r="I3199" s="149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77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1">
        <v>3194.0</v>
      </c>
      <c r="B3200" s="180" t="s">
        <v>5367</v>
      </c>
      <c r="C3200" s="82" t="str">
        <f>VLOOKUP($B$7:$B$5000,SUM!$L$6:$L$500,1,FALSE)</f>
        <v>#N/A</v>
      </c>
      <c r="D3200" s="171" t="s">
        <v>5306</v>
      </c>
      <c r="E3200" s="165" t="s">
        <v>58</v>
      </c>
      <c r="F3200" s="81" t="s">
        <v>4099</v>
      </c>
      <c r="G3200" s="125" t="s">
        <v>4956</v>
      </c>
      <c r="H3200" s="81" t="s">
        <v>5324</v>
      </c>
      <c r="I3200" s="149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77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1">
        <v>3195.0</v>
      </c>
      <c r="B3201" s="180" t="s">
        <v>5368</v>
      </c>
      <c r="C3201" s="82" t="str">
        <f>VLOOKUP($B$7:$B$5000,SUM!$L$6:$L$500,1,FALSE)</f>
        <v>#N/A</v>
      </c>
      <c r="D3201" s="171" t="s">
        <v>5306</v>
      </c>
      <c r="E3201" s="165" t="s">
        <v>58</v>
      </c>
      <c r="F3201" s="81" t="s">
        <v>4099</v>
      </c>
      <c r="G3201" s="125" t="s">
        <v>4956</v>
      </c>
      <c r="H3201" s="81" t="s">
        <v>5326</v>
      </c>
      <c r="I3201" s="149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77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1">
        <v>3196.0</v>
      </c>
      <c r="B3202" s="180" t="s">
        <v>5369</v>
      </c>
      <c r="C3202" s="82" t="str">
        <f>VLOOKUP($B$7:$B$5000,SUM!$L$6:$L$500,1,FALSE)</f>
        <v>#N/A</v>
      </c>
      <c r="D3202" s="171" t="s">
        <v>5306</v>
      </c>
      <c r="E3202" s="165" t="s">
        <v>58</v>
      </c>
      <c r="F3202" s="81" t="s">
        <v>4099</v>
      </c>
      <c r="G3202" s="125" t="s">
        <v>4956</v>
      </c>
      <c r="H3202" s="81" t="s">
        <v>5328</v>
      </c>
      <c r="I3202" s="149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77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1">
        <v>3197.0</v>
      </c>
      <c r="B3203" s="180" t="s">
        <v>5370</v>
      </c>
      <c r="C3203" s="82" t="str">
        <f>VLOOKUP($B$7:$B$5000,SUM!$L$6:$L$500,1,FALSE)</f>
        <v>#N/A</v>
      </c>
      <c r="D3203" s="171" t="s">
        <v>5306</v>
      </c>
      <c r="E3203" s="165" t="s">
        <v>58</v>
      </c>
      <c r="F3203" s="81" t="s">
        <v>4099</v>
      </c>
      <c r="G3203" s="125" t="s">
        <v>5307</v>
      </c>
      <c r="H3203" s="81" t="s">
        <v>5330</v>
      </c>
      <c r="I3203" s="149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77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1">
        <v>3198.0</v>
      </c>
      <c r="B3204" s="180" t="s">
        <v>5372</v>
      </c>
      <c r="C3204" s="82" t="str">
        <f>VLOOKUP($B$7:$B$5000,SUM!$L$6:$L$500,1,FALSE)</f>
        <v>#N/A</v>
      </c>
      <c r="D3204" s="171" t="s">
        <v>5306</v>
      </c>
      <c r="E3204" s="165" t="s">
        <v>58</v>
      </c>
      <c r="F3204" s="81" t="s">
        <v>4099</v>
      </c>
      <c r="G3204" s="125" t="s">
        <v>5307</v>
      </c>
      <c r="H3204" s="81" t="s">
        <v>5332</v>
      </c>
      <c r="I3204" s="149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77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1">
        <v>3199.0</v>
      </c>
      <c r="B3205" s="180" t="s">
        <v>5373</v>
      </c>
      <c r="C3205" s="82" t="str">
        <f>VLOOKUP($B$7:$B$5000,SUM!$L$6:$L$500,1,FALSE)</f>
        <v>#N/A</v>
      </c>
      <c r="D3205" s="171" t="s">
        <v>5306</v>
      </c>
      <c r="E3205" s="165" t="s">
        <v>58</v>
      </c>
      <c r="F3205" s="81" t="s">
        <v>4099</v>
      </c>
      <c r="G3205" s="125" t="s">
        <v>5307</v>
      </c>
      <c r="H3205" s="81" t="s">
        <v>5334</v>
      </c>
      <c r="I3205" s="149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77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1">
        <v>3200.0</v>
      </c>
      <c r="B3206" s="180" t="s">
        <v>5374</v>
      </c>
      <c r="C3206" s="82" t="str">
        <f>VLOOKUP($B$7:$B$5000,SUM!$L$6:$L$500,1,FALSE)</f>
        <v>#N/A</v>
      </c>
      <c r="D3206" s="171" t="s">
        <v>5306</v>
      </c>
      <c r="E3206" s="165" t="s">
        <v>58</v>
      </c>
      <c r="F3206" s="81" t="s">
        <v>4099</v>
      </c>
      <c r="G3206" s="125" t="s">
        <v>5307</v>
      </c>
      <c r="H3206" s="81" t="s">
        <v>5336</v>
      </c>
      <c r="I3206" s="149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77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1">
        <v>3201.0</v>
      </c>
      <c r="B3207" s="180" t="s">
        <v>5375</v>
      </c>
      <c r="C3207" s="82" t="str">
        <f>VLOOKUP($B$7:$B$5000,SUM!$L$6:$L$500,1,FALSE)</f>
        <v>#N/A</v>
      </c>
      <c r="D3207" s="171" t="s">
        <v>5306</v>
      </c>
      <c r="E3207" s="165" t="s">
        <v>58</v>
      </c>
      <c r="F3207" s="81" t="s">
        <v>4099</v>
      </c>
      <c r="G3207" s="125" t="s">
        <v>5307</v>
      </c>
      <c r="H3207" s="81" t="s">
        <v>5338</v>
      </c>
      <c r="I3207" s="149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77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1">
        <v>3202.0</v>
      </c>
      <c r="B3208" s="180" t="s">
        <v>5376</v>
      </c>
      <c r="C3208" s="82" t="str">
        <f>VLOOKUP($B$7:$B$5000,SUM!$L$6:$L$500,1,FALSE)</f>
        <v>#N/A</v>
      </c>
      <c r="D3208" s="171" t="s">
        <v>5306</v>
      </c>
      <c r="E3208" s="165" t="s">
        <v>58</v>
      </c>
      <c r="F3208" s="81" t="s">
        <v>4099</v>
      </c>
      <c r="G3208" s="125" t="s">
        <v>5307</v>
      </c>
      <c r="H3208" s="81" t="s">
        <v>5340</v>
      </c>
      <c r="I3208" s="149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77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1">
        <v>3203.0</v>
      </c>
      <c r="B3209" s="180" t="s">
        <v>5377</v>
      </c>
      <c r="C3209" s="82" t="str">
        <f>VLOOKUP($B$7:$B$5000,SUM!$L$6:$L$500,1,FALSE)</f>
        <v>#N/A</v>
      </c>
      <c r="D3209" s="171" t="s">
        <v>5306</v>
      </c>
      <c r="E3209" s="165" t="s">
        <v>58</v>
      </c>
      <c r="F3209" s="81" t="s">
        <v>4099</v>
      </c>
      <c r="G3209" s="125" t="s">
        <v>5307</v>
      </c>
      <c r="H3209" s="81" t="s">
        <v>5342</v>
      </c>
      <c r="I3209" s="149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77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1">
        <v>3204.0</v>
      </c>
      <c r="B3210" s="180" t="s">
        <v>5378</v>
      </c>
      <c r="C3210" s="82" t="str">
        <f>VLOOKUP($B$7:$B$5000,SUM!$L$6:$L$500,1,FALSE)</f>
        <v>#N/A</v>
      </c>
      <c r="D3210" s="171" t="s">
        <v>5306</v>
      </c>
      <c r="E3210" s="165" t="s">
        <v>58</v>
      </c>
      <c r="F3210" s="81" t="s">
        <v>4099</v>
      </c>
      <c r="G3210" s="125" t="s">
        <v>5344</v>
      </c>
      <c r="H3210" s="81" t="s">
        <v>5345</v>
      </c>
      <c r="I3210" s="149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77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1">
        <v>3205.0</v>
      </c>
      <c r="B3211" s="180" t="s">
        <v>5379</v>
      </c>
      <c r="C3211" s="82" t="str">
        <f>VLOOKUP($B$7:$B$5000,SUM!$L$6:$L$500,1,FALSE)</f>
        <v>#N/A</v>
      </c>
      <c r="D3211" s="171" t="s">
        <v>5306</v>
      </c>
      <c r="E3211" s="165" t="s">
        <v>58</v>
      </c>
      <c r="F3211" s="81" t="s">
        <v>4099</v>
      </c>
      <c r="G3211" s="125" t="s">
        <v>5344</v>
      </c>
      <c r="H3211" s="81" t="s">
        <v>5347</v>
      </c>
      <c r="I3211" s="149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77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1">
        <v>3206.0</v>
      </c>
      <c r="B3212" s="180" t="s">
        <v>5380</v>
      </c>
      <c r="C3212" s="82" t="str">
        <f>VLOOKUP($B$7:$B$5000,SUM!$L$6:$L$500,1,FALSE)</f>
        <v>#N/A</v>
      </c>
      <c r="D3212" s="171" t="s">
        <v>5306</v>
      </c>
      <c r="E3212" s="165" t="s">
        <v>58</v>
      </c>
      <c r="F3212" s="81" t="s">
        <v>4099</v>
      </c>
      <c r="G3212" s="125" t="s">
        <v>4956</v>
      </c>
      <c r="H3212" s="81" t="s">
        <v>5349</v>
      </c>
      <c r="I3212" s="149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77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1">
        <v>3207.0</v>
      </c>
      <c r="B3213" s="180" t="s">
        <v>5381</v>
      </c>
      <c r="C3213" s="82" t="str">
        <f>VLOOKUP($B$7:$B$5000,SUM!$L$6:$L$500,1,FALSE)</f>
        <v>#N/A</v>
      </c>
      <c r="D3213" s="171" t="s">
        <v>5306</v>
      </c>
      <c r="E3213" s="165" t="s">
        <v>58</v>
      </c>
      <c r="F3213" s="81" t="s">
        <v>4099</v>
      </c>
      <c r="G3213" s="125" t="s">
        <v>4956</v>
      </c>
      <c r="H3213" s="81" t="s">
        <v>5351</v>
      </c>
      <c r="I3213" s="149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77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1">
        <v>3208.0</v>
      </c>
      <c r="B3214" s="180" t="s">
        <v>5382</v>
      </c>
      <c r="C3214" s="82" t="str">
        <f>VLOOKUP($B$7:$B$5000,SUM!$L$6:$L$500,1,FALSE)</f>
        <v>#N/A</v>
      </c>
      <c r="D3214" s="171" t="s">
        <v>5306</v>
      </c>
      <c r="E3214" s="165" t="s">
        <v>58</v>
      </c>
      <c r="F3214" s="81" t="s">
        <v>4099</v>
      </c>
      <c r="G3214" s="125" t="s">
        <v>4956</v>
      </c>
      <c r="H3214" s="81" t="s">
        <v>5353</v>
      </c>
      <c r="I3214" s="149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77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1">
        <v>3209.0</v>
      </c>
      <c r="B3215" s="180" t="s">
        <v>5383</v>
      </c>
      <c r="C3215" s="82" t="str">
        <f>VLOOKUP($B$7:$B$5000,SUM!$L$6:$L$500,1,FALSE)</f>
        <v>#N/A</v>
      </c>
      <c r="D3215" s="171" t="s">
        <v>5306</v>
      </c>
      <c r="E3215" s="165" t="s">
        <v>58</v>
      </c>
      <c r="F3215" s="81" t="s">
        <v>4099</v>
      </c>
      <c r="G3215" s="125" t="s">
        <v>4956</v>
      </c>
      <c r="H3215" s="81" t="s">
        <v>5355</v>
      </c>
      <c r="I3215" s="149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77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1">
        <v>3210.0</v>
      </c>
      <c r="B3216" s="180" t="s">
        <v>5384</v>
      </c>
      <c r="C3216" s="82" t="str">
        <f>VLOOKUP($B$7:$B$5000,SUM!$L$6:$L$500,1,FALSE)</f>
        <v>#N/A</v>
      </c>
      <c r="D3216" s="171" t="s">
        <v>5306</v>
      </c>
      <c r="E3216" s="165" t="s">
        <v>58</v>
      </c>
      <c r="F3216" s="81" t="s">
        <v>4099</v>
      </c>
      <c r="G3216" s="125" t="s">
        <v>4956</v>
      </c>
      <c r="H3216" s="81" t="s">
        <v>5357</v>
      </c>
      <c r="I3216" s="149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77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1">
        <v>3211.0</v>
      </c>
      <c r="B3217" s="180" t="s">
        <v>5385</v>
      </c>
      <c r="C3217" s="82" t="str">
        <f>VLOOKUP($B$7:$B$5000,SUM!$L$6:$L$500,1,FALSE)</f>
        <v>#N/A</v>
      </c>
      <c r="D3217" s="171" t="s">
        <v>5306</v>
      </c>
      <c r="E3217" s="165" t="s">
        <v>58</v>
      </c>
      <c r="F3217" s="81" t="s">
        <v>4099</v>
      </c>
      <c r="G3217" s="125" t="s">
        <v>5307</v>
      </c>
      <c r="H3217" s="81" t="s">
        <v>5308</v>
      </c>
      <c r="I3217" s="149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77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1">
        <v>3212.0</v>
      </c>
      <c r="B3218" s="180" t="s">
        <v>5387</v>
      </c>
      <c r="C3218" s="82" t="str">
        <f>VLOOKUP($B$7:$B$5000,SUM!$L$6:$L$500,1,FALSE)</f>
        <v>#N/A</v>
      </c>
      <c r="D3218" s="171" t="s">
        <v>5306</v>
      </c>
      <c r="E3218" s="165" t="s">
        <v>58</v>
      </c>
      <c r="F3218" s="81" t="s">
        <v>4099</v>
      </c>
      <c r="G3218" s="125" t="s">
        <v>5307</v>
      </c>
      <c r="H3218" s="81" t="s">
        <v>5310</v>
      </c>
      <c r="I3218" s="149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77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1">
        <v>3213.0</v>
      </c>
      <c r="B3219" s="180" t="s">
        <v>5388</v>
      </c>
      <c r="C3219" s="82" t="str">
        <f>VLOOKUP($B$7:$B$5000,SUM!$L$6:$L$500,1,FALSE)</f>
        <v>#N/A</v>
      </c>
      <c r="D3219" s="171" t="s">
        <v>5306</v>
      </c>
      <c r="E3219" s="165" t="s">
        <v>58</v>
      </c>
      <c r="F3219" s="81" t="s">
        <v>4099</v>
      </c>
      <c r="G3219" s="125" t="s">
        <v>5307</v>
      </c>
      <c r="H3219" s="81" t="s">
        <v>5312</v>
      </c>
      <c r="I3219" s="149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77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1">
        <v>3214.0</v>
      </c>
      <c r="B3220" s="180" t="s">
        <v>5389</v>
      </c>
      <c r="C3220" s="82" t="str">
        <f>VLOOKUP($B$7:$B$5000,SUM!$L$6:$L$500,1,FALSE)</f>
        <v>#N/A</v>
      </c>
      <c r="D3220" s="171" t="s">
        <v>5306</v>
      </c>
      <c r="E3220" s="165" t="s">
        <v>58</v>
      </c>
      <c r="F3220" s="81" t="s">
        <v>4099</v>
      </c>
      <c r="G3220" s="125" t="s">
        <v>5307</v>
      </c>
      <c r="H3220" s="81" t="s">
        <v>5314</v>
      </c>
      <c r="I3220" s="149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77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1">
        <v>3215.0</v>
      </c>
      <c r="B3221" s="180" t="s">
        <v>5390</v>
      </c>
      <c r="C3221" s="82" t="str">
        <f>VLOOKUP($B$7:$B$5000,SUM!$L$6:$L$500,1,FALSE)</f>
        <v>#N/A</v>
      </c>
      <c r="D3221" s="171" t="s">
        <v>5306</v>
      </c>
      <c r="E3221" s="165" t="s">
        <v>58</v>
      </c>
      <c r="F3221" s="81" t="s">
        <v>4099</v>
      </c>
      <c r="G3221" s="125" t="s">
        <v>5307</v>
      </c>
      <c r="H3221" s="81" t="s">
        <v>5316</v>
      </c>
      <c r="I3221" s="149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77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1">
        <v>3216.0</v>
      </c>
      <c r="B3222" s="180" t="s">
        <v>5391</v>
      </c>
      <c r="C3222" s="82" t="str">
        <f>VLOOKUP($B$7:$B$5000,SUM!$L$6:$L$500,1,FALSE)</f>
        <v>#N/A</v>
      </c>
      <c r="D3222" s="171" t="s">
        <v>5306</v>
      </c>
      <c r="E3222" s="165" t="s">
        <v>58</v>
      </c>
      <c r="F3222" s="81" t="s">
        <v>4099</v>
      </c>
      <c r="G3222" s="125" t="s">
        <v>5307</v>
      </c>
      <c r="H3222" s="81" t="s">
        <v>5318</v>
      </c>
      <c r="I3222" s="149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77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1">
        <v>3217.0</v>
      </c>
      <c r="B3223" s="180" t="s">
        <v>5392</v>
      </c>
      <c r="C3223" s="82" t="str">
        <f>VLOOKUP($B$7:$B$5000,SUM!$L$6:$L$500,1,FALSE)</f>
        <v>#N/A</v>
      </c>
      <c r="D3223" s="171" t="s">
        <v>5306</v>
      </c>
      <c r="E3223" s="165" t="s">
        <v>58</v>
      </c>
      <c r="F3223" s="81" t="s">
        <v>4099</v>
      </c>
      <c r="G3223" s="125" t="s">
        <v>4956</v>
      </c>
      <c r="H3223" s="81" t="s">
        <v>5320</v>
      </c>
      <c r="I3223" s="149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77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1">
        <v>3218.0</v>
      </c>
      <c r="B3224" s="180" t="s">
        <v>5393</v>
      </c>
      <c r="C3224" s="82" t="str">
        <f>VLOOKUP($B$7:$B$5000,SUM!$L$6:$L$500,1,FALSE)</f>
        <v>#N/A</v>
      </c>
      <c r="D3224" s="171" t="s">
        <v>5306</v>
      </c>
      <c r="E3224" s="165" t="s">
        <v>58</v>
      </c>
      <c r="F3224" s="81" t="s">
        <v>4099</v>
      </c>
      <c r="G3224" s="125" t="s">
        <v>4956</v>
      </c>
      <c r="H3224" s="81" t="s">
        <v>5322</v>
      </c>
      <c r="I3224" s="149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77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1">
        <v>3219.0</v>
      </c>
      <c r="B3225" s="180" t="s">
        <v>5394</v>
      </c>
      <c r="C3225" s="82" t="str">
        <f>VLOOKUP($B$7:$B$5000,SUM!$L$6:$L$500,1,FALSE)</f>
        <v>#N/A</v>
      </c>
      <c r="D3225" s="171" t="s">
        <v>5306</v>
      </c>
      <c r="E3225" s="165" t="s">
        <v>58</v>
      </c>
      <c r="F3225" s="81" t="s">
        <v>4099</v>
      </c>
      <c r="G3225" s="125" t="s">
        <v>4956</v>
      </c>
      <c r="H3225" s="81" t="s">
        <v>5324</v>
      </c>
      <c r="I3225" s="149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77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1">
        <v>3220.0</v>
      </c>
      <c r="B3226" s="180" t="s">
        <v>5395</v>
      </c>
      <c r="C3226" s="82" t="str">
        <f>VLOOKUP($B$7:$B$5000,SUM!$L$6:$L$500,1,FALSE)</f>
        <v>#N/A</v>
      </c>
      <c r="D3226" s="171" t="s">
        <v>5306</v>
      </c>
      <c r="E3226" s="165" t="s">
        <v>58</v>
      </c>
      <c r="F3226" s="81" t="s">
        <v>4099</v>
      </c>
      <c r="G3226" s="125" t="s">
        <v>4956</v>
      </c>
      <c r="H3226" s="81" t="s">
        <v>5326</v>
      </c>
      <c r="I3226" s="149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77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1">
        <v>3221.0</v>
      </c>
      <c r="B3227" s="180" t="s">
        <v>5396</v>
      </c>
      <c r="C3227" s="82" t="str">
        <f>VLOOKUP($B$7:$B$5000,SUM!$L$6:$L$500,1,FALSE)</f>
        <v>#N/A</v>
      </c>
      <c r="D3227" s="171" t="s">
        <v>5306</v>
      </c>
      <c r="E3227" s="165" t="s">
        <v>58</v>
      </c>
      <c r="F3227" s="81" t="s">
        <v>4099</v>
      </c>
      <c r="G3227" s="125" t="s">
        <v>4956</v>
      </c>
      <c r="H3227" s="81" t="s">
        <v>5328</v>
      </c>
      <c r="I3227" s="149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77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1">
        <v>3222.0</v>
      </c>
      <c r="B3228" s="180" t="s">
        <v>5397</v>
      </c>
      <c r="C3228" s="82" t="str">
        <f>VLOOKUP($B$7:$B$5000,SUM!$L$6:$L$500,1,FALSE)</f>
        <v>#N/A</v>
      </c>
      <c r="D3228" s="171" t="s">
        <v>5306</v>
      </c>
      <c r="E3228" s="165" t="s">
        <v>58</v>
      </c>
      <c r="F3228" s="81" t="s">
        <v>4099</v>
      </c>
      <c r="G3228" s="189" t="s">
        <v>5307</v>
      </c>
      <c r="H3228" s="81" t="s">
        <v>5330</v>
      </c>
      <c r="I3228" s="149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77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1">
        <v>3223.0</v>
      </c>
      <c r="B3229" s="180" t="s">
        <v>5399</v>
      </c>
      <c r="C3229" s="82" t="str">
        <f>VLOOKUP($B$7:$B$5000,SUM!$L$6:$L$500,1,FALSE)</f>
        <v>#N/A</v>
      </c>
      <c r="D3229" s="171" t="s">
        <v>5306</v>
      </c>
      <c r="E3229" s="165" t="s">
        <v>58</v>
      </c>
      <c r="F3229" s="81" t="s">
        <v>4099</v>
      </c>
      <c r="G3229" s="125" t="s">
        <v>5307</v>
      </c>
      <c r="H3229" s="81" t="s">
        <v>5332</v>
      </c>
      <c r="I3229" s="149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77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1">
        <v>3224.0</v>
      </c>
      <c r="B3230" s="180" t="s">
        <v>5400</v>
      </c>
      <c r="C3230" s="82" t="str">
        <f>VLOOKUP($B$7:$B$5000,SUM!$L$6:$L$500,1,FALSE)</f>
        <v>#N/A</v>
      </c>
      <c r="D3230" s="171" t="s">
        <v>5306</v>
      </c>
      <c r="E3230" s="165" t="s">
        <v>58</v>
      </c>
      <c r="F3230" s="81" t="s">
        <v>4099</v>
      </c>
      <c r="G3230" s="125" t="s">
        <v>5307</v>
      </c>
      <c r="H3230" s="81" t="s">
        <v>5334</v>
      </c>
      <c r="I3230" s="149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77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1">
        <v>3225.0</v>
      </c>
      <c r="B3231" s="180" t="s">
        <v>5401</v>
      </c>
      <c r="C3231" s="82" t="str">
        <f>VLOOKUP($B$7:$B$5000,SUM!$L$6:$L$500,1,FALSE)</f>
        <v>#N/A</v>
      </c>
      <c r="D3231" s="171" t="s">
        <v>5306</v>
      </c>
      <c r="E3231" s="165" t="s">
        <v>58</v>
      </c>
      <c r="F3231" s="81" t="s">
        <v>4099</v>
      </c>
      <c r="G3231" s="125" t="s">
        <v>5307</v>
      </c>
      <c r="H3231" s="81" t="s">
        <v>5336</v>
      </c>
      <c r="I3231" s="149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77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1">
        <v>3226.0</v>
      </c>
      <c r="B3232" s="180" t="s">
        <v>5402</v>
      </c>
      <c r="C3232" s="82" t="str">
        <f>VLOOKUP($B$7:$B$5000,SUM!$L$6:$L$500,1,FALSE)</f>
        <v>#N/A</v>
      </c>
      <c r="D3232" s="171" t="s">
        <v>5306</v>
      </c>
      <c r="E3232" s="165" t="s">
        <v>58</v>
      </c>
      <c r="F3232" s="81" t="s">
        <v>4099</v>
      </c>
      <c r="G3232" s="125" t="s">
        <v>5307</v>
      </c>
      <c r="H3232" s="81" t="s">
        <v>5338</v>
      </c>
      <c r="I3232" s="149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77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1">
        <v>3227.0</v>
      </c>
      <c r="B3233" s="180" t="s">
        <v>5403</v>
      </c>
      <c r="C3233" s="82" t="str">
        <f>VLOOKUP($B$7:$B$5000,SUM!$L$6:$L$500,1,FALSE)</f>
        <v>#N/A</v>
      </c>
      <c r="D3233" s="171" t="s">
        <v>5306</v>
      </c>
      <c r="E3233" s="165" t="s">
        <v>58</v>
      </c>
      <c r="F3233" s="81" t="s">
        <v>4099</v>
      </c>
      <c r="G3233" s="125" t="s">
        <v>5307</v>
      </c>
      <c r="H3233" s="81" t="s">
        <v>5340</v>
      </c>
      <c r="I3233" s="149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77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1">
        <v>3228.0</v>
      </c>
      <c r="B3234" s="180" t="s">
        <v>5404</v>
      </c>
      <c r="C3234" s="82" t="str">
        <f>VLOOKUP($B$7:$B$5000,SUM!$L$6:$L$500,1,FALSE)</f>
        <v>#N/A</v>
      </c>
      <c r="D3234" s="171" t="s">
        <v>5306</v>
      </c>
      <c r="E3234" s="165" t="s">
        <v>58</v>
      </c>
      <c r="F3234" s="81" t="s">
        <v>4099</v>
      </c>
      <c r="G3234" s="125" t="s">
        <v>5307</v>
      </c>
      <c r="H3234" s="81" t="s">
        <v>5342</v>
      </c>
      <c r="I3234" s="149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77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1">
        <v>3229.0</v>
      </c>
      <c r="B3235" s="180" t="s">
        <v>5405</v>
      </c>
      <c r="C3235" s="82" t="str">
        <f>VLOOKUP($B$7:$B$5000,SUM!$L$6:$L$500,1,FALSE)</f>
        <v>#N/A</v>
      </c>
      <c r="D3235" s="171" t="s">
        <v>5306</v>
      </c>
      <c r="E3235" s="165" t="s">
        <v>58</v>
      </c>
      <c r="F3235" s="81" t="s">
        <v>4099</v>
      </c>
      <c r="G3235" s="125" t="s">
        <v>5344</v>
      </c>
      <c r="H3235" s="81" t="s">
        <v>5345</v>
      </c>
      <c r="I3235" s="149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77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1">
        <v>3230.0</v>
      </c>
      <c r="B3236" s="180" t="s">
        <v>5406</v>
      </c>
      <c r="C3236" s="82" t="str">
        <f>VLOOKUP($B$7:$B$5000,SUM!$L$6:$L$500,1,FALSE)</f>
        <v>#N/A</v>
      </c>
      <c r="D3236" s="171" t="s">
        <v>5306</v>
      </c>
      <c r="E3236" s="165" t="s">
        <v>58</v>
      </c>
      <c r="F3236" s="81" t="s">
        <v>4099</v>
      </c>
      <c r="G3236" s="125" t="s">
        <v>5344</v>
      </c>
      <c r="H3236" s="81" t="s">
        <v>5347</v>
      </c>
      <c r="I3236" s="149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77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1">
        <v>3231.0</v>
      </c>
      <c r="B3237" s="180" t="s">
        <v>5407</v>
      </c>
      <c r="C3237" s="82" t="str">
        <f>VLOOKUP($B$7:$B$5000,SUM!$L$6:$L$500,1,FALSE)</f>
        <v>#N/A</v>
      </c>
      <c r="D3237" s="171" t="s">
        <v>5306</v>
      </c>
      <c r="E3237" s="165" t="s">
        <v>58</v>
      </c>
      <c r="F3237" s="81" t="s">
        <v>4099</v>
      </c>
      <c r="G3237" s="125" t="s">
        <v>4956</v>
      </c>
      <c r="H3237" s="81" t="s">
        <v>5349</v>
      </c>
      <c r="I3237" s="149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77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1">
        <v>3232.0</v>
      </c>
      <c r="B3238" s="180" t="s">
        <v>5408</v>
      </c>
      <c r="C3238" s="82" t="str">
        <f>VLOOKUP($B$7:$B$5000,SUM!$L$6:$L$500,1,FALSE)</f>
        <v>#N/A</v>
      </c>
      <c r="D3238" s="171" t="s">
        <v>5306</v>
      </c>
      <c r="E3238" s="165" t="s">
        <v>58</v>
      </c>
      <c r="F3238" s="81" t="s">
        <v>4099</v>
      </c>
      <c r="G3238" s="125" t="s">
        <v>4956</v>
      </c>
      <c r="H3238" s="81" t="s">
        <v>5351</v>
      </c>
      <c r="I3238" s="149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77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1">
        <v>3233.0</v>
      </c>
      <c r="B3239" s="180" t="s">
        <v>5409</v>
      </c>
      <c r="C3239" s="82" t="str">
        <f>VLOOKUP($B$7:$B$5000,SUM!$L$6:$L$500,1,FALSE)</f>
        <v>#N/A</v>
      </c>
      <c r="D3239" s="171" t="s">
        <v>5306</v>
      </c>
      <c r="E3239" s="165" t="s">
        <v>58</v>
      </c>
      <c r="F3239" s="81" t="s">
        <v>4099</v>
      </c>
      <c r="G3239" s="125" t="s">
        <v>4956</v>
      </c>
      <c r="H3239" s="81" t="s">
        <v>5353</v>
      </c>
      <c r="I3239" s="149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77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1">
        <v>3234.0</v>
      </c>
      <c r="B3240" s="180" t="s">
        <v>5410</v>
      </c>
      <c r="C3240" s="82" t="str">
        <f>VLOOKUP($B$7:$B$5000,SUM!$L$6:$L$500,1,FALSE)</f>
        <v>#N/A</v>
      </c>
      <c r="D3240" s="171" t="s">
        <v>5306</v>
      </c>
      <c r="E3240" s="165" t="s">
        <v>58</v>
      </c>
      <c r="F3240" s="81" t="s">
        <v>4099</v>
      </c>
      <c r="G3240" s="125" t="s">
        <v>4956</v>
      </c>
      <c r="H3240" s="81" t="s">
        <v>5355</v>
      </c>
      <c r="I3240" s="149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77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1">
        <v>3235.0</v>
      </c>
      <c r="B3241" s="180" t="s">
        <v>5411</v>
      </c>
      <c r="C3241" s="82" t="str">
        <f>VLOOKUP($B$7:$B$5000,SUM!$L$6:$L$500,1,FALSE)</f>
        <v>#N/A</v>
      </c>
      <c r="D3241" s="171" t="s">
        <v>5306</v>
      </c>
      <c r="E3241" s="165" t="s">
        <v>58</v>
      </c>
      <c r="F3241" s="81" t="s">
        <v>4099</v>
      </c>
      <c r="G3241" s="125" t="s">
        <v>4956</v>
      </c>
      <c r="H3241" s="81" t="s">
        <v>5357</v>
      </c>
      <c r="I3241" s="149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77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1">
        <v>3236.0</v>
      </c>
      <c r="B3242" s="180" t="s">
        <v>5412</v>
      </c>
      <c r="C3242" s="82" t="str">
        <f>VLOOKUP($B$7:$B$5000,SUM!$L$6:$L$500,1,FALSE)</f>
        <v>#N/A</v>
      </c>
      <c r="D3242" s="171" t="s">
        <v>5306</v>
      </c>
      <c r="E3242" s="165" t="s">
        <v>58</v>
      </c>
      <c r="F3242" s="81" t="s">
        <v>4099</v>
      </c>
      <c r="G3242" s="125" t="s">
        <v>5307</v>
      </c>
      <c r="H3242" s="81" t="s">
        <v>5308</v>
      </c>
      <c r="I3242" s="149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77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1">
        <v>3237.0</v>
      </c>
      <c r="B3243" s="180" t="s">
        <v>5414</v>
      </c>
      <c r="C3243" s="82" t="str">
        <f>VLOOKUP($B$7:$B$5000,SUM!$L$6:$L$500,1,FALSE)</f>
        <v>#N/A</v>
      </c>
      <c r="D3243" s="171" t="s">
        <v>5306</v>
      </c>
      <c r="E3243" s="165" t="s">
        <v>58</v>
      </c>
      <c r="F3243" s="81" t="s">
        <v>4099</v>
      </c>
      <c r="G3243" s="125" t="s">
        <v>5307</v>
      </c>
      <c r="H3243" s="81" t="s">
        <v>5310</v>
      </c>
      <c r="I3243" s="149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77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1">
        <v>3238.0</v>
      </c>
      <c r="B3244" s="180" t="s">
        <v>5415</v>
      </c>
      <c r="C3244" s="82" t="str">
        <f>VLOOKUP($B$7:$B$5000,SUM!$L$6:$L$500,1,FALSE)</f>
        <v>#N/A</v>
      </c>
      <c r="D3244" s="171" t="s">
        <v>5306</v>
      </c>
      <c r="E3244" s="165" t="s">
        <v>58</v>
      </c>
      <c r="F3244" s="81" t="s">
        <v>4099</v>
      </c>
      <c r="G3244" s="125" t="s">
        <v>5307</v>
      </c>
      <c r="H3244" s="81" t="s">
        <v>5312</v>
      </c>
      <c r="I3244" s="149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77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1">
        <v>3239.0</v>
      </c>
      <c r="B3245" s="180" t="s">
        <v>5416</v>
      </c>
      <c r="C3245" s="82" t="str">
        <f>VLOOKUP($B$7:$B$5000,SUM!$L$6:$L$500,1,FALSE)</f>
        <v>#N/A</v>
      </c>
      <c r="D3245" s="171" t="s">
        <v>5306</v>
      </c>
      <c r="E3245" s="165" t="s">
        <v>58</v>
      </c>
      <c r="F3245" s="81" t="s">
        <v>4099</v>
      </c>
      <c r="G3245" s="125" t="s">
        <v>5307</v>
      </c>
      <c r="H3245" s="81" t="s">
        <v>5314</v>
      </c>
      <c r="I3245" s="149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77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1">
        <v>3240.0</v>
      </c>
      <c r="B3246" s="180" t="s">
        <v>5417</v>
      </c>
      <c r="C3246" s="82" t="str">
        <f>VLOOKUP($B$7:$B$5000,SUM!$L$6:$L$500,1,FALSE)</f>
        <v>#N/A</v>
      </c>
      <c r="D3246" s="171" t="s">
        <v>5306</v>
      </c>
      <c r="E3246" s="165" t="s">
        <v>58</v>
      </c>
      <c r="F3246" s="81" t="s">
        <v>4099</v>
      </c>
      <c r="G3246" s="125" t="s">
        <v>5307</v>
      </c>
      <c r="H3246" s="81" t="s">
        <v>5316</v>
      </c>
      <c r="I3246" s="149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77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1">
        <v>3241.0</v>
      </c>
      <c r="B3247" s="180" t="s">
        <v>5418</v>
      </c>
      <c r="C3247" s="82" t="str">
        <f>VLOOKUP($B$7:$B$5000,SUM!$L$6:$L$500,1,FALSE)</f>
        <v>#N/A</v>
      </c>
      <c r="D3247" s="171" t="s">
        <v>5306</v>
      </c>
      <c r="E3247" s="165" t="s">
        <v>58</v>
      </c>
      <c r="F3247" s="81" t="s">
        <v>4099</v>
      </c>
      <c r="G3247" s="125" t="s">
        <v>5307</v>
      </c>
      <c r="H3247" s="81" t="s">
        <v>5318</v>
      </c>
      <c r="I3247" s="149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77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1">
        <v>3242.0</v>
      </c>
      <c r="B3248" s="180" t="s">
        <v>5419</v>
      </c>
      <c r="C3248" s="82" t="str">
        <f>VLOOKUP($B$7:$B$5000,SUM!$L$6:$L$500,1,FALSE)</f>
        <v>#N/A</v>
      </c>
      <c r="D3248" s="171" t="s">
        <v>5306</v>
      </c>
      <c r="E3248" s="165" t="s">
        <v>58</v>
      </c>
      <c r="F3248" s="81" t="s">
        <v>4099</v>
      </c>
      <c r="G3248" s="125" t="s">
        <v>5307</v>
      </c>
      <c r="H3248" s="81" t="s">
        <v>5330</v>
      </c>
      <c r="I3248" s="149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77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1">
        <v>3243.0</v>
      </c>
      <c r="B3249" s="180" t="s">
        <v>5421</v>
      </c>
      <c r="C3249" s="82" t="str">
        <f>VLOOKUP($B$7:$B$5000,SUM!$L$6:$L$500,1,FALSE)</f>
        <v>#N/A</v>
      </c>
      <c r="D3249" s="171" t="s">
        <v>5306</v>
      </c>
      <c r="E3249" s="165" t="s">
        <v>58</v>
      </c>
      <c r="F3249" s="81" t="s">
        <v>4099</v>
      </c>
      <c r="G3249" s="125" t="s">
        <v>5307</v>
      </c>
      <c r="H3249" s="81" t="s">
        <v>5332</v>
      </c>
      <c r="I3249" s="149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77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1">
        <v>3244.0</v>
      </c>
      <c r="B3250" s="180" t="s">
        <v>5422</v>
      </c>
      <c r="C3250" s="82" t="str">
        <f>VLOOKUP($B$7:$B$5000,SUM!$L$6:$L$500,1,FALSE)</f>
        <v>#N/A</v>
      </c>
      <c r="D3250" s="171" t="s">
        <v>5306</v>
      </c>
      <c r="E3250" s="165" t="s">
        <v>58</v>
      </c>
      <c r="F3250" s="81" t="s">
        <v>4099</v>
      </c>
      <c r="G3250" s="125" t="s">
        <v>5307</v>
      </c>
      <c r="H3250" s="81" t="s">
        <v>5334</v>
      </c>
      <c r="I3250" s="149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77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1">
        <v>3245.0</v>
      </c>
      <c r="B3251" s="180" t="s">
        <v>5423</v>
      </c>
      <c r="C3251" s="82" t="str">
        <f>VLOOKUP($B$7:$B$5000,SUM!$L$6:$L$500,1,FALSE)</f>
        <v>#N/A</v>
      </c>
      <c r="D3251" s="171" t="s">
        <v>5306</v>
      </c>
      <c r="E3251" s="165" t="s">
        <v>58</v>
      </c>
      <c r="F3251" s="81" t="s">
        <v>4099</v>
      </c>
      <c r="G3251" s="125" t="s">
        <v>5307</v>
      </c>
      <c r="H3251" s="81" t="s">
        <v>5336</v>
      </c>
      <c r="I3251" s="149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77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1">
        <v>3246.0</v>
      </c>
      <c r="B3252" s="180" t="s">
        <v>5424</v>
      </c>
      <c r="C3252" s="82" t="str">
        <f>VLOOKUP($B$7:$B$5000,SUM!$L$6:$L$500,1,FALSE)</f>
        <v>#N/A</v>
      </c>
      <c r="D3252" s="171" t="s">
        <v>5306</v>
      </c>
      <c r="E3252" s="165" t="s">
        <v>58</v>
      </c>
      <c r="F3252" s="81" t="s">
        <v>4099</v>
      </c>
      <c r="G3252" s="125" t="s">
        <v>5307</v>
      </c>
      <c r="H3252" s="81" t="s">
        <v>5338</v>
      </c>
      <c r="I3252" s="149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77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1">
        <v>3247.0</v>
      </c>
      <c r="B3253" s="180" t="s">
        <v>5425</v>
      </c>
      <c r="C3253" s="82" t="str">
        <f>VLOOKUP($B$7:$B$5000,SUM!$L$6:$L$500,1,FALSE)</f>
        <v>#N/A</v>
      </c>
      <c r="D3253" s="171" t="s">
        <v>5306</v>
      </c>
      <c r="E3253" s="165" t="s">
        <v>58</v>
      </c>
      <c r="F3253" s="81" t="s">
        <v>4099</v>
      </c>
      <c r="G3253" s="125" t="s">
        <v>5307</v>
      </c>
      <c r="H3253" s="81" t="s">
        <v>5340</v>
      </c>
      <c r="I3253" s="149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77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1">
        <v>3248.0</v>
      </c>
      <c r="B3254" s="180" t="s">
        <v>5426</v>
      </c>
      <c r="C3254" s="82" t="str">
        <f>VLOOKUP($B$7:$B$5000,SUM!$L$6:$L$500,1,FALSE)</f>
        <v>#N/A</v>
      </c>
      <c r="D3254" s="171" t="s">
        <v>5306</v>
      </c>
      <c r="E3254" s="165" t="s">
        <v>58</v>
      </c>
      <c r="F3254" s="81" t="s">
        <v>4099</v>
      </c>
      <c r="G3254" s="125" t="s">
        <v>5307</v>
      </c>
      <c r="H3254" s="81" t="s">
        <v>5342</v>
      </c>
      <c r="I3254" s="149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77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1">
        <v>3249.0</v>
      </c>
      <c r="B3255" s="180" t="s">
        <v>5427</v>
      </c>
      <c r="C3255" s="82" t="str">
        <f>VLOOKUP($B$7:$B$5000,SUM!$L$6:$L$500,1,FALSE)</f>
        <v>#N/A</v>
      </c>
      <c r="D3255" s="171" t="s">
        <v>5306</v>
      </c>
      <c r="E3255" s="165" t="s">
        <v>58</v>
      </c>
      <c r="F3255" s="81" t="s">
        <v>4099</v>
      </c>
      <c r="G3255" s="125" t="s">
        <v>4956</v>
      </c>
      <c r="H3255" s="81" t="s">
        <v>5320</v>
      </c>
      <c r="I3255" s="149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77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1">
        <v>3250.0</v>
      </c>
      <c r="B3256" s="180" t="s">
        <v>5429</v>
      </c>
      <c r="C3256" s="82" t="str">
        <f>VLOOKUP($B$7:$B$5000,SUM!$L$6:$L$500,1,FALSE)</f>
        <v>#N/A</v>
      </c>
      <c r="D3256" s="171" t="s">
        <v>5306</v>
      </c>
      <c r="E3256" s="165" t="s">
        <v>58</v>
      </c>
      <c r="F3256" s="81" t="s">
        <v>4099</v>
      </c>
      <c r="G3256" s="125" t="s">
        <v>4956</v>
      </c>
      <c r="H3256" s="81" t="s">
        <v>5322</v>
      </c>
      <c r="I3256" s="149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77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1">
        <v>3251.0</v>
      </c>
      <c r="B3257" s="180" t="s">
        <v>5430</v>
      </c>
      <c r="C3257" s="82" t="str">
        <f>VLOOKUP($B$7:$B$5000,SUM!$L$6:$L$500,1,FALSE)</f>
        <v>#N/A</v>
      </c>
      <c r="D3257" s="171" t="s">
        <v>5306</v>
      </c>
      <c r="E3257" s="165" t="s">
        <v>58</v>
      </c>
      <c r="F3257" s="81" t="s">
        <v>4099</v>
      </c>
      <c r="G3257" s="125" t="s">
        <v>4956</v>
      </c>
      <c r="H3257" s="81" t="s">
        <v>5324</v>
      </c>
      <c r="I3257" s="149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77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1">
        <v>3252.0</v>
      </c>
      <c r="B3258" s="180" t="s">
        <v>5431</v>
      </c>
      <c r="C3258" s="82" t="str">
        <f>VLOOKUP($B$7:$B$5000,SUM!$L$6:$L$500,1,FALSE)</f>
        <v>#N/A</v>
      </c>
      <c r="D3258" s="171" t="s">
        <v>5306</v>
      </c>
      <c r="E3258" s="165" t="s">
        <v>58</v>
      </c>
      <c r="F3258" s="81" t="s">
        <v>4099</v>
      </c>
      <c r="G3258" s="125" t="s">
        <v>4956</v>
      </c>
      <c r="H3258" s="81" t="s">
        <v>5326</v>
      </c>
      <c r="I3258" s="149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77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1">
        <v>3253.0</v>
      </c>
      <c r="B3259" s="180" t="s">
        <v>5432</v>
      </c>
      <c r="C3259" s="82" t="str">
        <f>VLOOKUP($B$7:$B$5000,SUM!$L$6:$L$500,1,FALSE)</f>
        <v>#N/A</v>
      </c>
      <c r="D3259" s="171" t="s">
        <v>5306</v>
      </c>
      <c r="E3259" s="165" t="s">
        <v>58</v>
      </c>
      <c r="F3259" s="81" t="s">
        <v>4099</v>
      </c>
      <c r="G3259" s="125" t="s">
        <v>4956</v>
      </c>
      <c r="H3259" s="81" t="s">
        <v>5328</v>
      </c>
      <c r="I3259" s="149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77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1">
        <v>3254.0</v>
      </c>
      <c r="B3260" s="180" t="s">
        <v>5433</v>
      </c>
      <c r="C3260" s="82" t="str">
        <f>VLOOKUP($B$7:$B$5000,SUM!$L$6:$L$500,1,FALSE)</f>
        <v>#N/A</v>
      </c>
      <c r="D3260" s="171" t="s">
        <v>5306</v>
      </c>
      <c r="E3260" s="165" t="s">
        <v>58</v>
      </c>
      <c r="F3260" s="81" t="s">
        <v>4099</v>
      </c>
      <c r="G3260" s="125" t="s">
        <v>5344</v>
      </c>
      <c r="H3260" s="81" t="s">
        <v>5345</v>
      </c>
      <c r="I3260" s="149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77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1">
        <v>3255.0</v>
      </c>
      <c r="B3261" s="180" t="s">
        <v>5434</v>
      </c>
      <c r="C3261" s="82" t="str">
        <f>VLOOKUP($B$7:$B$5000,SUM!$L$6:$L$500,1,FALSE)</f>
        <v>#N/A</v>
      </c>
      <c r="D3261" s="171" t="s">
        <v>5306</v>
      </c>
      <c r="E3261" s="165" t="s">
        <v>58</v>
      </c>
      <c r="F3261" s="81" t="s">
        <v>4099</v>
      </c>
      <c r="G3261" s="125" t="s">
        <v>5344</v>
      </c>
      <c r="H3261" s="81" t="s">
        <v>5347</v>
      </c>
      <c r="I3261" s="149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77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1">
        <v>3256.0</v>
      </c>
      <c r="B3262" s="180" t="s">
        <v>5436</v>
      </c>
      <c r="C3262" s="82" t="str">
        <f>VLOOKUP($B$7:$B$5000,SUM!$L$6:$L$500,1,FALSE)</f>
        <v>#N/A</v>
      </c>
      <c r="D3262" s="171" t="s">
        <v>5306</v>
      </c>
      <c r="E3262" s="165" t="s">
        <v>58</v>
      </c>
      <c r="F3262" s="81" t="s">
        <v>4099</v>
      </c>
      <c r="G3262" s="125" t="s">
        <v>4956</v>
      </c>
      <c r="H3262" s="81" t="s">
        <v>5349</v>
      </c>
      <c r="I3262" s="149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77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1">
        <v>3257.0</v>
      </c>
      <c r="B3263" s="180" t="s">
        <v>5437</v>
      </c>
      <c r="C3263" s="82" t="str">
        <f>VLOOKUP($B$7:$B$5000,SUM!$L$6:$L$500,1,FALSE)</f>
        <v>#N/A</v>
      </c>
      <c r="D3263" s="171" t="s">
        <v>5306</v>
      </c>
      <c r="E3263" s="165" t="s">
        <v>58</v>
      </c>
      <c r="F3263" s="81" t="s">
        <v>4099</v>
      </c>
      <c r="G3263" s="125" t="s">
        <v>4956</v>
      </c>
      <c r="H3263" s="81" t="s">
        <v>5351</v>
      </c>
      <c r="I3263" s="149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77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1">
        <v>3258.0</v>
      </c>
      <c r="B3264" s="180" t="s">
        <v>5438</v>
      </c>
      <c r="C3264" s="82" t="str">
        <f>VLOOKUP($B$7:$B$5000,SUM!$L$6:$L$500,1,FALSE)</f>
        <v>#N/A</v>
      </c>
      <c r="D3264" s="171" t="s">
        <v>5306</v>
      </c>
      <c r="E3264" s="165" t="s">
        <v>58</v>
      </c>
      <c r="F3264" s="81" t="s">
        <v>4099</v>
      </c>
      <c r="G3264" s="125" t="s">
        <v>4956</v>
      </c>
      <c r="H3264" s="81" t="s">
        <v>5353</v>
      </c>
      <c r="I3264" s="149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77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1">
        <v>3259.0</v>
      </c>
      <c r="B3265" s="180" t="s">
        <v>5439</v>
      </c>
      <c r="C3265" s="82" t="str">
        <f>VLOOKUP($B$7:$B$5000,SUM!$L$6:$L$500,1,FALSE)</f>
        <v>#N/A</v>
      </c>
      <c r="D3265" s="171" t="s">
        <v>5306</v>
      </c>
      <c r="E3265" s="165" t="s">
        <v>58</v>
      </c>
      <c r="F3265" s="81" t="s">
        <v>4099</v>
      </c>
      <c r="G3265" s="125" t="s">
        <v>4956</v>
      </c>
      <c r="H3265" s="81" t="s">
        <v>5355</v>
      </c>
      <c r="I3265" s="149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77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1">
        <v>3260.0</v>
      </c>
      <c r="B3266" s="180" t="s">
        <v>5440</v>
      </c>
      <c r="C3266" s="82" t="str">
        <f>VLOOKUP($B$7:$B$5000,SUM!$L$6:$L$500,1,FALSE)</f>
        <v>#N/A</v>
      </c>
      <c r="D3266" s="171" t="s">
        <v>5306</v>
      </c>
      <c r="E3266" s="165" t="s">
        <v>58</v>
      </c>
      <c r="F3266" s="81" t="s">
        <v>4099</v>
      </c>
      <c r="G3266" s="125" t="s">
        <v>4956</v>
      </c>
      <c r="H3266" s="81" t="s">
        <v>5357</v>
      </c>
      <c r="I3266" s="149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77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1">
        <v>3261.0</v>
      </c>
      <c r="B3267" s="180" t="s">
        <v>5441</v>
      </c>
      <c r="C3267" s="82" t="str">
        <f>VLOOKUP($B$7:$B$5000,SUM!$L$6:$L$500,1,FALSE)</f>
        <v>#N/A</v>
      </c>
      <c r="D3267" s="190" t="s">
        <v>5442</v>
      </c>
      <c r="E3267" s="165" t="s">
        <v>58</v>
      </c>
      <c r="F3267" s="81" t="s">
        <v>4749</v>
      </c>
      <c r="G3267" s="191" t="s">
        <v>5443</v>
      </c>
      <c r="H3267" s="192" t="s">
        <v>5444</v>
      </c>
      <c r="I3267" s="87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3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1">
        <v>3262.0</v>
      </c>
      <c r="B3268" s="180" t="s">
        <v>5445</v>
      </c>
      <c r="C3268" s="82" t="str">
        <f>VLOOKUP($B$7:$B$5000,SUM!$L$6:$L$500,1,FALSE)</f>
        <v>#N/A</v>
      </c>
      <c r="D3268" s="190" t="s">
        <v>5442</v>
      </c>
      <c r="E3268" s="165" t="s">
        <v>58</v>
      </c>
      <c r="F3268" s="81" t="s">
        <v>4749</v>
      </c>
      <c r="G3268" s="191" t="s">
        <v>5443</v>
      </c>
      <c r="H3268" s="192" t="s">
        <v>5446</v>
      </c>
      <c r="I3268" s="87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3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1">
        <v>3263.0</v>
      </c>
      <c r="B3269" s="180" t="s">
        <v>5447</v>
      </c>
      <c r="C3269" s="82" t="str">
        <f>VLOOKUP($B$7:$B$5000,SUM!$L$6:$L$500,1,FALSE)</f>
        <v>#N/A</v>
      </c>
      <c r="D3269" s="190" t="s">
        <v>5442</v>
      </c>
      <c r="E3269" s="165" t="s">
        <v>58</v>
      </c>
      <c r="F3269" s="81" t="s">
        <v>4749</v>
      </c>
      <c r="G3269" s="191" t="s">
        <v>5443</v>
      </c>
      <c r="H3269" s="192" t="s">
        <v>5448</v>
      </c>
      <c r="I3269" s="87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3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1">
        <v>3264.0</v>
      </c>
      <c r="B3270" s="180" t="s">
        <v>5449</v>
      </c>
      <c r="C3270" s="82" t="str">
        <f>VLOOKUP($B$7:$B$5000,SUM!$L$6:$L$500,1,FALSE)</f>
        <v>#N/A</v>
      </c>
      <c r="D3270" s="190" t="s">
        <v>5442</v>
      </c>
      <c r="E3270" s="165" t="s">
        <v>58</v>
      </c>
      <c r="F3270" s="81" t="s">
        <v>4749</v>
      </c>
      <c r="G3270" s="191" t="s">
        <v>5443</v>
      </c>
      <c r="H3270" s="192" t="s">
        <v>5450</v>
      </c>
      <c r="I3270" s="87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3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1">
        <v>3265.0</v>
      </c>
      <c r="B3271" s="180" t="s">
        <v>5451</v>
      </c>
      <c r="C3271" s="82" t="str">
        <f>VLOOKUP($B$7:$B$5000,SUM!$L$6:$L$500,1,FALSE)</f>
        <v>#N/A</v>
      </c>
      <c r="D3271" s="190" t="s">
        <v>5442</v>
      </c>
      <c r="E3271" s="165" t="s">
        <v>58</v>
      </c>
      <c r="F3271" s="81" t="s">
        <v>4749</v>
      </c>
      <c r="G3271" s="191" t="s">
        <v>4956</v>
      </c>
      <c r="H3271" s="192" t="s">
        <v>5452</v>
      </c>
      <c r="I3271" s="87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3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1">
        <v>3266.0</v>
      </c>
      <c r="B3272" s="180" t="s">
        <v>5453</v>
      </c>
      <c r="C3272" s="82" t="str">
        <f>VLOOKUP($B$7:$B$5000,SUM!$L$6:$L$500,1,FALSE)</f>
        <v>#N/A</v>
      </c>
      <c r="D3272" s="190" t="s">
        <v>5442</v>
      </c>
      <c r="E3272" s="165" t="s">
        <v>58</v>
      </c>
      <c r="F3272" s="81" t="s">
        <v>4749</v>
      </c>
      <c r="G3272" s="191" t="s">
        <v>4956</v>
      </c>
      <c r="H3272" s="192" t="s">
        <v>5454</v>
      </c>
      <c r="I3272" s="87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3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1">
        <v>3267.0</v>
      </c>
      <c r="B3273" s="180" t="s">
        <v>5455</v>
      </c>
      <c r="C3273" s="82" t="str">
        <f>VLOOKUP($B$7:$B$5000,SUM!$L$6:$L$500,1,FALSE)</f>
        <v>#N/A</v>
      </c>
      <c r="D3273" s="190" t="s">
        <v>5442</v>
      </c>
      <c r="E3273" s="165" t="s">
        <v>58</v>
      </c>
      <c r="F3273" s="81" t="s">
        <v>4749</v>
      </c>
      <c r="G3273" s="191" t="s">
        <v>4956</v>
      </c>
      <c r="H3273" s="192" t="s">
        <v>5456</v>
      </c>
      <c r="I3273" s="87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3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1">
        <v>3268.0</v>
      </c>
      <c r="B3274" s="180" t="s">
        <v>5457</v>
      </c>
      <c r="C3274" s="82" t="str">
        <f>VLOOKUP($B$7:$B$5000,SUM!$L$6:$L$500,1,FALSE)</f>
        <v>#N/A</v>
      </c>
      <c r="D3274" s="190" t="s">
        <v>5442</v>
      </c>
      <c r="E3274" s="165" t="s">
        <v>58</v>
      </c>
      <c r="F3274" s="81" t="s">
        <v>4749</v>
      </c>
      <c r="G3274" s="191" t="s">
        <v>5443</v>
      </c>
      <c r="H3274" s="192" t="s">
        <v>5444</v>
      </c>
      <c r="I3274" s="87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3">
        <v>46170.0</v>
      </c>
      <c r="O3274" s="103" t="s">
        <v>67</v>
      </c>
      <c r="P3274" s="103" t="s">
        <v>68</v>
      </c>
      <c r="Q3274" s="151">
        <v>46172.0</v>
      </c>
      <c r="R3274" s="107" t="s">
        <v>66</v>
      </c>
      <c r="S3274" s="107" t="s">
        <v>227</v>
      </c>
      <c r="T3274" s="108"/>
      <c r="U3274" s="107" t="s">
        <v>31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1">
        <v>3269.0</v>
      </c>
      <c r="B3275" s="180" t="s">
        <v>5458</v>
      </c>
      <c r="C3275" s="82" t="str">
        <f>VLOOKUP($B$7:$B$5000,SUM!$L$6:$L$500,1,FALSE)</f>
        <v>#N/A</v>
      </c>
      <c r="D3275" s="190" t="s">
        <v>5442</v>
      </c>
      <c r="E3275" s="165" t="s">
        <v>58</v>
      </c>
      <c r="F3275" s="81" t="s">
        <v>4749</v>
      </c>
      <c r="G3275" s="191" t="s">
        <v>5443</v>
      </c>
      <c r="H3275" s="192" t="s">
        <v>5446</v>
      </c>
      <c r="I3275" s="87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3">
        <v>46170.0</v>
      </c>
      <c r="O3275" s="103" t="s">
        <v>67</v>
      </c>
      <c r="P3275" s="103" t="s">
        <v>68</v>
      </c>
      <c r="Q3275" s="151">
        <v>46172.0</v>
      </c>
      <c r="R3275" s="107" t="s">
        <v>66</v>
      </c>
      <c r="S3275" s="107" t="s">
        <v>227</v>
      </c>
      <c r="T3275" s="108"/>
      <c r="U3275" s="107" t="s">
        <v>31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1">
        <v>3270.0</v>
      </c>
      <c r="B3276" s="180" t="s">
        <v>5459</v>
      </c>
      <c r="C3276" s="82" t="str">
        <f>VLOOKUP($B$7:$B$5000,SUM!$L$6:$L$500,1,FALSE)</f>
        <v>#N/A</v>
      </c>
      <c r="D3276" s="190" t="s">
        <v>5442</v>
      </c>
      <c r="E3276" s="165" t="s">
        <v>58</v>
      </c>
      <c r="F3276" s="81" t="s">
        <v>4749</v>
      </c>
      <c r="G3276" s="191" t="s">
        <v>5443</v>
      </c>
      <c r="H3276" s="192" t="s">
        <v>5448</v>
      </c>
      <c r="I3276" s="87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3">
        <v>46170.0</v>
      </c>
      <c r="O3276" s="103" t="s">
        <v>67</v>
      </c>
      <c r="P3276" s="103" t="s">
        <v>68</v>
      </c>
      <c r="Q3276" s="151">
        <v>46172.0</v>
      </c>
      <c r="R3276" s="107" t="s">
        <v>66</v>
      </c>
      <c r="S3276" s="107" t="s">
        <v>227</v>
      </c>
      <c r="T3276" s="108"/>
      <c r="U3276" s="107" t="s">
        <v>31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1">
        <v>3271.0</v>
      </c>
      <c r="B3277" s="180" t="s">
        <v>5460</v>
      </c>
      <c r="C3277" s="82" t="str">
        <f>VLOOKUP($B$7:$B$5000,SUM!$L$6:$L$500,1,FALSE)</f>
        <v>#N/A</v>
      </c>
      <c r="D3277" s="190" t="s">
        <v>5442</v>
      </c>
      <c r="E3277" s="165" t="s">
        <v>58</v>
      </c>
      <c r="F3277" s="81" t="s">
        <v>4749</v>
      </c>
      <c r="G3277" s="191" t="s">
        <v>5443</v>
      </c>
      <c r="H3277" s="192" t="s">
        <v>5450</v>
      </c>
      <c r="I3277" s="87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3">
        <v>46170.0</v>
      </c>
      <c r="O3277" s="103" t="s">
        <v>67</v>
      </c>
      <c r="P3277" s="103" t="s">
        <v>68</v>
      </c>
      <c r="Q3277" s="151">
        <v>46172.0</v>
      </c>
      <c r="R3277" s="107" t="s">
        <v>66</v>
      </c>
      <c r="S3277" s="107" t="s">
        <v>227</v>
      </c>
      <c r="T3277" s="108"/>
      <c r="U3277" s="107" t="s">
        <v>31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1">
        <v>3272.0</v>
      </c>
      <c r="B3278" s="180" t="s">
        <v>5461</v>
      </c>
      <c r="C3278" s="82" t="str">
        <f>VLOOKUP($B$7:$B$5000,SUM!$L$6:$L$500,1,FALSE)</f>
        <v>#N/A</v>
      </c>
      <c r="D3278" s="190" t="s">
        <v>5442</v>
      </c>
      <c r="E3278" s="165" t="s">
        <v>58</v>
      </c>
      <c r="F3278" s="81" t="s">
        <v>4749</v>
      </c>
      <c r="G3278" s="191" t="s">
        <v>4956</v>
      </c>
      <c r="H3278" s="192" t="s">
        <v>5452</v>
      </c>
      <c r="I3278" s="87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3">
        <v>46170.0</v>
      </c>
      <c r="O3278" s="103" t="s">
        <v>67</v>
      </c>
      <c r="P3278" s="103" t="s">
        <v>68</v>
      </c>
      <c r="Q3278" s="194">
        <v>46178.0</v>
      </c>
      <c r="R3278" s="154" t="s">
        <v>66</v>
      </c>
      <c r="S3278" s="173">
        <v>46189.0</v>
      </c>
      <c r="T3278" s="195"/>
      <c r="U3278" s="196" t="s">
        <v>31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1">
        <v>3273.0</v>
      </c>
      <c r="B3279" s="180" t="s">
        <v>5462</v>
      </c>
      <c r="C3279" s="82" t="str">
        <f>VLOOKUP($B$7:$B$5000,SUM!$L$6:$L$500,1,FALSE)</f>
        <v>#N/A</v>
      </c>
      <c r="D3279" s="190" t="s">
        <v>5442</v>
      </c>
      <c r="E3279" s="165" t="s">
        <v>58</v>
      </c>
      <c r="F3279" s="81" t="s">
        <v>4749</v>
      </c>
      <c r="G3279" s="191" t="s">
        <v>4956</v>
      </c>
      <c r="H3279" s="192" t="s">
        <v>5454</v>
      </c>
      <c r="I3279" s="87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3">
        <v>46170.0</v>
      </c>
      <c r="O3279" s="103" t="s">
        <v>67</v>
      </c>
      <c r="P3279" s="103" t="s">
        <v>68</v>
      </c>
      <c r="Q3279" s="194">
        <v>46178.0</v>
      </c>
      <c r="R3279" s="154" t="s">
        <v>66</v>
      </c>
      <c r="S3279" s="173">
        <v>46189.0</v>
      </c>
      <c r="T3279" s="195"/>
      <c r="U3279" s="196" t="s">
        <v>31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1">
        <v>3274.0</v>
      </c>
      <c r="B3280" s="180" t="s">
        <v>5463</v>
      </c>
      <c r="C3280" s="82" t="str">
        <f>VLOOKUP($B$7:$B$5000,SUM!$L$6:$L$500,1,FALSE)</f>
        <v>#N/A</v>
      </c>
      <c r="D3280" s="190" t="s">
        <v>5442</v>
      </c>
      <c r="E3280" s="165" t="s">
        <v>58</v>
      </c>
      <c r="F3280" s="81" t="s">
        <v>4749</v>
      </c>
      <c r="G3280" s="191" t="s">
        <v>4956</v>
      </c>
      <c r="H3280" s="192" t="s">
        <v>5456</v>
      </c>
      <c r="I3280" s="87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3">
        <v>46170.0</v>
      </c>
      <c r="O3280" s="103" t="s">
        <v>67</v>
      </c>
      <c r="P3280" s="103" t="s">
        <v>68</v>
      </c>
      <c r="Q3280" s="194">
        <v>46178.0</v>
      </c>
      <c r="R3280" s="154" t="s">
        <v>66</v>
      </c>
      <c r="S3280" s="173">
        <v>46189.0</v>
      </c>
      <c r="T3280" s="195"/>
      <c r="U3280" s="196" t="s">
        <v>31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1">
        <v>3275.0</v>
      </c>
      <c r="B3281" s="180" t="s">
        <v>5464</v>
      </c>
      <c r="C3281" s="82" t="str">
        <f>VLOOKUP($B$7:$B$5000,SUM!$L$6:$L$500,1,FALSE)</f>
        <v>#N/A</v>
      </c>
      <c r="D3281" s="190" t="s">
        <v>5442</v>
      </c>
      <c r="E3281" s="165" t="s">
        <v>58</v>
      </c>
      <c r="F3281" s="81" t="s">
        <v>4749</v>
      </c>
      <c r="G3281" s="191" t="s">
        <v>5443</v>
      </c>
      <c r="H3281" s="192" t="s">
        <v>5444</v>
      </c>
      <c r="I3281" s="87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3">
        <v>46170.0</v>
      </c>
      <c r="O3281" s="103" t="s">
        <v>67</v>
      </c>
      <c r="P3281" s="103" t="s">
        <v>68</v>
      </c>
      <c r="Q3281" s="151">
        <v>46172.0</v>
      </c>
      <c r="R3281" s="107" t="s">
        <v>66</v>
      </c>
      <c r="S3281" s="107" t="s">
        <v>227</v>
      </c>
      <c r="T3281" s="108"/>
      <c r="U3281" s="107" t="s">
        <v>31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1">
        <v>3276.0</v>
      </c>
      <c r="B3282" s="180" t="s">
        <v>5465</v>
      </c>
      <c r="C3282" s="82" t="str">
        <f>VLOOKUP($B$7:$B$5000,SUM!$L$6:$L$500,1,FALSE)</f>
        <v>#N/A</v>
      </c>
      <c r="D3282" s="190" t="s">
        <v>5442</v>
      </c>
      <c r="E3282" s="165" t="s">
        <v>58</v>
      </c>
      <c r="F3282" s="81" t="s">
        <v>4749</v>
      </c>
      <c r="G3282" s="191" t="s">
        <v>5443</v>
      </c>
      <c r="H3282" s="192" t="s">
        <v>5446</v>
      </c>
      <c r="I3282" s="87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3">
        <v>46170.0</v>
      </c>
      <c r="O3282" s="103" t="s">
        <v>67</v>
      </c>
      <c r="P3282" s="103" t="s">
        <v>68</v>
      </c>
      <c r="Q3282" s="151">
        <v>46172.0</v>
      </c>
      <c r="R3282" s="107" t="s">
        <v>66</v>
      </c>
      <c r="S3282" s="107" t="s">
        <v>227</v>
      </c>
      <c r="T3282" s="108"/>
      <c r="U3282" s="107" t="s">
        <v>31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1">
        <v>3277.0</v>
      </c>
      <c r="B3283" s="180" t="s">
        <v>5466</v>
      </c>
      <c r="C3283" s="82" t="str">
        <f>VLOOKUP($B$7:$B$5000,SUM!$L$6:$L$500,1,FALSE)</f>
        <v>#N/A</v>
      </c>
      <c r="D3283" s="190" t="s">
        <v>5442</v>
      </c>
      <c r="E3283" s="165" t="s">
        <v>58</v>
      </c>
      <c r="F3283" s="81" t="s">
        <v>4749</v>
      </c>
      <c r="G3283" s="191" t="s">
        <v>5443</v>
      </c>
      <c r="H3283" s="192" t="s">
        <v>5448</v>
      </c>
      <c r="I3283" s="87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3">
        <v>46170.0</v>
      </c>
      <c r="O3283" s="103" t="s">
        <v>67</v>
      </c>
      <c r="P3283" s="103" t="s">
        <v>68</v>
      </c>
      <c r="Q3283" s="151">
        <v>46172.0</v>
      </c>
      <c r="R3283" s="107" t="s">
        <v>66</v>
      </c>
      <c r="S3283" s="107" t="s">
        <v>227</v>
      </c>
      <c r="T3283" s="108"/>
      <c r="U3283" s="107" t="s">
        <v>31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1">
        <v>3278.0</v>
      </c>
      <c r="B3284" s="180" t="s">
        <v>5467</v>
      </c>
      <c r="C3284" s="82" t="str">
        <f>VLOOKUP($B$7:$B$5000,SUM!$L$6:$L$500,1,FALSE)</f>
        <v>#N/A</v>
      </c>
      <c r="D3284" s="190" t="s">
        <v>5442</v>
      </c>
      <c r="E3284" s="165" t="s">
        <v>58</v>
      </c>
      <c r="F3284" s="81" t="s">
        <v>4749</v>
      </c>
      <c r="G3284" s="191" t="s">
        <v>5443</v>
      </c>
      <c r="H3284" s="192" t="s">
        <v>5450</v>
      </c>
      <c r="I3284" s="149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3">
        <v>46170.0</v>
      </c>
      <c r="O3284" s="103" t="s">
        <v>67</v>
      </c>
      <c r="P3284" s="103" t="s">
        <v>68</v>
      </c>
      <c r="Q3284" s="151">
        <v>46172.0</v>
      </c>
      <c r="R3284" s="107" t="s">
        <v>66</v>
      </c>
      <c r="S3284" s="107" t="s">
        <v>227</v>
      </c>
      <c r="T3284" s="108"/>
      <c r="U3284" s="107" t="s">
        <v>31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1">
        <v>3279.0</v>
      </c>
      <c r="B3285" s="180" t="s">
        <v>5468</v>
      </c>
      <c r="C3285" s="82" t="str">
        <f>VLOOKUP($B$7:$B$5000,SUM!$L$6:$L$500,1,FALSE)</f>
        <v>#N/A</v>
      </c>
      <c r="D3285" s="190" t="s">
        <v>5442</v>
      </c>
      <c r="E3285" s="165" t="s">
        <v>58</v>
      </c>
      <c r="F3285" s="81" t="s">
        <v>4749</v>
      </c>
      <c r="G3285" s="191" t="s">
        <v>4956</v>
      </c>
      <c r="H3285" s="192" t="s">
        <v>5452</v>
      </c>
      <c r="I3285" s="149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3">
        <v>46170.0</v>
      </c>
      <c r="O3285" s="103" t="s">
        <v>67</v>
      </c>
      <c r="P3285" s="103" t="s">
        <v>68</v>
      </c>
      <c r="Q3285" s="194">
        <v>46178.0</v>
      </c>
      <c r="R3285" s="154" t="s">
        <v>66</v>
      </c>
      <c r="S3285" s="173">
        <v>46189.0</v>
      </c>
      <c r="T3285" s="195"/>
      <c r="U3285" s="196" t="s">
        <v>31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1">
        <v>3280.0</v>
      </c>
      <c r="B3286" s="180" t="s">
        <v>5469</v>
      </c>
      <c r="C3286" s="82" t="str">
        <f>VLOOKUP($B$7:$B$5000,SUM!$L$6:$L$500,1,FALSE)</f>
        <v>#N/A</v>
      </c>
      <c r="D3286" s="190" t="s">
        <v>5442</v>
      </c>
      <c r="E3286" s="165" t="s">
        <v>58</v>
      </c>
      <c r="F3286" s="81" t="s">
        <v>4749</v>
      </c>
      <c r="G3286" s="191" t="s">
        <v>4956</v>
      </c>
      <c r="H3286" s="192" t="s">
        <v>5454</v>
      </c>
      <c r="I3286" s="149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3">
        <v>46170.0</v>
      </c>
      <c r="O3286" s="103" t="s">
        <v>67</v>
      </c>
      <c r="P3286" s="103" t="s">
        <v>68</v>
      </c>
      <c r="Q3286" s="194">
        <v>46178.0</v>
      </c>
      <c r="R3286" s="154" t="s">
        <v>66</v>
      </c>
      <c r="S3286" s="173">
        <v>46189.0</v>
      </c>
      <c r="T3286" s="195"/>
      <c r="U3286" s="196" t="s">
        <v>31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1">
        <v>3281.0</v>
      </c>
      <c r="B3287" s="180" t="s">
        <v>5470</v>
      </c>
      <c r="C3287" s="82" t="str">
        <f>VLOOKUP($B$7:$B$5000,SUM!$L$6:$L$500,1,FALSE)</f>
        <v>#N/A</v>
      </c>
      <c r="D3287" s="190" t="s">
        <v>5442</v>
      </c>
      <c r="E3287" s="165" t="s">
        <v>58</v>
      </c>
      <c r="F3287" s="81" t="s">
        <v>4749</v>
      </c>
      <c r="G3287" s="191" t="s">
        <v>4956</v>
      </c>
      <c r="H3287" s="192" t="s">
        <v>5456</v>
      </c>
      <c r="I3287" s="149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3">
        <v>46170.0</v>
      </c>
      <c r="O3287" s="103" t="s">
        <v>67</v>
      </c>
      <c r="P3287" s="103" t="s">
        <v>68</v>
      </c>
      <c r="Q3287" s="194">
        <v>46178.0</v>
      </c>
      <c r="R3287" s="154" t="s">
        <v>66</v>
      </c>
      <c r="S3287" s="173">
        <v>46189.0</v>
      </c>
      <c r="T3287" s="195"/>
      <c r="U3287" s="196" t="s">
        <v>31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1">
        <v>3282.0</v>
      </c>
      <c r="B3288" s="180" t="s">
        <v>5471</v>
      </c>
      <c r="C3288" s="82" t="str">
        <f>VLOOKUP($B$7:$B$5000,SUM!$L$6:$L$500,1,FALSE)</f>
        <v>#N/A</v>
      </c>
      <c r="D3288" s="190" t="s">
        <v>5442</v>
      </c>
      <c r="E3288" s="165" t="s">
        <v>58</v>
      </c>
      <c r="F3288" s="81" t="s">
        <v>4749</v>
      </c>
      <c r="G3288" s="191" t="s">
        <v>5443</v>
      </c>
      <c r="H3288" s="192" t="s">
        <v>5446</v>
      </c>
      <c r="I3288" s="197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3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1">
        <v>3283.0</v>
      </c>
      <c r="B3289" s="180" t="s">
        <v>5473</v>
      </c>
      <c r="C3289" s="82" t="str">
        <f>VLOOKUP($B$7:$B$5000,SUM!$L$6:$L$500,1,FALSE)</f>
        <v>#N/A</v>
      </c>
      <c r="D3289" s="190" t="s">
        <v>5442</v>
      </c>
      <c r="E3289" s="165" t="s">
        <v>58</v>
      </c>
      <c r="F3289" s="81" t="s">
        <v>4749</v>
      </c>
      <c r="G3289" s="191" t="s">
        <v>5443</v>
      </c>
      <c r="H3289" s="192" t="s">
        <v>5450</v>
      </c>
      <c r="I3289" s="197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3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1">
        <v>3284.0</v>
      </c>
      <c r="B3290" s="180" t="s">
        <v>5475</v>
      </c>
      <c r="C3290" s="82" t="str">
        <f>VLOOKUP($B$7:$B$5000,SUM!$L$6:$L$500,1,FALSE)</f>
        <v>#N/A</v>
      </c>
      <c r="D3290" s="190" t="s">
        <v>5476</v>
      </c>
      <c r="E3290" s="198" t="s">
        <v>58</v>
      </c>
      <c r="F3290" s="199" t="s">
        <v>5477</v>
      </c>
      <c r="G3290" s="191" t="s">
        <v>2118</v>
      </c>
      <c r="H3290" s="199" t="s">
        <v>5478</v>
      </c>
      <c r="I3290" s="197" t="s">
        <v>5479</v>
      </c>
      <c r="J3290" s="148" t="s">
        <v>74</v>
      </c>
      <c r="K3290" s="148" t="s">
        <v>64</v>
      </c>
      <c r="L3290" s="148" t="s">
        <v>65</v>
      </c>
      <c r="M3290" s="148" t="s">
        <v>66</v>
      </c>
      <c r="N3290" s="200">
        <v>46171.0</v>
      </c>
      <c r="O3290" s="148" t="s">
        <v>67</v>
      </c>
      <c r="P3290" s="148" t="s">
        <v>68</v>
      </c>
      <c r="Q3290" s="103"/>
      <c r="R3290" s="103"/>
      <c r="S3290" s="103"/>
      <c r="T3290" s="103"/>
      <c r="U3290" s="148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1">
        <v>3285.0</v>
      </c>
      <c r="B3291" s="180" t="s">
        <v>5480</v>
      </c>
      <c r="C3291" s="82" t="str">
        <f>VLOOKUP($B$7:$B$5000,SUM!$L$6:$L$500,1,FALSE)</f>
        <v>#N/A</v>
      </c>
      <c r="D3291" s="190" t="s">
        <v>5476</v>
      </c>
      <c r="E3291" s="198" t="s">
        <v>58</v>
      </c>
      <c r="F3291" s="199" t="s">
        <v>5477</v>
      </c>
      <c r="G3291" s="191" t="s">
        <v>2118</v>
      </c>
      <c r="H3291" s="199" t="s">
        <v>5481</v>
      </c>
      <c r="I3291" s="197" t="s">
        <v>5479</v>
      </c>
      <c r="J3291" s="148" t="s">
        <v>74</v>
      </c>
      <c r="K3291" s="148" t="s">
        <v>64</v>
      </c>
      <c r="L3291" s="148" t="s">
        <v>65</v>
      </c>
      <c r="M3291" s="148" t="s">
        <v>66</v>
      </c>
      <c r="N3291" s="200">
        <v>46171.0</v>
      </c>
      <c r="O3291" s="148" t="s">
        <v>67</v>
      </c>
      <c r="P3291" s="148" t="s">
        <v>68</v>
      </c>
      <c r="Q3291" s="103"/>
      <c r="R3291" s="103"/>
      <c r="S3291" s="103"/>
      <c r="T3291" s="103"/>
      <c r="U3291" s="148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1">
        <v>3286.0</v>
      </c>
      <c r="B3292" s="180" t="s">
        <v>5482</v>
      </c>
      <c r="C3292" s="82" t="str">
        <f>VLOOKUP($B$7:$B$5000,SUM!$L$6:$L$500,1,FALSE)</f>
        <v>#N/A</v>
      </c>
      <c r="D3292" s="190" t="s">
        <v>5476</v>
      </c>
      <c r="E3292" s="198" t="s">
        <v>58</v>
      </c>
      <c r="F3292" s="199" t="s">
        <v>5477</v>
      </c>
      <c r="G3292" s="191" t="s">
        <v>5483</v>
      </c>
      <c r="H3292" s="199" t="s">
        <v>5484</v>
      </c>
      <c r="I3292" s="197" t="s">
        <v>5485</v>
      </c>
      <c r="J3292" s="148" t="s">
        <v>74</v>
      </c>
      <c r="K3292" s="148" t="s">
        <v>64</v>
      </c>
      <c r="L3292" s="148" t="s">
        <v>65</v>
      </c>
      <c r="M3292" s="148" t="s">
        <v>66</v>
      </c>
      <c r="N3292" s="200">
        <v>46171.0</v>
      </c>
      <c r="O3292" s="148" t="s">
        <v>67</v>
      </c>
      <c r="P3292" s="148" t="s">
        <v>68</v>
      </c>
      <c r="Q3292" s="103"/>
      <c r="R3292" s="103"/>
      <c r="S3292" s="103"/>
      <c r="T3292" s="103"/>
      <c r="U3292" s="148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1">
        <v>3287.0</v>
      </c>
      <c r="B3293" s="180" t="s">
        <v>5486</v>
      </c>
      <c r="C3293" s="82" t="str">
        <f>VLOOKUP($B$7:$B$5000,SUM!$L$6:$L$500,1,FALSE)</f>
        <v>#N/A</v>
      </c>
      <c r="D3293" s="190" t="s">
        <v>5476</v>
      </c>
      <c r="E3293" s="198" t="s">
        <v>58</v>
      </c>
      <c r="F3293" s="199" t="s">
        <v>5477</v>
      </c>
      <c r="G3293" s="191" t="s">
        <v>5483</v>
      </c>
      <c r="H3293" s="199" t="s">
        <v>5487</v>
      </c>
      <c r="I3293" s="197" t="s">
        <v>5485</v>
      </c>
      <c r="J3293" s="148" t="s">
        <v>74</v>
      </c>
      <c r="K3293" s="148" t="s">
        <v>64</v>
      </c>
      <c r="L3293" s="148" t="s">
        <v>65</v>
      </c>
      <c r="M3293" s="148" t="s">
        <v>66</v>
      </c>
      <c r="N3293" s="200">
        <v>46171.0</v>
      </c>
      <c r="O3293" s="148" t="s">
        <v>67</v>
      </c>
      <c r="P3293" s="148" t="s">
        <v>68</v>
      </c>
      <c r="Q3293" s="103"/>
      <c r="R3293" s="103"/>
      <c r="S3293" s="103"/>
      <c r="T3293" s="103"/>
      <c r="U3293" s="148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1">
        <v>3288.0</v>
      </c>
      <c r="B3294" s="180" t="s">
        <v>5488</v>
      </c>
      <c r="C3294" s="82" t="str">
        <f>VLOOKUP($B$7:$B$5000,SUM!$L$6:$L$500,1,FALSE)</f>
        <v>#N/A</v>
      </c>
      <c r="D3294" s="190" t="s">
        <v>5476</v>
      </c>
      <c r="E3294" s="198" t="s">
        <v>58</v>
      </c>
      <c r="F3294" s="199" t="s">
        <v>5477</v>
      </c>
      <c r="G3294" s="191" t="s">
        <v>5483</v>
      </c>
      <c r="H3294" s="199" t="s">
        <v>5489</v>
      </c>
      <c r="I3294" s="197" t="s">
        <v>5485</v>
      </c>
      <c r="J3294" s="148" t="s">
        <v>74</v>
      </c>
      <c r="K3294" s="148" t="s">
        <v>64</v>
      </c>
      <c r="L3294" s="148" t="s">
        <v>65</v>
      </c>
      <c r="M3294" s="148" t="s">
        <v>66</v>
      </c>
      <c r="N3294" s="200">
        <v>46171.0</v>
      </c>
      <c r="O3294" s="148" t="s">
        <v>67</v>
      </c>
      <c r="P3294" s="148" t="s">
        <v>68</v>
      </c>
      <c r="Q3294" s="103"/>
      <c r="R3294" s="103"/>
      <c r="S3294" s="103"/>
      <c r="T3294" s="103"/>
      <c r="U3294" s="148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1">
        <v>3289.0</v>
      </c>
      <c r="B3295" s="180" t="s">
        <v>5490</v>
      </c>
      <c r="C3295" s="82" t="str">
        <f>VLOOKUP($B$7:$B$5000,SUM!$L$6:$L$500,1,FALSE)</f>
        <v>#N/A</v>
      </c>
      <c r="D3295" s="190" t="s">
        <v>5476</v>
      </c>
      <c r="E3295" s="198" t="s">
        <v>58</v>
      </c>
      <c r="F3295" s="199" t="s">
        <v>5477</v>
      </c>
      <c r="G3295" s="191" t="s">
        <v>4956</v>
      </c>
      <c r="H3295" s="199" t="s">
        <v>5491</v>
      </c>
      <c r="I3295" s="197" t="s">
        <v>5485</v>
      </c>
      <c r="J3295" s="148" t="s">
        <v>74</v>
      </c>
      <c r="K3295" s="148" t="s">
        <v>64</v>
      </c>
      <c r="L3295" s="148" t="s">
        <v>65</v>
      </c>
      <c r="M3295" s="148" t="s">
        <v>66</v>
      </c>
      <c r="N3295" s="200">
        <v>46171.0</v>
      </c>
      <c r="O3295" s="148" t="s">
        <v>67</v>
      </c>
      <c r="P3295" s="148" t="s">
        <v>68</v>
      </c>
      <c r="Q3295" s="103"/>
      <c r="R3295" s="103"/>
      <c r="S3295" s="103"/>
      <c r="T3295" s="103"/>
      <c r="U3295" s="148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1">
        <v>3290.0</v>
      </c>
      <c r="B3296" s="180" t="s">
        <v>5492</v>
      </c>
      <c r="C3296" s="82" t="str">
        <f>VLOOKUP($B$7:$B$5000,SUM!$L$6:$L$500,1,FALSE)</f>
        <v>#N/A</v>
      </c>
      <c r="D3296" s="190" t="s">
        <v>5476</v>
      </c>
      <c r="E3296" s="198" t="s">
        <v>58</v>
      </c>
      <c r="F3296" s="199" t="s">
        <v>5477</v>
      </c>
      <c r="G3296" s="191" t="s">
        <v>4956</v>
      </c>
      <c r="H3296" s="199" t="s">
        <v>5491</v>
      </c>
      <c r="I3296" s="197" t="s">
        <v>5493</v>
      </c>
      <c r="J3296" s="148" t="s">
        <v>63</v>
      </c>
      <c r="K3296" s="148" t="s">
        <v>64</v>
      </c>
      <c r="L3296" s="148" t="s">
        <v>65</v>
      </c>
      <c r="M3296" s="148" t="s">
        <v>66</v>
      </c>
      <c r="N3296" s="200">
        <v>46171.0</v>
      </c>
      <c r="O3296" s="148" t="s">
        <v>67</v>
      </c>
      <c r="P3296" s="148" t="s">
        <v>68</v>
      </c>
      <c r="Q3296" s="103"/>
      <c r="R3296" s="103"/>
      <c r="S3296" s="103"/>
      <c r="T3296" s="103"/>
      <c r="U3296" s="148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1">
        <v>3291.0</v>
      </c>
      <c r="B3297" s="180" t="s">
        <v>5494</v>
      </c>
      <c r="C3297" s="82" t="str">
        <f>VLOOKUP($B$7:$B$5000,SUM!$L$6:$L$500,1,FALSE)</f>
        <v>#N/A</v>
      </c>
      <c r="D3297" s="190" t="s">
        <v>5476</v>
      </c>
      <c r="E3297" s="198" t="s">
        <v>58</v>
      </c>
      <c r="F3297" s="199" t="s">
        <v>5477</v>
      </c>
      <c r="G3297" s="191" t="s">
        <v>4956</v>
      </c>
      <c r="H3297" s="199" t="s">
        <v>5495</v>
      </c>
      <c r="I3297" s="197" t="s">
        <v>5485</v>
      </c>
      <c r="J3297" s="148" t="s">
        <v>74</v>
      </c>
      <c r="K3297" s="148" t="s">
        <v>64</v>
      </c>
      <c r="L3297" s="148" t="s">
        <v>65</v>
      </c>
      <c r="M3297" s="148" t="s">
        <v>66</v>
      </c>
      <c r="N3297" s="200">
        <v>46171.0</v>
      </c>
      <c r="O3297" s="148" t="s">
        <v>67</v>
      </c>
      <c r="P3297" s="148" t="s">
        <v>68</v>
      </c>
      <c r="Q3297" s="103"/>
      <c r="R3297" s="103"/>
      <c r="S3297" s="103"/>
      <c r="T3297" s="103"/>
      <c r="U3297" s="148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1">
        <v>3292.0</v>
      </c>
      <c r="B3298" s="180" t="s">
        <v>5496</v>
      </c>
      <c r="C3298" s="82" t="str">
        <f>VLOOKUP($B$7:$B$5000,SUM!$L$6:$L$500,1,FALSE)</f>
        <v>#N/A</v>
      </c>
      <c r="D3298" s="190" t="s">
        <v>5476</v>
      </c>
      <c r="E3298" s="198" t="s">
        <v>58</v>
      </c>
      <c r="F3298" s="199" t="s">
        <v>5477</v>
      </c>
      <c r="G3298" s="191" t="s">
        <v>4956</v>
      </c>
      <c r="H3298" s="199" t="s">
        <v>5497</v>
      </c>
      <c r="I3298" s="197" t="s">
        <v>5485</v>
      </c>
      <c r="J3298" s="148" t="s">
        <v>74</v>
      </c>
      <c r="K3298" s="148" t="s">
        <v>64</v>
      </c>
      <c r="L3298" s="148" t="s">
        <v>65</v>
      </c>
      <c r="M3298" s="148" t="s">
        <v>66</v>
      </c>
      <c r="N3298" s="200">
        <v>46171.0</v>
      </c>
      <c r="O3298" s="148" t="s">
        <v>67</v>
      </c>
      <c r="P3298" s="148" t="s">
        <v>68</v>
      </c>
      <c r="Q3298" s="103"/>
      <c r="R3298" s="103"/>
      <c r="S3298" s="103"/>
      <c r="T3298" s="103"/>
      <c r="U3298" s="148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1">
        <v>3293.0</v>
      </c>
      <c r="B3299" s="180" t="s">
        <v>5498</v>
      </c>
      <c r="C3299" s="82" t="str">
        <f>VLOOKUP($B$7:$B$5000,SUM!$L$6:$L$500,1,FALSE)</f>
        <v>#N/A</v>
      </c>
      <c r="D3299" s="190" t="s">
        <v>5476</v>
      </c>
      <c r="E3299" s="198" t="s">
        <v>58</v>
      </c>
      <c r="F3299" s="199" t="s">
        <v>5477</v>
      </c>
      <c r="G3299" s="191" t="s">
        <v>4956</v>
      </c>
      <c r="H3299" s="199" t="s">
        <v>5499</v>
      </c>
      <c r="I3299" s="197" t="s">
        <v>5485</v>
      </c>
      <c r="J3299" s="148" t="s">
        <v>74</v>
      </c>
      <c r="K3299" s="148" t="s">
        <v>64</v>
      </c>
      <c r="L3299" s="148" t="s">
        <v>65</v>
      </c>
      <c r="M3299" s="148" t="s">
        <v>66</v>
      </c>
      <c r="N3299" s="200">
        <v>46171.0</v>
      </c>
      <c r="O3299" s="148" t="s">
        <v>67</v>
      </c>
      <c r="P3299" s="148" t="s">
        <v>68</v>
      </c>
      <c r="Q3299" s="103"/>
      <c r="R3299" s="103"/>
      <c r="S3299" s="103"/>
      <c r="T3299" s="103"/>
      <c r="U3299" s="148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1">
        <v>3294.0</v>
      </c>
      <c r="B3300" s="180" t="s">
        <v>5500</v>
      </c>
      <c r="C3300" s="82" t="str">
        <f>VLOOKUP($B$7:$B$5000,SUM!$L$6:$L$500,1,FALSE)</f>
        <v>#N/A</v>
      </c>
      <c r="D3300" s="190" t="s">
        <v>5476</v>
      </c>
      <c r="E3300" s="198" t="s">
        <v>58</v>
      </c>
      <c r="F3300" s="199" t="s">
        <v>5477</v>
      </c>
      <c r="G3300" s="191" t="s">
        <v>4956</v>
      </c>
      <c r="H3300" s="199" t="s">
        <v>5501</v>
      </c>
      <c r="I3300" s="197" t="s">
        <v>5485</v>
      </c>
      <c r="J3300" s="148" t="s">
        <v>74</v>
      </c>
      <c r="K3300" s="148" t="s">
        <v>64</v>
      </c>
      <c r="L3300" s="148" t="s">
        <v>65</v>
      </c>
      <c r="M3300" s="148" t="s">
        <v>66</v>
      </c>
      <c r="N3300" s="200">
        <v>46171.0</v>
      </c>
      <c r="O3300" s="148" t="s">
        <v>67</v>
      </c>
      <c r="P3300" s="148" t="s">
        <v>68</v>
      </c>
      <c r="Q3300" s="103"/>
      <c r="R3300" s="103"/>
      <c r="S3300" s="103"/>
      <c r="T3300" s="103"/>
      <c r="U3300" s="148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1">
        <v>3295.0</v>
      </c>
      <c r="B3301" s="180" t="s">
        <v>5502</v>
      </c>
      <c r="C3301" s="82" t="str">
        <f>VLOOKUP($B$7:$B$5000,SUM!$L$6:$L$500,1,FALSE)</f>
        <v>#N/A</v>
      </c>
      <c r="D3301" s="190" t="s">
        <v>5476</v>
      </c>
      <c r="E3301" s="198" t="s">
        <v>58</v>
      </c>
      <c r="F3301" s="199" t="s">
        <v>5477</v>
      </c>
      <c r="G3301" s="191" t="s">
        <v>5503</v>
      </c>
      <c r="H3301" s="199" t="s">
        <v>5504</v>
      </c>
      <c r="I3301" s="197" t="s">
        <v>5505</v>
      </c>
      <c r="J3301" s="148" t="s">
        <v>74</v>
      </c>
      <c r="K3301" s="148" t="s">
        <v>64</v>
      </c>
      <c r="L3301" s="148" t="s">
        <v>65</v>
      </c>
      <c r="M3301" s="148" t="s">
        <v>66</v>
      </c>
      <c r="N3301" s="200">
        <v>46171.0</v>
      </c>
      <c r="O3301" s="148" t="s">
        <v>67</v>
      </c>
      <c r="P3301" s="148" t="s">
        <v>68</v>
      </c>
      <c r="Q3301" s="103"/>
      <c r="R3301" s="103"/>
      <c r="S3301" s="103"/>
      <c r="T3301" s="103"/>
      <c r="U3301" s="148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1">
        <v>3296.0</v>
      </c>
      <c r="B3302" s="180" t="s">
        <v>5506</v>
      </c>
      <c r="C3302" s="82" t="str">
        <f>VLOOKUP($B$7:$B$5000,SUM!$L$6:$L$500,1,FALSE)</f>
        <v>#N/A</v>
      </c>
      <c r="D3302" s="190" t="s">
        <v>5507</v>
      </c>
      <c r="E3302" s="198" t="s">
        <v>58</v>
      </c>
      <c r="F3302" s="199" t="s">
        <v>5508</v>
      </c>
      <c r="G3302" s="191" t="s">
        <v>2118</v>
      </c>
      <c r="H3302" s="199" t="s">
        <v>5509</v>
      </c>
      <c r="I3302" s="197" t="s">
        <v>5510</v>
      </c>
      <c r="J3302" s="148" t="s">
        <v>74</v>
      </c>
      <c r="K3302" s="148" t="s">
        <v>64</v>
      </c>
      <c r="L3302" s="148" t="s">
        <v>65</v>
      </c>
      <c r="M3302" s="148" t="s">
        <v>66</v>
      </c>
      <c r="N3302" s="200">
        <v>46171.0</v>
      </c>
      <c r="O3302" s="148" t="s">
        <v>67</v>
      </c>
      <c r="P3302" s="148" t="s">
        <v>68</v>
      </c>
      <c r="Q3302" s="103"/>
      <c r="R3302" s="103"/>
      <c r="S3302" s="103"/>
      <c r="T3302" s="103"/>
      <c r="U3302" s="148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1">
        <v>3297.0</v>
      </c>
      <c r="B3303" s="180" t="s">
        <v>5511</v>
      </c>
      <c r="C3303" s="82" t="str">
        <f>VLOOKUP($B$7:$B$5000,SUM!$L$6:$L$500,1,FALSE)</f>
        <v>#N/A</v>
      </c>
      <c r="D3303" s="190" t="s">
        <v>5507</v>
      </c>
      <c r="E3303" s="198" t="s">
        <v>58</v>
      </c>
      <c r="F3303" s="199" t="s">
        <v>5508</v>
      </c>
      <c r="G3303" s="191" t="s">
        <v>2118</v>
      </c>
      <c r="H3303" s="199" t="s">
        <v>5512</v>
      </c>
      <c r="I3303" s="197" t="s">
        <v>5510</v>
      </c>
      <c r="J3303" s="148" t="s">
        <v>74</v>
      </c>
      <c r="K3303" s="148" t="s">
        <v>64</v>
      </c>
      <c r="L3303" s="148" t="s">
        <v>65</v>
      </c>
      <c r="M3303" s="148" t="s">
        <v>66</v>
      </c>
      <c r="N3303" s="200">
        <v>46171.0</v>
      </c>
      <c r="O3303" s="148" t="s">
        <v>67</v>
      </c>
      <c r="P3303" s="148" t="s">
        <v>68</v>
      </c>
      <c r="Q3303" s="103"/>
      <c r="R3303" s="103"/>
      <c r="S3303" s="103"/>
      <c r="T3303" s="103"/>
      <c r="U3303" s="148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1">
        <v>3298.0</v>
      </c>
      <c r="B3304" s="180" t="s">
        <v>5513</v>
      </c>
      <c r="C3304" s="82" t="str">
        <f>VLOOKUP($B$7:$B$5000,SUM!$L$6:$L$500,1,FALSE)</f>
        <v>#N/A</v>
      </c>
      <c r="D3304" s="190" t="s">
        <v>5507</v>
      </c>
      <c r="E3304" s="198" t="s">
        <v>58</v>
      </c>
      <c r="F3304" s="199" t="s">
        <v>5508</v>
      </c>
      <c r="G3304" s="191" t="s">
        <v>5483</v>
      </c>
      <c r="H3304" s="199" t="s">
        <v>5514</v>
      </c>
      <c r="I3304" s="197" t="s">
        <v>5515</v>
      </c>
      <c r="J3304" s="148" t="s">
        <v>74</v>
      </c>
      <c r="K3304" s="148" t="s">
        <v>64</v>
      </c>
      <c r="L3304" s="148" t="s">
        <v>65</v>
      </c>
      <c r="M3304" s="148" t="s">
        <v>66</v>
      </c>
      <c r="N3304" s="200">
        <v>46171.0</v>
      </c>
      <c r="O3304" s="148" t="s">
        <v>67</v>
      </c>
      <c r="P3304" s="148" t="s">
        <v>68</v>
      </c>
      <c r="Q3304" s="103"/>
      <c r="R3304" s="103"/>
      <c r="S3304" s="103"/>
      <c r="T3304" s="103"/>
      <c r="U3304" s="148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1">
        <v>3299.0</v>
      </c>
      <c r="B3305" s="180" t="s">
        <v>5516</v>
      </c>
      <c r="C3305" s="82" t="str">
        <f>VLOOKUP($B$7:$B$5000,SUM!$L$6:$L$500,1,FALSE)</f>
        <v>#N/A</v>
      </c>
      <c r="D3305" s="190" t="s">
        <v>5507</v>
      </c>
      <c r="E3305" s="198" t="s">
        <v>58</v>
      </c>
      <c r="F3305" s="199" t="s">
        <v>5508</v>
      </c>
      <c r="G3305" s="191" t="s">
        <v>5483</v>
      </c>
      <c r="H3305" s="199" t="s">
        <v>5517</v>
      </c>
      <c r="I3305" s="197" t="s">
        <v>5515</v>
      </c>
      <c r="J3305" s="148" t="s">
        <v>74</v>
      </c>
      <c r="K3305" s="148" t="s">
        <v>64</v>
      </c>
      <c r="L3305" s="148" t="s">
        <v>65</v>
      </c>
      <c r="M3305" s="148" t="s">
        <v>66</v>
      </c>
      <c r="N3305" s="200">
        <v>46171.0</v>
      </c>
      <c r="O3305" s="148" t="s">
        <v>67</v>
      </c>
      <c r="P3305" s="148" t="s">
        <v>68</v>
      </c>
      <c r="Q3305" s="103"/>
      <c r="R3305" s="103"/>
      <c r="S3305" s="103"/>
      <c r="T3305" s="103"/>
      <c r="U3305" s="148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1">
        <v>3300.0</v>
      </c>
      <c r="B3306" s="180" t="s">
        <v>5518</v>
      </c>
      <c r="C3306" s="82" t="str">
        <f>VLOOKUP($B$7:$B$5000,SUM!$L$6:$L$500,1,FALSE)</f>
        <v>#N/A</v>
      </c>
      <c r="D3306" s="190" t="s">
        <v>5507</v>
      </c>
      <c r="E3306" s="198" t="s">
        <v>58</v>
      </c>
      <c r="F3306" s="199" t="s">
        <v>5508</v>
      </c>
      <c r="G3306" s="191" t="s">
        <v>5483</v>
      </c>
      <c r="H3306" s="199" t="s">
        <v>5519</v>
      </c>
      <c r="I3306" s="197" t="s">
        <v>5515</v>
      </c>
      <c r="J3306" s="148" t="s">
        <v>74</v>
      </c>
      <c r="K3306" s="148" t="s">
        <v>64</v>
      </c>
      <c r="L3306" s="148" t="s">
        <v>65</v>
      </c>
      <c r="M3306" s="148" t="s">
        <v>66</v>
      </c>
      <c r="N3306" s="200">
        <v>46171.0</v>
      </c>
      <c r="O3306" s="148" t="s">
        <v>67</v>
      </c>
      <c r="P3306" s="148" t="s">
        <v>68</v>
      </c>
      <c r="Q3306" s="103"/>
      <c r="R3306" s="103"/>
      <c r="S3306" s="103"/>
      <c r="T3306" s="103"/>
      <c r="U3306" s="148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1">
        <v>3301.0</v>
      </c>
      <c r="B3307" s="180" t="s">
        <v>5520</v>
      </c>
      <c r="C3307" s="82" t="str">
        <f>VLOOKUP($B$7:$B$5000,SUM!$L$6:$L$500,1,FALSE)</f>
        <v>#N/A</v>
      </c>
      <c r="D3307" s="190" t="s">
        <v>5507</v>
      </c>
      <c r="E3307" s="198" t="s">
        <v>58</v>
      </c>
      <c r="F3307" s="199" t="s">
        <v>5508</v>
      </c>
      <c r="G3307" s="191" t="s">
        <v>4956</v>
      </c>
      <c r="H3307" s="199" t="s">
        <v>5521</v>
      </c>
      <c r="I3307" s="197" t="s">
        <v>5515</v>
      </c>
      <c r="J3307" s="148" t="s">
        <v>74</v>
      </c>
      <c r="K3307" s="148" t="s">
        <v>64</v>
      </c>
      <c r="L3307" s="148" t="s">
        <v>65</v>
      </c>
      <c r="M3307" s="148" t="s">
        <v>66</v>
      </c>
      <c r="N3307" s="200">
        <v>46171.0</v>
      </c>
      <c r="O3307" s="148" t="s">
        <v>67</v>
      </c>
      <c r="P3307" s="148" t="s">
        <v>68</v>
      </c>
      <c r="Q3307" s="103"/>
      <c r="R3307" s="103"/>
      <c r="S3307" s="103"/>
      <c r="T3307" s="103"/>
      <c r="U3307" s="148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1">
        <v>3302.0</v>
      </c>
      <c r="B3308" s="180" t="s">
        <v>5522</v>
      </c>
      <c r="C3308" s="82" t="str">
        <f>VLOOKUP($B$7:$B$5000,SUM!$L$6:$L$500,1,FALSE)</f>
        <v>#N/A</v>
      </c>
      <c r="D3308" s="190" t="s">
        <v>5507</v>
      </c>
      <c r="E3308" s="198" t="s">
        <v>58</v>
      </c>
      <c r="F3308" s="199" t="s">
        <v>5508</v>
      </c>
      <c r="G3308" s="191" t="s">
        <v>4956</v>
      </c>
      <c r="H3308" s="199" t="s">
        <v>5523</v>
      </c>
      <c r="I3308" s="197" t="s">
        <v>5515</v>
      </c>
      <c r="J3308" s="148" t="s">
        <v>74</v>
      </c>
      <c r="K3308" s="148" t="s">
        <v>64</v>
      </c>
      <c r="L3308" s="148" t="s">
        <v>65</v>
      </c>
      <c r="M3308" s="148" t="s">
        <v>66</v>
      </c>
      <c r="N3308" s="200">
        <v>46171.0</v>
      </c>
      <c r="O3308" s="148" t="s">
        <v>67</v>
      </c>
      <c r="P3308" s="148" t="s">
        <v>68</v>
      </c>
      <c r="Q3308" s="103"/>
      <c r="R3308" s="103"/>
      <c r="S3308" s="103"/>
      <c r="T3308" s="103"/>
      <c r="U3308" s="148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1">
        <v>3303.0</v>
      </c>
      <c r="B3309" s="180" t="s">
        <v>5524</v>
      </c>
      <c r="C3309" s="82" t="str">
        <f>VLOOKUP($B$7:$B$5000,SUM!$L$6:$L$500,1,FALSE)</f>
        <v>#N/A</v>
      </c>
      <c r="D3309" s="190" t="s">
        <v>5507</v>
      </c>
      <c r="E3309" s="198" t="s">
        <v>58</v>
      </c>
      <c r="F3309" s="199" t="s">
        <v>5508</v>
      </c>
      <c r="G3309" s="191" t="s">
        <v>4956</v>
      </c>
      <c r="H3309" s="199" t="s">
        <v>5525</v>
      </c>
      <c r="I3309" s="197" t="s">
        <v>5515</v>
      </c>
      <c r="J3309" s="148" t="s">
        <v>74</v>
      </c>
      <c r="K3309" s="148" t="s">
        <v>64</v>
      </c>
      <c r="L3309" s="148" t="s">
        <v>65</v>
      </c>
      <c r="M3309" s="148" t="s">
        <v>66</v>
      </c>
      <c r="N3309" s="200">
        <v>46171.0</v>
      </c>
      <c r="O3309" s="148" t="s">
        <v>67</v>
      </c>
      <c r="P3309" s="148" t="s">
        <v>68</v>
      </c>
      <c r="Q3309" s="103"/>
      <c r="R3309" s="103"/>
      <c r="S3309" s="103"/>
      <c r="T3309" s="103"/>
      <c r="U3309" s="148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1">
        <v>3304.0</v>
      </c>
      <c r="B3310" s="180" t="s">
        <v>5526</v>
      </c>
      <c r="C3310" s="82" t="str">
        <f>VLOOKUP($B$7:$B$5000,SUM!$L$6:$L$500,1,FALSE)</f>
        <v>#N/A</v>
      </c>
      <c r="D3310" s="190" t="s">
        <v>5507</v>
      </c>
      <c r="E3310" s="198" t="s">
        <v>58</v>
      </c>
      <c r="F3310" s="199" t="s">
        <v>5508</v>
      </c>
      <c r="G3310" s="191" t="s">
        <v>4956</v>
      </c>
      <c r="H3310" s="199" t="s">
        <v>5527</v>
      </c>
      <c r="I3310" s="197" t="s">
        <v>5515</v>
      </c>
      <c r="J3310" s="148" t="s">
        <v>74</v>
      </c>
      <c r="K3310" s="148" t="s">
        <v>64</v>
      </c>
      <c r="L3310" s="148" t="s">
        <v>65</v>
      </c>
      <c r="M3310" s="148" t="s">
        <v>66</v>
      </c>
      <c r="N3310" s="200">
        <v>46171.0</v>
      </c>
      <c r="O3310" s="148" t="s">
        <v>67</v>
      </c>
      <c r="P3310" s="148" t="s">
        <v>68</v>
      </c>
      <c r="Q3310" s="103"/>
      <c r="R3310" s="103"/>
      <c r="S3310" s="103"/>
      <c r="T3310" s="103"/>
      <c r="U3310" s="148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1">
        <v>3305.0</v>
      </c>
      <c r="B3311" s="180" t="s">
        <v>5528</v>
      </c>
      <c r="C3311" s="82" t="str">
        <f>VLOOKUP($B$7:$B$5000,SUM!$L$6:$L$500,1,FALSE)</f>
        <v>#N/A</v>
      </c>
      <c r="D3311" s="190" t="s">
        <v>5507</v>
      </c>
      <c r="E3311" s="198" t="s">
        <v>58</v>
      </c>
      <c r="F3311" s="199" t="s">
        <v>5508</v>
      </c>
      <c r="G3311" s="191" t="s">
        <v>4956</v>
      </c>
      <c r="H3311" s="199" t="s">
        <v>5529</v>
      </c>
      <c r="I3311" s="197" t="s">
        <v>5515</v>
      </c>
      <c r="J3311" s="148" t="s">
        <v>74</v>
      </c>
      <c r="K3311" s="148" t="s">
        <v>64</v>
      </c>
      <c r="L3311" s="148" t="s">
        <v>65</v>
      </c>
      <c r="M3311" s="148" t="s">
        <v>66</v>
      </c>
      <c r="N3311" s="200">
        <v>46171.0</v>
      </c>
      <c r="O3311" s="148" t="s">
        <v>67</v>
      </c>
      <c r="P3311" s="148" t="s">
        <v>68</v>
      </c>
      <c r="Q3311" s="103"/>
      <c r="R3311" s="103"/>
      <c r="S3311" s="103"/>
      <c r="T3311" s="103"/>
      <c r="U3311" s="148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1">
        <v>3306.0</v>
      </c>
      <c r="B3312" s="180" t="s">
        <v>5530</v>
      </c>
      <c r="C3312" s="82" t="str">
        <f>VLOOKUP($B$7:$B$5000,SUM!$L$6:$L$500,1,FALSE)</f>
        <v>#N/A</v>
      </c>
      <c r="D3312" s="190" t="s">
        <v>5507</v>
      </c>
      <c r="E3312" s="198" t="s">
        <v>58</v>
      </c>
      <c r="F3312" s="199" t="s">
        <v>5508</v>
      </c>
      <c r="G3312" s="191" t="s">
        <v>5503</v>
      </c>
      <c r="H3312" s="199" t="s">
        <v>5531</v>
      </c>
      <c r="I3312" s="197" t="s">
        <v>5532</v>
      </c>
      <c r="J3312" s="148" t="s">
        <v>74</v>
      </c>
      <c r="K3312" s="148" t="s">
        <v>64</v>
      </c>
      <c r="L3312" s="148" t="s">
        <v>65</v>
      </c>
      <c r="M3312" s="148" t="s">
        <v>66</v>
      </c>
      <c r="N3312" s="200">
        <v>46171.0</v>
      </c>
      <c r="O3312" s="148" t="s">
        <v>67</v>
      </c>
      <c r="P3312" s="148" t="s">
        <v>68</v>
      </c>
      <c r="Q3312" s="103"/>
      <c r="R3312" s="103"/>
      <c r="S3312" s="103"/>
      <c r="T3312" s="103"/>
      <c r="U3312" s="148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1">
        <v>3307.0</v>
      </c>
      <c r="B3313" s="180" t="s">
        <v>5533</v>
      </c>
      <c r="C3313" s="82" t="str">
        <f>VLOOKUP($B$7:$B$5000,SUM!$L$6:$L$500,1,FALSE)</f>
        <v>#N/A</v>
      </c>
      <c r="D3313" s="190" t="s">
        <v>5507</v>
      </c>
      <c r="E3313" s="198" t="s">
        <v>58</v>
      </c>
      <c r="F3313" s="199" t="s">
        <v>5508</v>
      </c>
      <c r="G3313" s="191" t="s">
        <v>2118</v>
      </c>
      <c r="H3313" s="199" t="s">
        <v>5509</v>
      </c>
      <c r="I3313" s="197" t="s">
        <v>5534</v>
      </c>
      <c r="J3313" s="148" t="s">
        <v>108</v>
      </c>
      <c r="K3313" s="148" t="s">
        <v>64</v>
      </c>
      <c r="L3313" s="148" t="s">
        <v>65</v>
      </c>
      <c r="M3313" s="148" t="s">
        <v>66</v>
      </c>
      <c r="N3313" s="200">
        <v>46171.0</v>
      </c>
      <c r="O3313" s="148" t="s">
        <v>67</v>
      </c>
      <c r="P3313" s="148" t="s">
        <v>68</v>
      </c>
      <c r="Q3313" s="103"/>
      <c r="R3313" s="103"/>
      <c r="S3313" s="103"/>
      <c r="T3313" s="103"/>
      <c r="U3313" s="148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1">
        <v>3308.0</v>
      </c>
      <c r="B3314" s="180" t="s">
        <v>5535</v>
      </c>
      <c r="C3314" s="82" t="str">
        <f>VLOOKUP($B$7:$B$5000,SUM!$L$6:$L$500,1,FALSE)</f>
        <v>#N/A</v>
      </c>
      <c r="D3314" s="190" t="s">
        <v>5507</v>
      </c>
      <c r="E3314" s="198" t="s">
        <v>58</v>
      </c>
      <c r="F3314" s="199" t="s">
        <v>5508</v>
      </c>
      <c r="G3314" s="191" t="s">
        <v>2118</v>
      </c>
      <c r="H3314" s="199" t="s">
        <v>5512</v>
      </c>
      <c r="I3314" s="197" t="s">
        <v>5534</v>
      </c>
      <c r="J3314" s="148" t="s">
        <v>108</v>
      </c>
      <c r="K3314" s="148" t="s">
        <v>64</v>
      </c>
      <c r="L3314" s="148" t="s">
        <v>65</v>
      </c>
      <c r="M3314" s="148" t="s">
        <v>66</v>
      </c>
      <c r="N3314" s="200">
        <v>46171.0</v>
      </c>
      <c r="O3314" s="148" t="s">
        <v>67</v>
      </c>
      <c r="P3314" s="148" t="s">
        <v>68</v>
      </c>
      <c r="Q3314" s="103"/>
      <c r="R3314" s="103"/>
      <c r="S3314" s="103"/>
      <c r="T3314" s="103"/>
      <c r="U3314" s="148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1">
        <v>3309.0</v>
      </c>
      <c r="B3315" s="180" t="s">
        <v>5536</v>
      </c>
      <c r="C3315" s="82" t="str">
        <f>VLOOKUP($B$7:$B$5000,SUM!$L$6:$L$500,1,FALSE)</f>
        <v>#N/A</v>
      </c>
      <c r="D3315" s="190" t="s">
        <v>5507</v>
      </c>
      <c r="E3315" s="198" t="s">
        <v>58</v>
      </c>
      <c r="F3315" s="199" t="s">
        <v>5508</v>
      </c>
      <c r="G3315" s="191" t="s">
        <v>5483</v>
      </c>
      <c r="H3315" s="199" t="s">
        <v>5514</v>
      </c>
      <c r="I3315" s="197" t="s">
        <v>5537</v>
      </c>
      <c r="J3315" s="148" t="s">
        <v>108</v>
      </c>
      <c r="K3315" s="148" t="s">
        <v>64</v>
      </c>
      <c r="L3315" s="148" t="s">
        <v>65</v>
      </c>
      <c r="M3315" s="148" t="s">
        <v>66</v>
      </c>
      <c r="N3315" s="200">
        <v>46171.0</v>
      </c>
      <c r="O3315" s="148" t="s">
        <v>67</v>
      </c>
      <c r="P3315" s="148" t="s">
        <v>68</v>
      </c>
      <c r="Q3315" s="103"/>
      <c r="R3315" s="103"/>
      <c r="S3315" s="103"/>
      <c r="T3315" s="103"/>
      <c r="U3315" s="148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1">
        <v>3310.0</v>
      </c>
      <c r="B3316" s="180" t="s">
        <v>5538</v>
      </c>
      <c r="C3316" s="82" t="str">
        <f>VLOOKUP($B$7:$B$5000,SUM!$L$6:$L$500,1,FALSE)</f>
        <v>#N/A</v>
      </c>
      <c r="D3316" s="190" t="s">
        <v>5507</v>
      </c>
      <c r="E3316" s="198" t="s">
        <v>58</v>
      </c>
      <c r="F3316" s="199" t="s">
        <v>5508</v>
      </c>
      <c r="G3316" s="191" t="s">
        <v>5483</v>
      </c>
      <c r="H3316" s="199" t="s">
        <v>5517</v>
      </c>
      <c r="I3316" s="197" t="s">
        <v>5537</v>
      </c>
      <c r="J3316" s="148" t="s">
        <v>108</v>
      </c>
      <c r="K3316" s="148" t="s">
        <v>64</v>
      </c>
      <c r="L3316" s="148" t="s">
        <v>65</v>
      </c>
      <c r="M3316" s="148" t="s">
        <v>66</v>
      </c>
      <c r="N3316" s="200">
        <v>46171.0</v>
      </c>
      <c r="O3316" s="148" t="s">
        <v>67</v>
      </c>
      <c r="P3316" s="148" t="s">
        <v>68</v>
      </c>
      <c r="Q3316" s="103"/>
      <c r="R3316" s="103"/>
      <c r="S3316" s="103"/>
      <c r="T3316" s="103"/>
      <c r="U3316" s="148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1">
        <v>3311.0</v>
      </c>
      <c r="B3317" s="180" t="s">
        <v>5539</v>
      </c>
      <c r="C3317" s="82" t="str">
        <f>VLOOKUP($B$7:$B$5000,SUM!$L$6:$L$500,1,FALSE)</f>
        <v>#N/A</v>
      </c>
      <c r="D3317" s="190" t="s">
        <v>5507</v>
      </c>
      <c r="E3317" s="198" t="s">
        <v>58</v>
      </c>
      <c r="F3317" s="199" t="s">
        <v>5508</v>
      </c>
      <c r="G3317" s="191" t="s">
        <v>5483</v>
      </c>
      <c r="H3317" s="199" t="s">
        <v>5519</v>
      </c>
      <c r="I3317" s="197" t="s">
        <v>5537</v>
      </c>
      <c r="J3317" s="148" t="s">
        <v>108</v>
      </c>
      <c r="K3317" s="148" t="s">
        <v>64</v>
      </c>
      <c r="L3317" s="148" t="s">
        <v>65</v>
      </c>
      <c r="M3317" s="148" t="s">
        <v>66</v>
      </c>
      <c r="N3317" s="200">
        <v>46171.0</v>
      </c>
      <c r="O3317" s="148" t="s">
        <v>67</v>
      </c>
      <c r="P3317" s="148" t="s">
        <v>68</v>
      </c>
      <c r="Q3317" s="103"/>
      <c r="R3317" s="103"/>
      <c r="S3317" s="103"/>
      <c r="T3317" s="103"/>
      <c r="U3317" s="148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1">
        <v>3312.0</v>
      </c>
      <c r="B3318" s="180" t="s">
        <v>5540</v>
      </c>
      <c r="C3318" s="82" t="str">
        <f>VLOOKUP($B$7:$B$5000,SUM!$L$6:$L$500,1,FALSE)</f>
        <v>#N/A</v>
      </c>
      <c r="D3318" s="190" t="s">
        <v>5507</v>
      </c>
      <c r="E3318" s="198" t="s">
        <v>58</v>
      </c>
      <c r="F3318" s="199" t="s">
        <v>5508</v>
      </c>
      <c r="G3318" s="191" t="s">
        <v>4956</v>
      </c>
      <c r="H3318" s="199" t="s">
        <v>5521</v>
      </c>
      <c r="I3318" s="197" t="s">
        <v>5537</v>
      </c>
      <c r="J3318" s="148" t="s">
        <v>108</v>
      </c>
      <c r="K3318" s="148" t="s">
        <v>64</v>
      </c>
      <c r="L3318" s="148" t="s">
        <v>65</v>
      </c>
      <c r="M3318" s="148" t="s">
        <v>66</v>
      </c>
      <c r="N3318" s="200">
        <v>46171.0</v>
      </c>
      <c r="O3318" s="148" t="s">
        <v>67</v>
      </c>
      <c r="P3318" s="148" t="s">
        <v>68</v>
      </c>
      <c r="Q3318" s="103"/>
      <c r="R3318" s="103"/>
      <c r="S3318" s="103"/>
      <c r="T3318" s="103"/>
      <c r="U3318" s="148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1">
        <v>3313.0</v>
      </c>
      <c r="B3319" s="180" t="s">
        <v>5541</v>
      </c>
      <c r="C3319" s="82" t="str">
        <f>VLOOKUP($B$7:$B$5000,SUM!$L$6:$L$500,1,FALSE)</f>
        <v>#N/A</v>
      </c>
      <c r="D3319" s="190" t="s">
        <v>5507</v>
      </c>
      <c r="E3319" s="198" t="s">
        <v>58</v>
      </c>
      <c r="F3319" s="199" t="s">
        <v>5508</v>
      </c>
      <c r="G3319" s="191" t="s">
        <v>4956</v>
      </c>
      <c r="H3319" s="199" t="s">
        <v>5523</v>
      </c>
      <c r="I3319" s="197" t="s">
        <v>5537</v>
      </c>
      <c r="J3319" s="148" t="s">
        <v>108</v>
      </c>
      <c r="K3319" s="148" t="s">
        <v>64</v>
      </c>
      <c r="L3319" s="148" t="s">
        <v>65</v>
      </c>
      <c r="M3319" s="148" t="s">
        <v>66</v>
      </c>
      <c r="N3319" s="200">
        <v>46171.0</v>
      </c>
      <c r="O3319" s="148" t="s">
        <v>67</v>
      </c>
      <c r="P3319" s="148" t="s">
        <v>68</v>
      </c>
      <c r="Q3319" s="103"/>
      <c r="R3319" s="103"/>
      <c r="S3319" s="103"/>
      <c r="T3319" s="103"/>
      <c r="U3319" s="148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1">
        <v>3314.0</v>
      </c>
      <c r="B3320" s="180" t="s">
        <v>5542</v>
      </c>
      <c r="C3320" s="82" t="str">
        <f>VLOOKUP($B$7:$B$5000,SUM!$L$6:$L$500,1,FALSE)</f>
        <v>#N/A</v>
      </c>
      <c r="D3320" s="190" t="s">
        <v>5507</v>
      </c>
      <c r="E3320" s="198" t="s">
        <v>58</v>
      </c>
      <c r="F3320" s="199" t="s">
        <v>5508</v>
      </c>
      <c r="G3320" s="191" t="s">
        <v>4956</v>
      </c>
      <c r="H3320" s="199" t="s">
        <v>5525</v>
      </c>
      <c r="I3320" s="197" t="s">
        <v>5537</v>
      </c>
      <c r="J3320" s="148" t="s">
        <v>108</v>
      </c>
      <c r="K3320" s="148" t="s">
        <v>64</v>
      </c>
      <c r="L3320" s="148" t="s">
        <v>65</v>
      </c>
      <c r="M3320" s="148" t="s">
        <v>66</v>
      </c>
      <c r="N3320" s="200">
        <v>46171.0</v>
      </c>
      <c r="O3320" s="148" t="s">
        <v>67</v>
      </c>
      <c r="P3320" s="148" t="s">
        <v>68</v>
      </c>
      <c r="Q3320" s="103"/>
      <c r="R3320" s="103"/>
      <c r="S3320" s="103"/>
      <c r="T3320" s="103"/>
      <c r="U3320" s="148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1">
        <v>3315.0</v>
      </c>
      <c r="B3321" s="180" t="s">
        <v>5543</v>
      </c>
      <c r="C3321" s="82" t="str">
        <f>VLOOKUP($B$7:$B$5000,SUM!$L$6:$L$500,1,FALSE)</f>
        <v>#N/A</v>
      </c>
      <c r="D3321" s="190" t="s">
        <v>5507</v>
      </c>
      <c r="E3321" s="198" t="s">
        <v>58</v>
      </c>
      <c r="F3321" s="199" t="s">
        <v>5508</v>
      </c>
      <c r="G3321" s="191" t="s">
        <v>4956</v>
      </c>
      <c r="H3321" s="199" t="s">
        <v>5527</v>
      </c>
      <c r="I3321" s="197" t="s">
        <v>5537</v>
      </c>
      <c r="J3321" s="148" t="s">
        <v>108</v>
      </c>
      <c r="K3321" s="148" t="s">
        <v>64</v>
      </c>
      <c r="L3321" s="148" t="s">
        <v>65</v>
      </c>
      <c r="M3321" s="148" t="s">
        <v>66</v>
      </c>
      <c r="N3321" s="200">
        <v>46171.0</v>
      </c>
      <c r="O3321" s="148" t="s">
        <v>67</v>
      </c>
      <c r="P3321" s="148" t="s">
        <v>68</v>
      </c>
      <c r="Q3321" s="103"/>
      <c r="R3321" s="103"/>
      <c r="S3321" s="103"/>
      <c r="T3321" s="103"/>
      <c r="U3321" s="148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1">
        <v>3316.0</v>
      </c>
      <c r="B3322" s="180" t="s">
        <v>5544</v>
      </c>
      <c r="C3322" s="82" t="str">
        <f>VLOOKUP($B$7:$B$5000,SUM!$L$6:$L$500,1,FALSE)</f>
        <v>#N/A</v>
      </c>
      <c r="D3322" s="190" t="s">
        <v>5507</v>
      </c>
      <c r="E3322" s="198" t="s">
        <v>58</v>
      </c>
      <c r="F3322" s="199" t="s">
        <v>5508</v>
      </c>
      <c r="G3322" s="191" t="s">
        <v>4956</v>
      </c>
      <c r="H3322" s="199" t="s">
        <v>5529</v>
      </c>
      <c r="I3322" s="197" t="s">
        <v>5537</v>
      </c>
      <c r="J3322" s="148" t="s">
        <v>108</v>
      </c>
      <c r="K3322" s="148" t="s">
        <v>64</v>
      </c>
      <c r="L3322" s="148" t="s">
        <v>65</v>
      </c>
      <c r="M3322" s="148" t="s">
        <v>66</v>
      </c>
      <c r="N3322" s="200">
        <v>46171.0</v>
      </c>
      <c r="O3322" s="148" t="s">
        <v>67</v>
      </c>
      <c r="P3322" s="148" t="s">
        <v>68</v>
      </c>
      <c r="Q3322" s="103"/>
      <c r="R3322" s="103"/>
      <c r="S3322" s="103"/>
      <c r="T3322" s="103"/>
      <c r="U3322" s="148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1">
        <v>3317.0</v>
      </c>
      <c r="B3323" s="180" t="s">
        <v>5545</v>
      </c>
      <c r="C3323" s="82" t="str">
        <f>VLOOKUP($B$7:$B$5000,SUM!$L$6:$L$500,1,FALSE)</f>
        <v>#N/A</v>
      </c>
      <c r="D3323" s="190" t="s">
        <v>5507</v>
      </c>
      <c r="E3323" s="198" t="s">
        <v>58</v>
      </c>
      <c r="F3323" s="199" t="s">
        <v>5508</v>
      </c>
      <c r="G3323" s="191" t="s">
        <v>5503</v>
      </c>
      <c r="H3323" s="199" t="s">
        <v>5531</v>
      </c>
      <c r="I3323" s="197" t="s">
        <v>5546</v>
      </c>
      <c r="J3323" s="148" t="s">
        <v>108</v>
      </c>
      <c r="K3323" s="148" t="s">
        <v>64</v>
      </c>
      <c r="L3323" s="148" t="s">
        <v>65</v>
      </c>
      <c r="M3323" s="148" t="s">
        <v>66</v>
      </c>
      <c r="N3323" s="200">
        <v>46171.0</v>
      </c>
      <c r="O3323" s="148" t="s">
        <v>67</v>
      </c>
      <c r="P3323" s="148" t="s">
        <v>68</v>
      </c>
      <c r="Q3323" s="103"/>
      <c r="R3323" s="103"/>
      <c r="S3323" s="103"/>
      <c r="T3323" s="103"/>
      <c r="U3323" s="148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1">
        <v>3318.0</v>
      </c>
      <c r="B3324" s="180" t="s">
        <v>5547</v>
      </c>
      <c r="C3324" s="82" t="str">
        <f>VLOOKUP($B$7:$B$5000,SUM!$L$6:$L$500,1,FALSE)</f>
        <v>#N/A</v>
      </c>
      <c r="D3324" s="190" t="s">
        <v>5507</v>
      </c>
      <c r="E3324" s="198" t="s">
        <v>58</v>
      </c>
      <c r="F3324" s="199" t="s">
        <v>5508</v>
      </c>
      <c r="G3324" s="191" t="s">
        <v>5483</v>
      </c>
      <c r="H3324" s="199" t="s">
        <v>5519</v>
      </c>
      <c r="I3324" s="197" t="s">
        <v>5548</v>
      </c>
      <c r="J3324" s="148" t="s">
        <v>63</v>
      </c>
      <c r="K3324" s="148" t="s">
        <v>64</v>
      </c>
      <c r="L3324" s="148" t="s">
        <v>65</v>
      </c>
      <c r="M3324" s="148" t="s">
        <v>66</v>
      </c>
      <c r="N3324" s="200">
        <v>46171.0</v>
      </c>
      <c r="O3324" s="148" t="s">
        <v>67</v>
      </c>
      <c r="P3324" s="148" t="s">
        <v>68</v>
      </c>
      <c r="Q3324" s="103"/>
      <c r="R3324" s="103"/>
      <c r="S3324" s="103"/>
      <c r="T3324" s="103"/>
      <c r="U3324" s="148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1">
        <v>3319.0</v>
      </c>
      <c r="B3325" s="180" t="s">
        <v>5549</v>
      </c>
      <c r="C3325" s="82" t="str">
        <f>VLOOKUP($B$7:$B$5000,SUM!$L$6:$L$500,1,FALSE)</f>
        <v>#N/A</v>
      </c>
      <c r="D3325" s="190" t="s">
        <v>5507</v>
      </c>
      <c r="E3325" s="198" t="s">
        <v>58</v>
      </c>
      <c r="F3325" s="199" t="s">
        <v>5508</v>
      </c>
      <c r="G3325" s="191" t="s">
        <v>4956</v>
      </c>
      <c r="H3325" s="199" t="s">
        <v>5521</v>
      </c>
      <c r="I3325" s="197" t="s">
        <v>5548</v>
      </c>
      <c r="J3325" s="148" t="s">
        <v>63</v>
      </c>
      <c r="K3325" s="148" t="s">
        <v>64</v>
      </c>
      <c r="L3325" s="148" t="s">
        <v>65</v>
      </c>
      <c r="M3325" s="148" t="s">
        <v>66</v>
      </c>
      <c r="N3325" s="200">
        <v>46171.0</v>
      </c>
      <c r="O3325" s="148" t="s">
        <v>67</v>
      </c>
      <c r="P3325" s="148" t="s">
        <v>68</v>
      </c>
      <c r="Q3325" s="103"/>
      <c r="R3325" s="103"/>
      <c r="S3325" s="103"/>
      <c r="T3325" s="103"/>
      <c r="U3325" s="148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1">
        <v>3320.0</v>
      </c>
      <c r="B3326" s="180" t="s">
        <v>5550</v>
      </c>
      <c r="C3326" s="82" t="str">
        <f>VLOOKUP($B$7:$B$5000,SUM!$L$6:$L$500,1,FALSE)</f>
        <v>#N/A</v>
      </c>
      <c r="D3326" s="190" t="s">
        <v>5551</v>
      </c>
      <c r="E3326" s="198" t="s">
        <v>58</v>
      </c>
      <c r="F3326" s="199" t="s">
        <v>5552</v>
      </c>
      <c r="G3326" s="191" t="s">
        <v>5553</v>
      </c>
      <c r="H3326" s="199" t="s">
        <v>5554</v>
      </c>
      <c r="I3326" s="201" t="s">
        <v>5555</v>
      </c>
      <c r="J3326" s="148" t="s">
        <v>74</v>
      </c>
      <c r="K3326" s="148" t="s">
        <v>64</v>
      </c>
      <c r="L3326" s="148" t="s">
        <v>65</v>
      </c>
      <c r="M3326" s="148" t="s">
        <v>66</v>
      </c>
      <c r="N3326" s="200">
        <v>46171.0</v>
      </c>
      <c r="O3326" s="148" t="s">
        <v>67</v>
      </c>
      <c r="P3326" s="148" t="s">
        <v>68</v>
      </c>
      <c r="Q3326" s="103"/>
      <c r="R3326" s="103"/>
      <c r="S3326" s="103"/>
      <c r="T3326" s="103"/>
      <c r="U3326" s="148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1">
        <v>3321.0</v>
      </c>
      <c r="B3327" s="180" t="s">
        <v>5556</v>
      </c>
      <c r="C3327" s="82" t="str">
        <f>VLOOKUP($B$7:$B$5000,SUM!$L$6:$L$500,1,FALSE)</f>
        <v>#N/A</v>
      </c>
      <c r="D3327" s="190" t="s">
        <v>5551</v>
      </c>
      <c r="E3327" s="198" t="s">
        <v>58</v>
      </c>
      <c r="F3327" s="199" t="s">
        <v>5552</v>
      </c>
      <c r="G3327" s="191" t="s">
        <v>5553</v>
      </c>
      <c r="H3327" s="199" t="s">
        <v>5557</v>
      </c>
      <c r="I3327" s="201" t="s">
        <v>5555</v>
      </c>
      <c r="J3327" s="148" t="s">
        <v>74</v>
      </c>
      <c r="K3327" s="148" t="s">
        <v>64</v>
      </c>
      <c r="L3327" s="148" t="s">
        <v>65</v>
      </c>
      <c r="M3327" s="148" t="s">
        <v>66</v>
      </c>
      <c r="N3327" s="200">
        <v>46171.0</v>
      </c>
      <c r="O3327" s="148" t="s">
        <v>67</v>
      </c>
      <c r="P3327" s="148" t="s">
        <v>68</v>
      </c>
      <c r="Q3327" s="103"/>
      <c r="R3327" s="103"/>
      <c r="S3327" s="103"/>
      <c r="T3327" s="103"/>
      <c r="U3327" s="148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1">
        <v>3322.0</v>
      </c>
      <c r="B3328" s="180" t="s">
        <v>5558</v>
      </c>
      <c r="C3328" s="82" t="str">
        <f>VLOOKUP($B$7:$B$5000,SUM!$L$6:$L$500,1,FALSE)</f>
        <v>#N/A</v>
      </c>
      <c r="D3328" s="190" t="s">
        <v>5551</v>
      </c>
      <c r="E3328" s="198" t="s">
        <v>58</v>
      </c>
      <c r="F3328" s="199" t="s">
        <v>5552</v>
      </c>
      <c r="G3328" s="191" t="s">
        <v>5553</v>
      </c>
      <c r="H3328" s="199" t="s">
        <v>5559</v>
      </c>
      <c r="I3328" s="201" t="s">
        <v>5555</v>
      </c>
      <c r="J3328" s="148" t="s">
        <v>74</v>
      </c>
      <c r="K3328" s="148" t="s">
        <v>64</v>
      </c>
      <c r="L3328" s="148" t="s">
        <v>65</v>
      </c>
      <c r="M3328" s="148" t="s">
        <v>66</v>
      </c>
      <c r="N3328" s="200">
        <v>46171.0</v>
      </c>
      <c r="O3328" s="148" t="s">
        <v>67</v>
      </c>
      <c r="P3328" s="148" t="s">
        <v>68</v>
      </c>
      <c r="Q3328" s="103"/>
      <c r="R3328" s="103"/>
      <c r="S3328" s="103"/>
      <c r="T3328" s="103"/>
      <c r="U3328" s="148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02">
        <v>3323.0</v>
      </c>
      <c r="B3329" s="180" t="s">
        <v>5560</v>
      </c>
      <c r="C3329" s="203" t="str">
        <f>VLOOKUP($B$7:$B$5000,SUM!$L$6:$L$500,1,FALSE)</f>
        <v>#N/A</v>
      </c>
      <c r="D3329" s="204" t="s">
        <v>5561</v>
      </c>
      <c r="E3329" s="205" t="s">
        <v>58</v>
      </c>
      <c r="F3329" s="206" t="s">
        <v>105</v>
      </c>
      <c r="G3329" s="207" t="s">
        <v>1362</v>
      </c>
      <c r="H3329" s="206" t="s">
        <v>5562</v>
      </c>
      <c r="I3329" s="208" t="s">
        <v>5563</v>
      </c>
      <c r="J3329" s="103" t="s">
        <v>63</v>
      </c>
      <c r="K3329" s="148" t="s">
        <v>64</v>
      </c>
      <c r="L3329" s="103" t="s">
        <v>65</v>
      </c>
      <c r="M3329" s="148" t="s">
        <v>66</v>
      </c>
      <c r="N3329" s="200">
        <v>46171.0</v>
      </c>
      <c r="O3329" s="148" t="s">
        <v>67</v>
      </c>
      <c r="P3329" s="148" t="s">
        <v>68</v>
      </c>
      <c r="Q3329" s="154" t="s">
        <v>2132</v>
      </c>
      <c r="R3329" s="154" t="s">
        <v>66</v>
      </c>
      <c r="S3329" s="173">
        <v>46189.0</v>
      </c>
      <c r="T3329" s="156"/>
      <c r="U3329" s="154" t="s">
        <v>31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1">
        <v>3324.0</v>
      </c>
      <c r="B3330" s="180" t="s">
        <v>5564</v>
      </c>
      <c r="C3330" s="82" t="str">
        <f>VLOOKUP($B$7:$B$5000,SUM!$L$6:$L$500,1,FALSE)</f>
        <v>#N/A</v>
      </c>
      <c r="D3330" s="190" t="s">
        <v>5561</v>
      </c>
      <c r="E3330" s="165" t="s">
        <v>58</v>
      </c>
      <c r="F3330" s="199" t="s">
        <v>105</v>
      </c>
      <c r="G3330" s="191" t="s">
        <v>1362</v>
      </c>
      <c r="H3330" s="199" t="s">
        <v>5565</v>
      </c>
      <c r="I3330" s="197" t="s">
        <v>5563</v>
      </c>
      <c r="J3330" s="103" t="s">
        <v>63</v>
      </c>
      <c r="K3330" s="148" t="s">
        <v>64</v>
      </c>
      <c r="L3330" s="103" t="s">
        <v>65</v>
      </c>
      <c r="M3330" s="148" t="s">
        <v>66</v>
      </c>
      <c r="N3330" s="200">
        <v>46171.0</v>
      </c>
      <c r="O3330" s="148" t="s">
        <v>67</v>
      </c>
      <c r="P3330" s="148" t="s">
        <v>68</v>
      </c>
      <c r="Q3330" s="103"/>
      <c r="R3330" s="103"/>
      <c r="S3330" s="103"/>
      <c r="T3330" s="103"/>
      <c r="U3330" s="148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09">
        <v>3325.0</v>
      </c>
      <c r="B3331" s="180" t="s">
        <v>5566</v>
      </c>
      <c r="C3331" s="82" t="str">
        <f>VLOOKUP($B$7:$B$5000,SUM!$L$6:$L$500,1,FALSE)</f>
        <v>#N/A</v>
      </c>
      <c r="D3331" s="190" t="s">
        <v>5561</v>
      </c>
      <c r="E3331" s="198" t="s">
        <v>58</v>
      </c>
      <c r="F3331" s="199" t="s">
        <v>105</v>
      </c>
      <c r="G3331" s="191" t="s">
        <v>1362</v>
      </c>
      <c r="H3331" s="199" t="s">
        <v>5567</v>
      </c>
      <c r="I3331" s="197" t="s">
        <v>5563</v>
      </c>
      <c r="J3331" s="103" t="s">
        <v>63</v>
      </c>
      <c r="K3331" s="148" t="s">
        <v>64</v>
      </c>
      <c r="L3331" s="103" t="s">
        <v>65</v>
      </c>
      <c r="M3331" s="148" t="s">
        <v>66</v>
      </c>
      <c r="N3331" s="200">
        <v>46171.0</v>
      </c>
      <c r="O3331" s="148" t="s">
        <v>67</v>
      </c>
      <c r="P3331" s="148" t="s">
        <v>68</v>
      </c>
      <c r="Q3331" s="103"/>
      <c r="R3331" s="103"/>
      <c r="S3331" s="103"/>
      <c r="T3331" s="103"/>
      <c r="U3331" s="148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1">
        <v>3326.0</v>
      </c>
      <c r="B3332" s="180" t="s">
        <v>5568</v>
      </c>
      <c r="C3332" s="82" t="str">
        <f>VLOOKUP($B$7:$B$5000,SUM!$L$6:$L$500,1,FALSE)</f>
        <v>#N/A</v>
      </c>
      <c r="D3332" s="190" t="s">
        <v>5561</v>
      </c>
      <c r="E3332" s="165" t="s">
        <v>58</v>
      </c>
      <c r="F3332" s="199" t="s">
        <v>105</v>
      </c>
      <c r="G3332" s="191" t="s">
        <v>1362</v>
      </c>
      <c r="H3332" s="199" t="s">
        <v>5569</v>
      </c>
      <c r="I3332" s="197" t="s">
        <v>5563</v>
      </c>
      <c r="J3332" s="103" t="s">
        <v>63</v>
      </c>
      <c r="K3332" s="148" t="s">
        <v>64</v>
      </c>
      <c r="L3332" s="103" t="s">
        <v>65</v>
      </c>
      <c r="M3332" s="148" t="s">
        <v>66</v>
      </c>
      <c r="N3332" s="200">
        <v>46171.0</v>
      </c>
      <c r="O3332" s="148" t="s">
        <v>67</v>
      </c>
      <c r="P3332" s="148" t="s">
        <v>68</v>
      </c>
      <c r="Q3332" s="103"/>
      <c r="R3332" s="103"/>
      <c r="S3332" s="103"/>
      <c r="T3332" s="103"/>
      <c r="U3332" s="148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1">
        <v>3327.0</v>
      </c>
      <c r="B3333" s="180" t="s">
        <v>5570</v>
      </c>
      <c r="C3333" s="82" t="str">
        <f>VLOOKUP($B$7:$B$5000,SUM!$L$6:$L$500,1,FALSE)</f>
        <v>#N/A</v>
      </c>
      <c r="D3333" s="190" t="s">
        <v>5561</v>
      </c>
      <c r="E3333" s="198" t="s">
        <v>58</v>
      </c>
      <c r="F3333" s="199" t="s">
        <v>105</v>
      </c>
      <c r="G3333" s="191" t="s">
        <v>1362</v>
      </c>
      <c r="H3333" s="199" t="s">
        <v>5571</v>
      </c>
      <c r="I3333" s="197" t="s">
        <v>5563</v>
      </c>
      <c r="J3333" s="103" t="s">
        <v>63</v>
      </c>
      <c r="K3333" s="148" t="s">
        <v>64</v>
      </c>
      <c r="L3333" s="103" t="s">
        <v>65</v>
      </c>
      <c r="M3333" s="148" t="s">
        <v>66</v>
      </c>
      <c r="N3333" s="200">
        <v>46171.0</v>
      </c>
      <c r="O3333" s="148" t="s">
        <v>67</v>
      </c>
      <c r="P3333" s="148" t="s">
        <v>68</v>
      </c>
      <c r="Q3333" s="103"/>
      <c r="R3333" s="103"/>
      <c r="S3333" s="103"/>
      <c r="T3333" s="103"/>
      <c r="U3333" s="148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1">
        <v>3328.0</v>
      </c>
      <c r="B3334" s="180" t="s">
        <v>5572</v>
      </c>
      <c r="C3334" s="82" t="str">
        <f>VLOOKUP($B$7:$B$5000,SUM!$L$6:$L$500,1,FALSE)</f>
        <v>#N/A</v>
      </c>
      <c r="D3334" s="190" t="s">
        <v>5561</v>
      </c>
      <c r="E3334" s="165" t="s">
        <v>58</v>
      </c>
      <c r="F3334" s="199" t="s">
        <v>105</v>
      </c>
      <c r="G3334" s="191" t="s">
        <v>1362</v>
      </c>
      <c r="H3334" s="199" t="s">
        <v>5573</v>
      </c>
      <c r="I3334" s="197" t="s">
        <v>5563</v>
      </c>
      <c r="J3334" s="103" t="s">
        <v>63</v>
      </c>
      <c r="K3334" s="148" t="s">
        <v>64</v>
      </c>
      <c r="L3334" s="103" t="s">
        <v>65</v>
      </c>
      <c r="M3334" s="148" t="s">
        <v>66</v>
      </c>
      <c r="N3334" s="200">
        <v>46171.0</v>
      </c>
      <c r="O3334" s="148" t="s">
        <v>67</v>
      </c>
      <c r="P3334" s="148" t="s">
        <v>68</v>
      </c>
      <c r="Q3334" s="103"/>
      <c r="R3334" s="103"/>
      <c r="S3334" s="103"/>
      <c r="T3334" s="103"/>
      <c r="U3334" s="148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1">
        <v>3329.0</v>
      </c>
      <c r="B3335" s="180" t="s">
        <v>5574</v>
      </c>
      <c r="C3335" s="82" t="str">
        <f>VLOOKUP($B$7:$B$5000,SUM!$L$6:$L$500,1,FALSE)</f>
        <v>#N/A</v>
      </c>
      <c r="D3335" s="190" t="s">
        <v>5561</v>
      </c>
      <c r="E3335" s="198" t="s">
        <v>58</v>
      </c>
      <c r="F3335" s="199" t="s">
        <v>105</v>
      </c>
      <c r="G3335" s="191" t="s">
        <v>1362</v>
      </c>
      <c r="H3335" s="199" t="s">
        <v>5575</v>
      </c>
      <c r="I3335" s="197" t="s">
        <v>5563</v>
      </c>
      <c r="J3335" s="103" t="s">
        <v>63</v>
      </c>
      <c r="K3335" s="148" t="s">
        <v>64</v>
      </c>
      <c r="L3335" s="103" t="s">
        <v>65</v>
      </c>
      <c r="M3335" s="148" t="s">
        <v>66</v>
      </c>
      <c r="N3335" s="200">
        <v>46171.0</v>
      </c>
      <c r="O3335" s="148" t="s">
        <v>67</v>
      </c>
      <c r="P3335" s="148" t="s">
        <v>68</v>
      </c>
      <c r="Q3335" s="103"/>
      <c r="R3335" s="103"/>
      <c r="S3335" s="103"/>
      <c r="T3335" s="103"/>
      <c r="U3335" s="148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1">
        <v>3330.0</v>
      </c>
      <c r="B3336" s="180" t="s">
        <v>5576</v>
      </c>
      <c r="C3336" s="82" t="str">
        <f>VLOOKUP($B$7:$B$5000,SUM!$L$6:$L$500,1,FALSE)</f>
        <v>#N/A</v>
      </c>
      <c r="D3336" s="190" t="s">
        <v>5561</v>
      </c>
      <c r="E3336" s="165" t="s">
        <v>58</v>
      </c>
      <c r="F3336" s="199" t="s">
        <v>105</v>
      </c>
      <c r="G3336" s="191" t="s">
        <v>1362</v>
      </c>
      <c r="H3336" s="199" t="s">
        <v>5577</v>
      </c>
      <c r="I3336" s="197" t="s">
        <v>5563</v>
      </c>
      <c r="J3336" s="103" t="s">
        <v>63</v>
      </c>
      <c r="K3336" s="148" t="s">
        <v>64</v>
      </c>
      <c r="L3336" s="103" t="s">
        <v>65</v>
      </c>
      <c r="M3336" s="148" t="s">
        <v>66</v>
      </c>
      <c r="N3336" s="200">
        <v>46171.0</v>
      </c>
      <c r="O3336" s="148" t="s">
        <v>67</v>
      </c>
      <c r="P3336" s="148" t="s">
        <v>68</v>
      </c>
      <c r="Q3336" s="103"/>
      <c r="R3336" s="103"/>
      <c r="S3336" s="103"/>
      <c r="T3336" s="103"/>
      <c r="U3336" s="148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1">
        <v>3331.0</v>
      </c>
      <c r="B3337" s="180" t="s">
        <v>5578</v>
      </c>
      <c r="C3337" s="82" t="str">
        <f>VLOOKUP($B$7:$B$5000,SUM!$L$6:$L$500,1,FALSE)</f>
        <v>#N/A</v>
      </c>
      <c r="D3337" s="190" t="s">
        <v>5561</v>
      </c>
      <c r="E3337" s="198" t="s">
        <v>58</v>
      </c>
      <c r="F3337" s="199" t="s">
        <v>105</v>
      </c>
      <c r="G3337" s="191" t="s">
        <v>1362</v>
      </c>
      <c r="H3337" s="199" t="s">
        <v>5579</v>
      </c>
      <c r="I3337" s="197" t="s">
        <v>5563</v>
      </c>
      <c r="J3337" s="103" t="s">
        <v>63</v>
      </c>
      <c r="K3337" s="148" t="s">
        <v>64</v>
      </c>
      <c r="L3337" s="103" t="s">
        <v>65</v>
      </c>
      <c r="M3337" s="148" t="s">
        <v>66</v>
      </c>
      <c r="N3337" s="200">
        <v>46171.0</v>
      </c>
      <c r="O3337" s="148" t="s">
        <v>67</v>
      </c>
      <c r="P3337" s="148" t="s">
        <v>68</v>
      </c>
      <c r="Q3337" s="103"/>
      <c r="R3337" s="103"/>
      <c r="S3337" s="103"/>
      <c r="T3337" s="103"/>
      <c r="U3337" s="148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1">
        <v>3332.0</v>
      </c>
      <c r="B3338" s="180" t="s">
        <v>5580</v>
      </c>
      <c r="C3338" s="82" t="str">
        <f>VLOOKUP($B$7:$B$5000,SUM!$L$6:$L$500,1,FALSE)</f>
        <v>#N/A</v>
      </c>
      <c r="D3338" s="190" t="s">
        <v>5561</v>
      </c>
      <c r="E3338" s="165" t="s">
        <v>58</v>
      </c>
      <c r="F3338" s="199" t="s">
        <v>105</v>
      </c>
      <c r="G3338" s="191" t="s">
        <v>1362</v>
      </c>
      <c r="H3338" s="199" t="s">
        <v>5581</v>
      </c>
      <c r="I3338" s="197" t="s">
        <v>5563</v>
      </c>
      <c r="J3338" s="103" t="s">
        <v>63</v>
      </c>
      <c r="K3338" s="148" t="s">
        <v>64</v>
      </c>
      <c r="L3338" s="103" t="s">
        <v>65</v>
      </c>
      <c r="M3338" s="148" t="s">
        <v>66</v>
      </c>
      <c r="N3338" s="200">
        <v>46171.0</v>
      </c>
      <c r="O3338" s="148" t="s">
        <v>67</v>
      </c>
      <c r="P3338" s="148" t="s">
        <v>68</v>
      </c>
      <c r="Q3338" s="103"/>
      <c r="R3338" s="103"/>
      <c r="S3338" s="103"/>
      <c r="T3338" s="103"/>
      <c r="U3338" s="148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1">
        <v>3333.0</v>
      </c>
      <c r="B3339" s="180" t="s">
        <v>5582</v>
      </c>
      <c r="C3339" s="82" t="str">
        <f>VLOOKUP($B$7:$B$5000,SUM!$L$6:$L$500,1,FALSE)</f>
        <v>#N/A</v>
      </c>
      <c r="D3339" s="190" t="s">
        <v>5561</v>
      </c>
      <c r="E3339" s="198" t="s">
        <v>58</v>
      </c>
      <c r="F3339" s="199" t="s">
        <v>105</v>
      </c>
      <c r="G3339" s="191" t="s">
        <v>1362</v>
      </c>
      <c r="H3339" s="199" t="s">
        <v>5583</v>
      </c>
      <c r="I3339" s="197" t="s">
        <v>5563</v>
      </c>
      <c r="J3339" s="103" t="s">
        <v>63</v>
      </c>
      <c r="K3339" s="148" t="s">
        <v>64</v>
      </c>
      <c r="L3339" s="103" t="s">
        <v>65</v>
      </c>
      <c r="M3339" s="148" t="s">
        <v>66</v>
      </c>
      <c r="N3339" s="200">
        <v>46171.0</v>
      </c>
      <c r="O3339" s="148" t="s">
        <v>67</v>
      </c>
      <c r="P3339" s="148" t="s">
        <v>68</v>
      </c>
      <c r="Q3339" s="103"/>
      <c r="R3339" s="103"/>
      <c r="S3339" s="103"/>
      <c r="T3339" s="103"/>
      <c r="U3339" s="148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1">
        <v>3334.0</v>
      </c>
      <c r="B3340" s="180" t="s">
        <v>5584</v>
      </c>
      <c r="C3340" s="82" t="str">
        <f>VLOOKUP($B$7:$B$5000,SUM!$L$6:$L$500,1,FALSE)</f>
        <v>#N/A</v>
      </c>
      <c r="D3340" s="190" t="s">
        <v>5561</v>
      </c>
      <c r="E3340" s="165" t="s">
        <v>58</v>
      </c>
      <c r="F3340" s="199" t="s">
        <v>105</v>
      </c>
      <c r="G3340" s="191" t="s">
        <v>1362</v>
      </c>
      <c r="H3340" s="199" t="s">
        <v>5585</v>
      </c>
      <c r="I3340" s="197" t="s">
        <v>5563</v>
      </c>
      <c r="J3340" s="103" t="s">
        <v>63</v>
      </c>
      <c r="K3340" s="148" t="s">
        <v>64</v>
      </c>
      <c r="L3340" s="103" t="s">
        <v>65</v>
      </c>
      <c r="M3340" s="148" t="s">
        <v>66</v>
      </c>
      <c r="N3340" s="200">
        <v>46171.0</v>
      </c>
      <c r="O3340" s="148" t="s">
        <v>67</v>
      </c>
      <c r="P3340" s="148" t="s">
        <v>68</v>
      </c>
      <c r="Q3340" s="103"/>
      <c r="R3340" s="103"/>
      <c r="S3340" s="103"/>
      <c r="T3340" s="103"/>
      <c r="U3340" s="148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1">
        <v>3335.0</v>
      </c>
      <c r="B3341" s="180" t="s">
        <v>5586</v>
      </c>
      <c r="C3341" s="82" t="str">
        <f>VLOOKUP($B$7:$B$5000,SUM!$L$6:$L$500,1,FALSE)</f>
        <v>#N/A</v>
      </c>
      <c r="D3341" s="190" t="s">
        <v>5561</v>
      </c>
      <c r="E3341" s="198" t="s">
        <v>58</v>
      </c>
      <c r="F3341" s="199" t="s">
        <v>105</v>
      </c>
      <c r="G3341" s="191" t="s">
        <v>1362</v>
      </c>
      <c r="H3341" s="199" t="s">
        <v>5587</v>
      </c>
      <c r="I3341" s="197" t="s">
        <v>5563</v>
      </c>
      <c r="J3341" s="103" t="s">
        <v>63</v>
      </c>
      <c r="K3341" s="148" t="s">
        <v>64</v>
      </c>
      <c r="L3341" s="103" t="s">
        <v>65</v>
      </c>
      <c r="M3341" s="148" t="s">
        <v>66</v>
      </c>
      <c r="N3341" s="200">
        <v>46171.0</v>
      </c>
      <c r="O3341" s="148" t="s">
        <v>67</v>
      </c>
      <c r="P3341" s="148" t="s">
        <v>68</v>
      </c>
      <c r="Q3341" s="103"/>
      <c r="R3341" s="103"/>
      <c r="S3341" s="103"/>
      <c r="T3341" s="103"/>
      <c r="U3341" s="148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1">
        <v>3336.0</v>
      </c>
      <c r="B3342" s="180" t="s">
        <v>5588</v>
      </c>
      <c r="C3342" s="82" t="str">
        <f>VLOOKUP($B$7:$B$5000,SUM!$L$6:$L$500,1,FALSE)</f>
        <v>#N/A</v>
      </c>
      <c r="D3342" s="190" t="s">
        <v>5561</v>
      </c>
      <c r="E3342" s="165" t="s">
        <v>58</v>
      </c>
      <c r="F3342" s="199" t="s">
        <v>105</v>
      </c>
      <c r="G3342" s="191" t="s">
        <v>1362</v>
      </c>
      <c r="H3342" s="199" t="s">
        <v>5589</v>
      </c>
      <c r="I3342" s="197" t="s">
        <v>5563</v>
      </c>
      <c r="J3342" s="103" t="s">
        <v>63</v>
      </c>
      <c r="K3342" s="148" t="s">
        <v>64</v>
      </c>
      <c r="L3342" s="103" t="s">
        <v>65</v>
      </c>
      <c r="M3342" s="148" t="s">
        <v>66</v>
      </c>
      <c r="N3342" s="200">
        <v>46171.0</v>
      </c>
      <c r="O3342" s="148" t="s">
        <v>67</v>
      </c>
      <c r="P3342" s="148" t="s">
        <v>68</v>
      </c>
      <c r="Q3342" s="103"/>
      <c r="R3342" s="103"/>
      <c r="S3342" s="103"/>
      <c r="T3342" s="103"/>
      <c r="U3342" s="148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1">
        <v>3337.0</v>
      </c>
      <c r="B3343" s="180" t="s">
        <v>5590</v>
      </c>
      <c r="C3343" s="82" t="str">
        <f>VLOOKUP($B$7:$B$5000,SUM!$L$6:$L$500,1,FALSE)</f>
        <v>#N/A</v>
      </c>
      <c r="D3343" s="190" t="s">
        <v>5561</v>
      </c>
      <c r="E3343" s="198" t="s">
        <v>58</v>
      </c>
      <c r="F3343" s="199" t="s">
        <v>105</v>
      </c>
      <c r="G3343" s="191" t="s">
        <v>1362</v>
      </c>
      <c r="H3343" s="199" t="s">
        <v>5591</v>
      </c>
      <c r="I3343" s="197" t="s">
        <v>5563</v>
      </c>
      <c r="J3343" s="103" t="s">
        <v>63</v>
      </c>
      <c r="K3343" s="148" t="s">
        <v>64</v>
      </c>
      <c r="L3343" s="103" t="s">
        <v>65</v>
      </c>
      <c r="M3343" s="148" t="s">
        <v>66</v>
      </c>
      <c r="N3343" s="200">
        <v>46171.0</v>
      </c>
      <c r="O3343" s="148" t="s">
        <v>67</v>
      </c>
      <c r="P3343" s="148" t="s">
        <v>68</v>
      </c>
      <c r="Q3343" s="103"/>
      <c r="R3343" s="103"/>
      <c r="S3343" s="103"/>
      <c r="T3343" s="103"/>
      <c r="U3343" s="148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1">
        <v>3338.0</v>
      </c>
      <c r="B3344" s="180" t="s">
        <v>5592</v>
      </c>
      <c r="C3344" s="82" t="str">
        <f>VLOOKUP($B$7:$B$5000,SUM!$L$6:$L$500,1,FALSE)</f>
        <v>#N/A</v>
      </c>
      <c r="D3344" s="190" t="s">
        <v>5561</v>
      </c>
      <c r="E3344" s="165" t="s">
        <v>58</v>
      </c>
      <c r="F3344" s="199" t="s">
        <v>105</v>
      </c>
      <c r="G3344" s="191" t="s">
        <v>1362</v>
      </c>
      <c r="H3344" s="199" t="s">
        <v>5593</v>
      </c>
      <c r="I3344" s="197" t="s">
        <v>5563</v>
      </c>
      <c r="J3344" s="103" t="s">
        <v>63</v>
      </c>
      <c r="K3344" s="148" t="s">
        <v>64</v>
      </c>
      <c r="L3344" s="103" t="s">
        <v>65</v>
      </c>
      <c r="M3344" s="148" t="s">
        <v>66</v>
      </c>
      <c r="N3344" s="200">
        <v>46171.0</v>
      </c>
      <c r="O3344" s="148" t="s">
        <v>67</v>
      </c>
      <c r="P3344" s="148" t="s">
        <v>68</v>
      </c>
      <c r="Q3344" s="103"/>
      <c r="R3344" s="103"/>
      <c r="S3344" s="103"/>
      <c r="T3344" s="103"/>
      <c r="U3344" s="148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1">
        <v>3339.0</v>
      </c>
      <c r="B3345" s="180" t="s">
        <v>5594</v>
      </c>
      <c r="C3345" s="82" t="str">
        <f>VLOOKUP($B$7:$B$5000,SUM!$L$6:$L$500,1,FALSE)</f>
        <v>#N/A</v>
      </c>
      <c r="D3345" s="190" t="s">
        <v>5561</v>
      </c>
      <c r="E3345" s="198" t="s">
        <v>58</v>
      </c>
      <c r="F3345" s="199" t="s">
        <v>105</v>
      </c>
      <c r="G3345" s="191" t="s">
        <v>1362</v>
      </c>
      <c r="H3345" s="199" t="s">
        <v>5595</v>
      </c>
      <c r="I3345" s="197" t="s">
        <v>5563</v>
      </c>
      <c r="J3345" s="103" t="s">
        <v>63</v>
      </c>
      <c r="K3345" s="148" t="s">
        <v>64</v>
      </c>
      <c r="L3345" s="103" t="s">
        <v>65</v>
      </c>
      <c r="M3345" s="148" t="s">
        <v>66</v>
      </c>
      <c r="N3345" s="200">
        <v>46171.0</v>
      </c>
      <c r="O3345" s="148" t="s">
        <v>67</v>
      </c>
      <c r="P3345" s="148" t="s">
        <v>68</v>
      </c>
      <c r="Q3345" s="103"/>
      <c r="R3345" s="103"/>
      <c r="S3345" s="103"/>
      <c r="T3345" s="103"/>
      <c r="U3345" s="148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1">
        <v>3340.0</v>
      </c>
      <c r="B3346" s="180" t="s">
        <v>5596</v>
      </c>
      <c r="C3346" s="82" t="str">
        <f>VLOOKUP($B$7:$B$5000,SUM!$L$6:$L$500,1,FALSE)</f>
        <v>#N/A</v>
      </c>
      <c r="D3346" s="190" t="s">
        <v>5561</v>
      </c>
      <c r="E3346" s="165" t="s">
        <v>58</v>
      </c>
      <c r="F3346" s="199" t="s">
        <v>105</v>
      </c>
      <c r="G3346" s="191" t="s">
        <v>1362</v>
      </c>
      <c r="H3346" s="210" t="s">
        <v>5562</v>
      </c>
      <c r="I3346" s="197" t="s">
        <v>5597</v>
      </c>
      <c r="J3346" s="103" t="s">
        <v>63</v>
      </c>
      <c r="K3346" s="148" t="s">
        <v>64</v>
      </c>
      <c r="L3346" s="103" t="s">
        <v>65</v>
      </c>
      <c r="M3346" s="148" t="s">
        <v>66</v>
      </c>
      <c r="N3346" s="200">
        <v>46171.0</v>
      </c>
      <c r="O3346" s="148" t="s">
        <v>67</v>
      </c>
      <c r="P3346" s="148" t="s">
        <v>68</v>
      </c>
      <c r="Q3346" s="103"/>
      <c r="R3346" s="103"/>
      <c r="S3346" s="103"/>
      <c r="T3346" s="103"/>
      <c r="U3346" s="148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1">
        <v>3341.0</v>
      </c>
      <c r="B3347" s="180" t="s">
        <v>5598</v>
      </c>
      <c r="C3347" s="82" t="str">
        <f>VLOOKUP($B$7:$B$5000,SUM!$L$6:$L$500,1,FALSE)</f>
        <v>#N/A</v>
      </c>
      <c r="D3347" s="190" t="s">
        <v>5561</v>
      </c>
      <c r="E3347" s="198" t="s">
        <v>58</v>
      </c>
      <c r="F3347" s="199" t="s">
        <v>105</v>
      </c>
      <c r="G3347" s="191" t="s">
        <v>1362</v>
      </c>
      <c r="H3347" s="199" t="s">
        <v>5565</v>
      </c>
      <c r="I3347" s="197" t="s">
        <v>5597</v>
      </c>
      <c r="J3347" s="103" t="s">
        <v>63</v>
      </c>
      <c r="K3347" s="148" t="s">
        <v>64</v>
      </c>
      <c r="L3347" s="103" t="s">
        <v>65</v>
      </c>
      <c r="M3347" s="148" t="s">
        <v>66</v>
      </c>
      <c r="N3347" s="200">
        <v>46171.0</v>
      </c>
      <c r="O3347" s="148" t="s">
        <v>67</v>
      </c>
      <c r="P3347" s="148" t="s">
        <v>68</v>
      </c>
      <c r="Q3347" s="103"/>
      <c r="R3347" s="103"/>
      <c r="S3347" s="103"/>
      <c r="T3347" s="103"/>
      <c r="U3347" s="148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1">
        <v>3342.0</v>
      </c>
      <c r="B3348" s="180" t="s">
        <v>5599</v>
      </c>
      <c r="C3348" s="82" t="str">
        <f>VLOOKUP($B$7:$B$5000,SUM!$L$6:$L$500,1,FALSE)</f>
        <v>#N/A</v>
      </c>
      <c r="D3348" s="190" t="s">
        <v>5561</v>
      </c>
      <c r="E3348" s="165" t="s">
        <v>58</v>
      </c>
      <c r="F3348" s="199" t="s">
        <v>105</v>
      </c>
      <c r="G3348" s="191" t="s">
        <v>1362</v>
      </c>
      <c r="H3348" s="199" t="s">
        <v>5567</v>
      </c>
      <c r="I3348" s="197" t="s">
        <v>5597</v>
      </c>
      <c r="J3348" s="103" t="s">
        <v>63</v>
      </c>
      <c r="K3348" s="148" t="s">
        <v>64</v>
      </c>
      <c r="L3348" s="103" t="s">
        <v>65</v>
      </c>
      <c r="M3348" s="148" t="s">
        <v>66</v>
      </c>
      <c r="N3348" s="200">
        <v>46171.0</v>
      </c>
      <c r="O3348" s="148" t="s">
        <v>67</v>
      </c>
      <c r="P3348" s="148" t="s">
        <v>68</v>
      </c>
      <c r="Q3348" s="103"/>
      <c r="R3348" s="103"/>
      <c r="S3348" s="103"/>
      <c r="T3348" s="103"/>
      <c r="U3348" s="148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1">
        <v>3343.0</v>
      </c>
      <c r="B3349" s="180" t="s">
        <v>5600</v>
      </c>
      <c r="C3349" s="82" t="str">
        <f>VLOOKUP($B$7:$B$5000,SUM!$L$6:$L$500,1,FALSE)</f>
        <v>#N/A</v>
      </c>
      <c r="D3349" s="190" t="s">
        <v>5561</v>
      </c>
      <c r="E3349" s="198" t="s">
        <v>58</v>
      </c>
      <c r="F3349" s="199" t="s">
        <v>105</v>
      </c>
      <c r="G3349" s="191" t="s">
        <v>1362</v>
      </c>
      <c r="H3349" s="199" t="s">
        <v>5569</v>
      </c>
      <c r="I3349" s="197" t="s">
        <v>5597</v>
      </c>
      <c r="J3349" s="103" t="s">
        <v>63</v>
      </c>
      <c r="K3349" s="148" t="s">
        <v>64</v>
      </c>
      <c r="L3349" s="103" t="s">
        <v>65</v>
      </c>
      <c r="M3349" s="148" t="s">
        <v>66</v>
      </c>
      <c r="N3349" s="200">
        <v>46171.0</v>
      </c>
      <c r="O3349" s="148" t="s">
        <v>67</v>
      </c>
      <c r="P3349" s="148" t="s">
        <v>68</v>
      </c>
      <c r="Q3349" s="103"/>
      <c r="R3349" s="103"/>
      <c r="S3349" s="103"/>
      <c r="T3349" s="103"/>
      <c r="U3349" s="148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1">
        <v>3344.0</v>
      </c>
      <c r="B3350" s="180" t="s">
        <v>5601</v>
      </c>
      <c r="C3350" s="82" t="str">
        <f>VLOOKUP($B$7:$B$5000,SUM!$L$6:$L$500,1,FALSE)</f>
        <v>#N/A</v>
      </c>
      <c r="D3350" s="190" t="s">
        <v>5561</v>
      </c>
      <c r="E3350" s="165" t="s">
        <v>58</v>
      </c>
      <c r="F3350" s="199" t="s">
        <v>105</v>
      </c>
      <c r="G3350" s="191" t="s">
        <v>1362</v>
      </c>
      <c r="H3350" s="199" t="s">
        <v>5571</v>
      </c>
      <c r="I3350" s="197" t="s">
        <v>5597</v>
      </c>
      <c r="J3350" s="103" t="s">
        <v>63</v>
      </c>
      <c r="K3350" s="148" t="s">
        <v>64</v>
      </c>
      <c r="L3350" s="103" t="s">
        <v>65</v>
      </c>
      <c r="M3350" s="148" t="s">
        <v>66</v>
      </c>
      <c r="N3350" s="200">
        <v>46171.0</v>
      </c>
      <c r="O3350" s="148" t="s">
        <v>67</v>
      </c>
      <c r="P3350" s="148" t="s">
        <v>68</v>
      </c>
      <c r="Q3350" s="103"/>
      <c r="R3350" s="103"/>
      <c r="S3350" s="103"/>
      <c r="T3350" s="103"/>
      <c r="U3350" s="148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1">
        <v>3345.0</v>
      </c>
      <c r="B3351" s="180" t="s">
        <v>5602</v>
      </c>
      <c r="C3351" s="82" t="str">
        <f>VLOOKUP($B$7:$B$5000,SUM!$L$6:$L$500,1,FALSE)</f>
        <v>#N/A</v>
      </c>
      <c r="D3351" s="190" t="s">
        <v>5561</v>
      </c>
      <c r="E3351" s="198" t="s">
        <v>58</v>
      </c>
      <c r="F3351" s="199" t="s">
        <v>105</v>
      </c>
      <c r="G3351" s="191" t="s">
        <v>1362</v>
      </c>
      <c r="H3351" s="199" t="s">
        <v>5573</v>
      </c>
      <c r="I3351" s="197" t="s">
        <v>5597</v>
      </c>
      <c r="J3351" s="103" t="s">
        <v>63</v>
      </c>
      <c r="K3351" s="148" t="s">
        <v>64</v>
      </c>
      <c r="L3351" s="103" t="s">
        <v>65</v>
      </c>
      <c r="M3351" s="148" t="s">
        <v>66</v>
      </c>
      <c r="N3351" s="200">
        <v>46171.0</v>
      </c>
      <c r="O3351" s="148" t="s">
        <v>67</v>
      </c>
      <c r="P3351" s="148" t="s">
        <v>68</v>
      </c>
      <c r="Q3351" s="103"/>
      <c r="R3351" s="103"/>
      <c r="S3351" s="103"/>
      <c r="T3351" s="103"/>
      <c r="U3351" s="148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1">
        <v>3346.0</v>
      </c>
      <c r="B3352" s="180" t="s">
        <v>5603</v>
      </c>
      <c r="C3352" s="82" t="str">
        <f>VLOOKUP($B$7:$B$5000,SUM!$L$6:$L$500,1,FALSE)</f>
        <v>#N/A</v>
      </c>
      <c r="D3352" s="190" t="s">
        <v>5561</v>
      </c>
      <c r="E3352" s="165" t="s">
        <v>58</v>
      </c>
      <c r="F3352" s="199" t="s">
        <v>105</v>
      </c>
      <c r="G3352" s="191" t="s">
        <v>1362</v>
      </c>
      <c r="H3352" s="199" t="s">
        <v>5575</v>
      </c>
      <c r="I3352" s="197" t="s">
        <v>5597</v>
      </c>
      <c r="J3352" s="103" t="s">
        <v>63</v>
      </c>
      <c r="K3352" s="148" t="s">
        <v>64</v>
      </c>
      <c r="L3352" s="103" t="s">
        <v>65</v>
      </c>
      <c r="M3352" s="148" t="s">
        <v>66</v>
      </c>
      <c r="N3352" s="200">
        <v>46171.0</v>
      </c>
      <c r="O3352" s="148" t="s">
        <v>67</v>
      </c>
      <c r="P3352" s="148" t="s">
        <v>68</v>
      </c>
      <c r="Q3352" s="103"/>
      <c r="R3352" s="103"/>
      <c r="S3352" s="103"/>
      <c r="T3352" s="103"/>
      <c r="U3352" s="148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1">
        <v>3347.0</v>
      </c>
      <c r="B3353" s="180" t="s">
        <v>5604</v>
      </c>
      <c r="C3353" s="82" t="str">
        <f>VLOOKUP($B$7:$B$5000,SUM!$L$6:$L$500,1,FALSE)</f>
        <v>#N/A</v>
      </c>
      <c r="D3353" s="190" t="s">
        <v>5561</v>
      </c>
      <c r="E3353" s="198" t="s">
        <v>58</v>
      </c>
      <c r="F3353" s="199" t="s">
        <v>105</v>
      </c>
      <c r="G3353" s="191" t="s">
        <v>1362</v>
      </c>
      <c r="H3353" s="199" t="s">
        <v>5577</v>
      </c>
      <c r="I3353" s="197" t="s">
        <v>5597</v>
      </c>
      <c r="J3353" s="103" t="s">
        <v>63</v>
      </c>
      <c r="K3353" s="148" t="s">
        <v>64</v>
      </c>
      <c r="L3353" s="103" t="s">
        <v>65</v>
      </c>
      <c r="M3353" s="148" t="s">
        <v>66</v>
      </c>
      <c r="N3353" s="200">
        <v>46171.0</v>
      </c>
      <c r="O3353" s="148" t="s">
        <v>67</v>
      </c>
      <c r="P3353" s="148" t="s">
        <v>68</v>
      </c>
      <c r="Q3353" s="103"/>
      <c r="R3353" s="103"/>
      <c r="S3353" s="103"/>
      <c r="T3353" s="103"/>
      <c r="U3353" s="148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1">
        <v>3348.0</v>
      </c>
      <c r="B3354" s="180" t="s">
        <v>5605</v>
      </c>
      <c r="C3354" s="82" t="str">
        <f>VLOOKUP($B$7:$B$5000,SUM!$L$6:$L$500,1,FALSE)</f>
        <v>#N/A</v>
      </c>
      <c r="D3354" s="190" t="s">
        <v>5561</v>
      </c>
      <c r="E3354" s="165" t="s">
        <v>58</v>
      </c>
      <c r="F3354" s="199" t="s">
        <v>105</v>
      </c>
      <c r="G3354" s="191" t="s">
        <v>1362</v>
      </c>
      <c r="H3354" s="199" t="s">
        <v>5579</v>
      </c>
      <c r="I3354" s="197" t="s">
        <v>5597</v>
      </c>
      <c r="J3354" s="103" t="s">
        <v>63</v>
      </c>
      <c r="K3354" s="148" t="s">
        <v>64</v>
      </c>
      <c r="L3354" s="103" t="s">
        <v>65</v>
      </c>
      <c r="M3354" s="148" t="s">
        <v>66</v>
      </c>
      <c r="N3354" s="200">
        <v>46171.0</v>
      </c>
      <c r="O3354" s="148" t="s">
        <v>67</v>
      </c>
      <c r="P3354" s="148" t="s">
        <v>68</v>
      </c>
      <c r="Q3354" s="103"/>
      <c r="R3354" s="103"/>
      <c r="S3354" s="103"/>
      <c r="T3354" s="103"/>
      <c r="U3354" s="148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1">
        <v>3349.0</v>
      </c>
      <c r="B3355" s="180" t="s">
        <v>5606</v>
      </c>
      <c r="C3355" s="82" t="str">
        <f>VLOOKUP($B$7:$B$5000,SUM!$L$6:$L$500,1,FALSE)</f>
        <v>#N/A</v>
      </c>
      <c r="D3355" s="190" t="s">
        <v>5561</v>
      </c>
      <c r="E3355" s="198" t="s">
        <v>58</v>
      </c>
      <c r="F3355" s="199" t="s">
        <v>105</v>
      </c>
      <c r="G3355" s="191" t="s">
        <v>1362</v>
      </c>
      <c r="H3355" s="199" t="s">
        <v>5581</v>
      </c>
      <c r="I3355" s="197" t="s">
        <v>5597</v>
      </c>
      <c r="J3355" s="103" t="s">
        <v>63</v>
      </c>
      <c r="K3355" s="148" t="s">
        <v>64</v>
      </c>
      <c r="L3355" s="103" t="s">
        <v>65</v>
      </c>
      <c r="M3355" s="148" t="s">
        <v>66</v>
      </c>
      <c r="N3355" s="200">
        <v>46171.0</v>
      </c>
      <c r="O3355" s="148" t="s">
        <v>67</v>
      </c>
      <c r="P3355" s="148" t="s">
        <v>68</v>
      </c>
      <c r="Q3355" s="103"/>
      <c r="R3355" s="103"/>
      <c r="S3355" s="103"/>
      <c r="T3355" s="103"/>
      <c r="U3355" s="148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1">
        <v>3350.0</v>
      </c>
      <c r="B3356" s="180" t="s">
        <v>5607</v>
      </c>
      <c r="C3356" s="82" t="str">
        <f>VLOOKUP($B$7:$B$5000,SUM!$L$6:$L$500,1,FALSE)</f>
        <v>#N/A</v>
      </c>
      <c r="D3356" s="190" t="s">
        <v>5561</v>
      </c>
      <c r="E3356" s="165" t="s">
        <v>58</v>
      </c>
      <c r="F3356" s="199" t="s">
        <v>105</v>
      </c>
      <c r="G3356" s="191" t="s">
        <v>1362</v>
      </c>
      <c r="H3356" s="199" t="s">
        <v>5583</v>
      </c>
      <c r="I3356" s="197" t="s">
        <v>5597</v>
      </c>
      <c r="J3356" s="103" t="s">
        <v>63</v>
      </c>
      <c r="K3356" s="148" t="s">
        <v>64</v>
      </c>
      <c r="L3356" s="103" t="s">
        <v>65</v>
      </c>
      <c r="M3356" s="148" t="s">
        <v>66</v>
      </c>
      <c r="N3356" s="200">
        <v>46171.0</v>
      </c>
      <c r="O3356" s="148" t="s">
        <v>67</v>
      </c>
      <c r="P3356" s="148" t="s">
        <v>68</v>
      </c>
      <c r="Q3356" s="103"/>
      <c r="R3356" s="103"/>
      <c r="S3356" s="103"/>
      <c r="T3356" s="103"/>
      <c r="U3356" s="148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1">
        <v>3351.0</v>
      </c>
      <c r="B3357" s="180" t="s">
        <v>5608</v>
      </c>
      <c r="C3357" s="82" t="str">
        <f>VLOOKUP($B$7:$B$5000,SUM!$L$6:$L$500,1,FALSE)</f>
        <v>#N/A</v>
      </c>
      <c r="D3357" s="190" t="s">
        <v>5561</v>
      </c>
      <c r="E3357" s="198" t="s">
        <v>58</v>
      </c>
      <c r="F3357" s="199" t="s">
        <v>105</v>
      </c>
      <c r="G3357" s="191" t="s">
        <v>1362</v>
      </c>
      <c r="H3357" s="199" t="s">
        <v>5585</v>
      </c>
      <c r="I3357" s="197" t="s">
        <v>5597</v>
      </c>
      <c r="J3357" s="103" t="s">
        <v>63</v>
      </c>
      <c r="K3357" s="148" t="s">
        <v>64</v>
      </c>
      <c r="L3357" s="103" t="s">
        <v>65</v>
      </c>
      <c r="M3357" s="148" t="s">
        <v>66</v>
      </c>
      <c r="N3357" s="200">
        <v>46171.0</v>
      </c>
      <c r="O3357" s="148" t="s">
        <v>67</v>
      </c>
      <c r="P3357" s="148" t="s">
        <v>68</v>
      </c>
      <c r="Q3357" s="103"/>
      <c r="R3357" s="103"/>
      <c r="S3357" s="103"/>
      <c r="T3357" s="103"/>
      <c r="U3357" s="148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1">
        <v>3352.0</v>
      </c>
      <c r="B3358" s="180" t="s">
        <v>5609</v>
      </c>
      <c r="C3358" s="82" t="str">
        <f>VLOOKUP($B$7:$B$5000,SUM!$L$6:$L$500,1,FALSE)</f>
        <v>#N/A</v>
      </c>
      <c r="D3358" s="190" t="s">
        <v>5561</v>
      </c>
      <c r="E3358" s="165" t="s">
        <v>58</v>
      </c>
      <c r="F3358" s="199" t="s">
        <v>105</v>
      </c>
      <c r="G3358" s="191" t="s">
        <v>1362</v>
      </c>
      <c r="H3358" s="199" t="s">
        <v>5587</v>
      </c>
      <c r="I3358" s="197" t="s">
        <v>5597</v>
      </c>
      <c r="J3358" s="103" t="s">
        <v>63</v>
      </c>
      <c r="K3358" s="148" t="s">
        <v>64</v>
      </c>
      <c r="L3358" s="103" t="s">
        <v>65</v>
      </c>
      <c r="M3358" s="148" t="s">
        <v>66</v>
      </c>
      <c r="N3358" s="200">
        <v>46171.0</v>
      </c>
      <c r="O3358" s="148" t="s">
        <v>67</v>
      </c>
      <c r="P3358" s="148" t="s">
        <v>68</v>
      </c>
      <c r="Q3358" s="103"/>
      <c r="R3358" s="103"/>
      <c r="S3358" s="103"/>
      <c r="T3358" s="103"/>
      <c r="U3358" s="148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1">
        <v>3353.0</v>
      </c>
      <c r="B3359" s="180" t="s">
        <v>5610</v>
      </c>
      <c r="C3359" s="82" t="str">
        <f>VLOOKUP($B$7:$B$5000,SUM!$L$6:$L$500,1,FALSE)</f>
        <v>#N/A</v>
      </c>
      <c r="D3359" s="190" t="s">
        <v>5561</v>
      </c>
      <c r="E3359" s="198" t="s">
        <v>58</v>
      </c>
      <c r="F3359" s="199" t="s">
        <v>105</v>
      </c>
      <c r="G3359" s="191" t="s">
        <v>1362</v>
      </c>
      <c r="H3359" s="199" t="s">
        <v>5589</v>
      </c>
      <c r="I3359" s="197" t="s">
        <v>5597</v>
      </c>
      <c r="J3359" s="103" t="s">
        <v>63</v>
      </c>
      <c r="K3359" s="148" t="s">
        <v>64</v>
      </c>
      <c r="L3359" s="103" t="s">
        <v>65</v>
      </c>
      <c r="M3359" s="148" t="s">
        <v>66</v>
      </c>
      <c r="N3359" s="200">
        <v>46171.0</v>
      </c>
      <c r="O3359" s="148" t="s">
        <v>67</v>
      </c>
      <c r="P3359" s="148" t="s">
        <v>68</v>
      </c>
      <c r="Q3359" s="103"/>
      <c r="R3359" s="103"/>
      <c r="S3359" s="103"/>
      <c r="T3359" s="103"/>
      <c r="U3359" s="148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1">
        <v>3354.0</v>
      </c>
      <c r="B3360" s="180" t="s">
        <v>5611</v>
      </c>
      <c r="C3360" s="82" t="str">
        <f>VLOOKUP($B$7:$B$5000,SUM!$L$6:$L$500,1,FALSE)</f>
        <v>#N/A</v>
      </c>
      <c r="D3360" s="190" t="s">
        <v>5561</v>
      </c>
      <c r="E3360" s="165" t="s">
        <v>58</v>
      </c>
      <c r="F3360" s="199" t="s">
        <v>105</v>
      </c>
      <c r="G3360" s="191" t="s">
        <v>1362</v>
      </c>
      <c r="H3360" s="199" t="s">
        <v>5591</v>
      </c>
      <c r="I3360" s="197" t="s">
        <v>5597</v>
      </c>
      <c r="J3360" s="103" t="s">
        <v>63</v>
      </c>
      <c r="K3360" s="148" t="s">
        <v>64</v>
      </c>
      <c r="L3360" s="103" t="s">
        <v>65</v>
      </c>
      <c r="M3360" s="148" t="s">
        <v>66</v>
      </c>
      <c r="N3360" s="200">
        <v>46171.0</v>
      </c>
      <c r="O3360" s="148" t="s">
        <v>67</v>
      </c>
      <c r="P3360" s="148" t="s">
        <v>68</v>
      </c>
      <c r="Q3360" s="103"/>
      <c r="R3360" s="103"/>
      <c r="S3360" s="103"/>
      <c r="T3360" s="103"/>
      <c r="U3360" s="148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1">
        <v>3355.0</v>
      </c>
      <c r="B3361" s="180" t="s">
        <v>5612</v>
      </c>
      <c r="C3361" s="82" t="str">
        <f>VLOOKUP($B$7:$B$5000,SUM!$L$6:$L$500,1,FALSE)</f>
        <v>#N/A</v>
      </c>
      <c r="D3361" s="190" t="s">
        <v>5561</v>
      </c>
      <c r="E3361" s="198" t="s">
        <v>58</v>
      </c>
      <c r="F3361" s="199" t="s">
        <v>105</v>
      </c>
      <c r="G3361" s="191" t="s">
        <v>1362</v>
      </c>
      <c r="H3361" s="199" t="s">
        <v>5593</v>
      </c>
      <c r="I3361" s="197" t="s">
        <v>5597</v>
      </c>
      <c r="J3361" s="103" t="s">
        <v>63</v>
      </c>
      <c r="K3361" s="148" t="s">
        <v>64</v>
      </c>
      <c r="L3361" s="103" t="s">
        <v>65</v>
      </c>
      <c r="M3361" s="148" t="s">
        <v>66</v>
      </c>
      <c r="N3361" s="200">
        <v>46171.0</v>
      </c>
      <c r="O3361" s="148" t="s">
        <v>67</v>
      </c>
      <c r="P3361" s="148" t="s">
        <v>68</v>
      </c>
      <c r="Q3361" s="103"/>
      <c r="R3361" s="103"/>
      <c r="S3361" s="103"/>
      <c r="T3361" s="103"/>
      <c r="U3361" s="148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1">
        <v>3356.0</v>
      </c>
      <c r="B3362" s="180" t="s">
        <v>5613</v>
      </c>
      <c r="C3362" s="82" t="str">
        <f>VLOOKUP($B$7:$B$5000,SUM!$L$6:$L$500,1,FALSE)</f>
        <v>#N/A</v>
      </c>
      <c r="D3362" s="204" t="s">
        <v>5561</v>
      </c>
      <c r="E3362" s="211" t="s">
        <v>58</v>
      </c>
      <c r="F3362" s="206" t="s">
        <v>105</v>
      </c>
      <c r="G3362" s="207" t="s">
        <v>1362</v>
      </c>
      <c r="H3362" s="206" t="s">
        <v>5595</v>
      </c>
      <c r="I3362" s="208" t="s">
        <v>5597</v>
      </c>
      <c r="J3362" s="103" t="s">
        <v>63</v>
      </c>
      <c r="K3362" s="148" t="s">
        <v>64</v>
      </c>
      <c r="L3362" s="103" t="s">
        <v>65</v>
      </c>
      <c r="M3362" s="148" t="s">
        <v>66</v>
      </c>
      <c r="N3362" s="200">
        <v>46171.0</v>
      </c>
      <c r="O3362" s="148" t="s">
        <v>67</v>
      </c>
      <c r="P3362" s="148" t="s">
        <v>68</v>
      </c>
      <c r="Q3362" s="103"/>
      <c r="R3362" s="103"/>
      <c r="S3362" s="103"/>
      <c r="T3362" s="103"/>
      <c r="U3362" s="148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1">
        <v>3357.0</v>
      </c>
      <c r="B3363" s="180" t="s">
        <v>5614</v>
      </c>
      <c r="C3363" s="82" t="str">
        <f>VLOOKUP($B$7:$B$5000,SUM!$L$6:$L$500,1,FALSE)</f>
        <v>#N/A</v>
      </c>
      <c r="D3363" s="190" t="s">
        <v>5615</v>
      </c>
      <c r="E3363" s="198" t="s">
        <v>58</v>
      </c>
      <c r="F3363" s="199" t="s">
        <v>105</v>
      </c>
      <c r="G3363" s="191" t="s">
        <v>2710</v>
      </c>
      <c r="H3363" s="199" t="s">
        <v>5616</v>
      </c>
      <c r="I3363" s="197" t="s">
        <v>5617</v>
      </c>
      <c r="J3363" s="148" t="s">
        <v>63</v>
      </c>
      <c r="K3363" s="148" t="s">
        <v>64</v>
      </c>
      <c r="L3363" s="148" t="s">
        <v>65</v>
      </c>
      <c r="M3363" s="148" t="s">
        <v>66</v>
      </c>
      <c r="N3363" s="212">
        <v>46176.0</v>
      </c>
      <c r="O3363" s="148" t="s">
        <v>67</v>
      </c>
      <c r="P3363" s="148" t="s">
        <v>68</v>
      </c>
      <c r="Q3363" s="103"/>
      <c r="R3363" s="103"/>
      <c r="S3363" s="103"/>
      <c r="T3363" s="103"/>
      <c r="U3363" s="148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1">
        <v>3358.0</v>
      </c>
      <c r="B3364" s="180" t="s">
        <v>5618</v>
      </c>
      <c r="C3364" s="82" t="str">
        <f>VLOOKUP($B$7:$B$5000,SUM!$L$6:$L$500,1,FALSE)</f>
        <v>#N/A</v>
      </c>
      <c r="D3364" s="190" t="s">
        <v>5615</v>
      </c>
      <c r="E3364" s="198" t="s">
        <v>58</v>
      </c>
      <c r="F3364" s="199" t="s">
        <v>105</v>
      </c>
      <c r="G3364" s="191" t="s">
        <v>2710</v>
      </c>
      <c r="H3364" s="199" t="s">
        <v>5616</v>
      </c>
      <c r="I3364" s="197" t="s">
        <v>5619</v>
      </c>
      <c r="J3364" s="148" t="s">
        <v>63</v>
      </c>
      <c r="K3364" s="148" t="s">
        <v>64</v>
      </c>
      <c r="L3364" s="148" t="s">
        <v>65</v>
      </c>
      <c r="M3364" s="148" t="s">
        <v>66</v>
      </c>
      <c r="N3364" s="212">
        <v>46176.0</v>
      </c>
      <c r="O3364" s="148" t="s">
        <v>67</v>
      </c>
      <c r="P3364" s="148" t="s">
        <v>68</v>
      </c>
      <c r="Q3364" s="103"/>
      <c r="R3364" s="103"/>
      <c r="S3364" s="103"/>
      <c r="T3364" s="103"/>
      <c r="U3364" s="148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1">
        <v>3359.0</v>
      </c>
      <c r="B3365" s="180" t="s">
        <v>5620</v>
      </c>
      <c r="C3365" s="82" t="str">
        <f>VLOOKUP($B$7:$B$5000,SUM!$L$6:$L$500,1,FALSE)</f>
        <v>#N/A</v>
      </c>
      <c r="D3365" s="190" t="s">
        <v>5615</v>
      </c>
      <c r="E3365" s="198" t="s">
        <v>58</v>
      </c>
      <c r="F3365" s="199" t="s">
        <v>105</v>
      </c>
      <c r="G3365" s="191" t="s">
        <v>2710</v>
      </c>
      <c r="H3365" s="199" t="s">
        <v>5616</v>
      </c>
      <c r="I3365" s="197" t="s">
        <v>5621</v>
      </c>
      <c r="J3365" s="148" t="s">
        <v>108</v>
      </c>
      <c r="K3365" s="148" t="s">
        <v>64</v>
      </c>
      <c r="L3365" s="148" t="s">
        <v>65</v>
      </c>
      <c r="M3365" s="148" t="s">
        <v>66</v>
      </c>
      <c r="N3365" s="212">
        <v>46176.0</v>
      </c>
      <c r="O3365" s="148" t="s">
        <v>67</v>
      </c>
      <c r="P3365" s="148" t="s">
        <v>68</v>
      </c>
      <c r="Q3365" s="103"/>
      <c r="R3365" s="103"/>
      <c r="S3365" s="103"/>
      <c r="T3365" s="103"/>
      <c r="U3365" s="148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1">
        <v>3360.0</v>
      </c>
      <c r="B3366" s="180" t="s">
        <v>5622</v>
      </c>
      <c r="C3366" s="82" t="str">
        <f>VLOOKUP($B$7:$B$5000,SUM!$L$6:$L$500,1,FALSE)</f>
        <v>#N/A</v>
      </c>
      <c r="D3366" s="190" t="s">
        <v>5615</v>
      </c>
      <c r="E3366" s="198" t="s">
        <v>58</v>
      </c>
      <c r="F3366" s="199" t="s">
        <v>105</v>
      </c>
      <c r="G3366" s="191" t="s">
        <v>3272</v>
      </c>
      <c r="H3366" s="199" t="s">
        <v>5623</v>
      </c>
      <c r="I3366" s="197" t="s">
        <v>5624</v>
      </c>
      <c r="J3366" s="148" t="s">
        <v>63</v>
      </c>
      <c r="K3366" s="148" t="s">
        <v>64</v>
      </c>
      <c r="L3366" s="148" t="s">
        <v>65</v>
      </c>
      <c r="M3366" s="148" t="s">
        <v>66</v>
      </c>
      <c r="N3366" s="212">
        <v>46176.0</v>
      </c>
      <c r="O3366" s="148" t="s">
        <v>67</v>
      </c>
      <c r="P3366" s="148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31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1">
        <v>3361.0</v>
      </c>
      <c r="B3367" s="180" t="s">
        <v>5626</v>
      </c>
      <c r="C3367" s="82" t="str">
        <f>VLOOKUP($B$7:$B$5000,SUM!$L$6:$L$500,1,FALSE)</f>
        <v>#N/A</v>
      </c>
      <c r="D3367" s="190" t="s">
        <v>5615</v>
      </c>
      <c r="E3367" s="198" t="s">
        <v>58</v>
      </c>
      <c r="F3367" s="199" t="s">
        <v>105</v>
      </c>
      <c r="G3367" s="191" t="s">
        <v>3272</v>
      </c>
      <c r="H3367" s="199" t="s">
        <v>5623</v>
      </c>
      <c r="I3367" s="197" t="s">
        <v>5627</v>
      </c>
      <c r="J3367" s="148" t="s">
        <v>63</v>
      </c>
      <c r="K3367" s="148" t="s">
        <v>64</v>
      </c>
      <c r="L3367" s="148" t="s">
        <v>65</v>
      </c>
      <c r="M3367" s="148" t="s">
        <v>66</v>
      </c>
      <c r="N3367" s="212">
        <v>46176.0</v>
      </c>
      <c r="O3367" s="148" t="s">
        <v>67</v>
      </c>
      <c r="P3367" s="148" t="s">
        <v>68</v>
      </c>
      <c r="Q3367" s="103"/>
      <c r="R3367" s="103"/>
      <c r="S3367" s="103"/>
      <c r="T3367" s="103"/>
      <c r="U3367" s="148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1">
        <v>3362.0</v>
      </c>
      <c r="B3368" s="180" t="s">
        <v>5628</v>
      </c>
      <c r="C3368" s="82" t="str">
        <f>VLOOKUP($B$7:$B$5000,SUM!$L$6:$L$500,1,FALSE)</f>
        <v>#N/A</v>
      </c>
      <c r="D3368" s="190" t="s">
        <v>5615</v>
      </c>
      <c r="E3368" s="198" t="s">
        <v>58</v>
      </c>
      <c r="F3368" s="199" t="s">
        <v>105</v>
      </c>
      <c r="G3368" s="191" t="s">
        <v>3272</v>
      </c>
      <c r="H3368" s="199" t="s">
        <v>5623</v>
      </c>
      <c r="I3368" s="197" t="s">
        <v>5629</v>
      </c>
      <c r="J3368" s="148" t="s">
        <v>108</v>
      </c>
      <c r="K3368" s="148" t="s">
        <v>64</v>
      </c>
      <c r="L3368" s="148" t="s">
        <v>65</v>
      </c>
      <c r="M3368" s="148" t="s">
        <v>66</v>
      </c>
      <c r="N3368" s="212">
        <v>46176.0</v>
      </c>
      <c r="O3368" s="148" t="s">
        <v>67</v>
      </c>
      <c r="P3368" s="148" t="s">
        <v>68</v>
      </c>
      <c r="Q3368" s="103"/>
      <c r="R3368" s="103"/>
      <c r="S3368" s="103"/>
      <c r="T3368" s="103"/>
      <c r="U3368" s="148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1">
        <v>3363.0</v>
      </c>
      <c r="B3369" s="180" t="s">
        <v>5630</v>
      </c>
      <c r="C3369" s="82" t="str">
        <f>VLOOKUP($B$7:$B$5000,SUM!$L$6:$L$500,1,FALSE)</f>
        <v>#N/A</v>
      </c>
      <c r="D3369" s="190" t="s">
        <v>5615</v>
      </c>
      <c r="E3369" s="198" t="s">
        <v>58</v>
      </c>
      <c r="F3369" s="199" t="s">
        <v>105</v>
      </c>
      <c r="G3369" s="191" t="s">
        <v>3272</v>
      </c>
      <c r="H3369" s="199" t="s">
        <v>5623</v>
      </c>
      <c r="I3369" s="197" t="s">
        <v>5631</v>
      </c>
      <c r="J3369" s="148" t="s">
        <v>108</v>
      </c>
      <c r="K3369" s="148" t="s">
        <v>64</v>
      </c>
      <c r="L3369" s="148" t="s">
        <v>65</v>
      </c>
      <c r="M3369" s="148" t="s">
        <v>66</v>
      </c>
      <c r="N3369" s="212">
        <v>46176.0</v>
      </c>
      <c r="O3369" s="148" t="s">
        <v>67</v>
      </c>
      <c r="P3369" s="148" t="s">
        <v>68</v>
      </c>
      <c r="Q3369" s="103"/>
      <c r="R3369" s="103"/>
      <c r="S3369" s="103"/>
      <c r="T3369" s="103"/>
      <c r="U3369" s="148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1">
        <v>3364.0</v>
      </c>
      <c r="B3370" s="180" t="s">
        <v>5632</v>
      </c>
      <c r="C3370" s="82" t="str">
        <f>VLOOKUP($B$7:$B$5000,SUM!$L$6:$L$500,1,FALSE)</f>
        <v>#N/A</v>
      </c>
      <c r="D3370" s="190" t="s">
        <v>5615</v>
      </c>
      <c r="E3370" s="198" t="s">
        <v>58</v>
      </c>
      <c r="F3370" s="199" t="s">
        <v>105</v>
      </c>
      <c r="G3370" s="191" t="s">
        <v>5633</v>
      </c>
      <c r="H3370" s="199" t="s">
        <v>5634</v>
      </c>
      <c r="I3370" s="197" t="s">
        <v>5635</v>
      </c>
      <c r="J3370" s="148" t="s">
        <v>63</v>
      </c>
      <c r="K3370" s="148" t="s">
        <v>64</v>
      </c>
      <c r="L3370" s="148" t="s">
        <v>65</v>
      </c>
      <c r="M3370" s="148" t="s">
        <v>66</v>
      </c>
      <c r="N3370" s="212">
        <v>46176.0</v>
      </c>
      <c r="O3370" s="148" t="s">
        <v>67</v>
      </c>
      <c r="P3370" s="148" t="s">
        <v>68</v>
      </c>
      <c r="Q3370" s="103"/>
      <c r="R3370" s="103"/>
      <c r="S3370" s="103"/>
      <c r="T3370" s="103"/>
      <c r="U3370" s="148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1">
        <v>3365.0</v>
      </c>
      <c r="B3371" s="180" t="s">
        <v>5636</v>
      </c>
      <c r="C3371" s="82" t="str">
        <f>VLOOKUP($B$7:$B$5000,SUM!$L$6:$L$500,1,FALSE)</f>
        <v>#N/A</v>
      </c>
      <c r="D3371" s="190" t="s">
        <v>5615</v>
      </c>
      <c r="E3371" s="198" t="s">
        <v>58</v>
      </c>
      <c r="F3371" s="199" t="s">
        <v>105</v>
      </c>
      <c r="G3371" s="191" t="s">
        <v>5633</v>
      </c>
      <c r="H3371" s="199" t="s">
        <v>5634</v>
      </c>
      <c r="I3371" s="197" t="s">
        <v>5637</v>
      </c>
      <c r="J3371" s="148" t="s">
        <v>108</v>
      </c>
      <c r="K3371" s="148" t="s">
        <v>64</v>
      </c>
      <c r="L3371" s="148" t="s">
        <v>65</v>
      </c>
      <c r="M3371" s="148" t="s">
        <v>66</v>
      </c>
      <c r="N3371" s="212">
        <v>46176.0</v>
      </c>
      <c r="O3371" s="148" t="s">
        <v>67</v>
      </c>
      <c r="P3371" s="148" t="s">
        <v>68</v>
      </c>
      <c r="Q3371" s="103"/>
      <c r="R3371" s="103"/>
      <c r="S3371" s="103"/>
      <c r="T3371" s="103"/>
      <c r="U3371" s="148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1">
        <v>3366.0</v>
      </c>
      <c r="B3372" s="180" t="s">
        <v>5638</v>
      </c>
      <c r="C3372" s="82" t="str">
        <f>VLOOKUP($B$7:$B$5000,SUM!$L$6:$L$500,1,FALSE)</f>
        <v>#N/A</v>
      </c>
      <c r="D3372" s="190" t="s">
        <v>5615</v>
      </c>
      <c r="E3372" s="198" t="s">
        <v>58</v>
      </c>
      <c r="F3372" s="199" t="s">
        <v>105</v>
      </c>
      <c r="G3372" s="191" t="s">
        <v>5633</v>
      </c>
      <c r="H3372" s="199" t="s">
        <v>5634</v>
      </c>
      <c r="I3372" s="197" t="s">
        <v>5639</v>
      </c>
      <c r="J3372" s="148" t="s">
        <v>108</v>
      </c>
      <c r="K3372" s="148" t="s">
        <v>64</v>
      </c>
      <c r="L3372" s="148" t="s">
        <v>65</v>
      </c>
      <c r="M3372" s="148" t="s">
        <v>66</v>
      </c>
      <c r="N3372" s="212">
        <v>46176.0</v>
      </c>
      <c r="O3372" s="148" t="s">
        <v>67</v>
      </c>
      <c r="P3372" s="148" t="s">
        <v>68</v>
      </c>
      <c r="Q3372" s="103"/>
      <c r="R3372" s="103"/>
      <c r="S3372" s="103"/>
      <c r="T3372" s="103"/>
      <c r="U3372" s="148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1">
        <v>3367.0</v>
      </c>
      <c r="B3373" s="180" t="s">
        <v>5640</v>
      </c>
      <c r="C3373" s="82" t="str">
        <f>VLOOKUP($B$7:$B$5000,SUM!$L$6:$L$500,1,FALSE)</f>
        <v>#N/A</v>
      </c>
      <c r="D3373" s="190" t="s">
        <v>5615</v>
      </c>
      <c r="E3373" s="198" t="s">
        <v>58</v>
      </c>
      <c r="F3373" s="199" t="s">
        <v>105</v>
      </c>
      <c r="G3373" s="191" t="s">
        <v>5633</v>
      </c>
      <c r="H3373" s="199" t="s">
        <v>5641</v>
      </c>
      <c r="I3373" s="197" t="s">
        <v>5635</v>
      </c>
      <c r="J3373" s="148" t="s">
        <v>63</v>
      </c>
      <c r="K3373" s="148" t="s">
        <v>64</v>
      </c>
      <c r="L3373" s="148" t="s">
        <v>65</v>
      </c>
      <c r="M3373" s="148" t="s">
        <v>66</v>
      </c>
      <c r="N3373" s="212">
        <v>46176.0</v>
      </c>
      <c r="O3373" s="148" t="s">
        <v>67</v>
      </c>
      <c r="P3373" s="148" t="s">
        <v>68</v>
      </c>
      <c r="Q3373" s="103"/>
      <c r="R3373" s="103"/>
      <c r="S3373" s="103"/>
      <c r="T3373" s="103"/>
      <c r="U3373" s="148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1">
        <v>3368.0</v>
      </c>
      <c r="B3374" s="180" t="s">
        <v>5642</v>
      </c>
      <c r="C3374" s="82" t="str">
        <f>VLOOKUP($B$7:$B$5000,SUM!$L$6:$L$500,1,FALSE)</f>
        <v>#N/A</v>
      </c>
      <c r="D3374" s="190" t="s">
        <v>5615</v>
      </c>
      <c r="E3374" s="198" t="s">
        <v>58</v>
      </c>
      <c r="F3374" s="199" t="s">
        <v>105</v>
      </c>
      <c r="G3374" s="191" t="s">
        <v>5633</v>
      </c>
      <c r="H3374" s="199" t="s">
        <v>5641</v>
      </c>
      <c r="I3374" s="197" t="s">
        <v>5643</v>
      </c>
      <c r="J3374" s="148" t="s">
        <v>108</v>
      </c>
      <c r="K3374" s="148" t="s">
        <v>64</v>
      </c>
      <c r="L3374" s="148" t="s">
        <v>65</v>
      </c>
      <c r="M3374" s="148" t="s">
        <v>66</v>
      </c>
      <c r="N3374" s="212">
        <v>46176.0</v>
      </c>
      <c r="O3374" s="148" t="s">
        <v>67</v>
      </c>
      <c r="P3374" s="148" t="s">
        <v>68</v>
      </c>
      <c r="Q3374" s="103"/>
      <c r="R3374" s="103"/>
      <c r="S3374" s="103"/>
      <c r="T3374" s="103"/>
      <c r="U3374" s="148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1">
        <v>3369.0</v>
      </c>
      <c r="B3375" s="180" t="s">
        <v>5644</v>
      </c>
      <c r="C3375" s="82" t="str">
        <f>VLOOKUP($B$7:$B$5000,SUM!$L$6:$L$500,1,FALSE)</f>
        <v>#N/A</v>
      </c>
      <c r="D3375" s="190" t="s">
        <v>5615</v>
      </c>
      <c r="E3375" s="198" t="s">
        <v>58</v>
      </c>
      <c r="F3375" s="199" t="s">
        <v>105</v>
      </c>
      <c r="G3375" s="191" t="s">
        <v>5633</v>
      </c>
      <c r="H3375" s="199" t="s">
        <v>5641</v>
      </c>
      <c r="I3375" s="197" t="s">
        <v>5645</v>
      </c>
      <c r="J3375" s="148" t="s">
        <v>108</v>
      </c>
      <c r="K3375" s="148" t="s">
        <v>64</v>
      </c>
      <c r="L3375" s="148" t="s">
        <v>65</v>
      </c>
      <c r="M3375" s="148" t="s">
        <v>66</v>
      </c>
      <c r="N3375" s="212">
        <v>46176.0</v>
      </c>
      <c r="O3375" s="148" t="s">
        <v>67</v>
      </c>
      <c r="P3375" s="148" t="s">
        <v>68</v>
      </c>
      <c r="Q3375" s="103"/>
      <c r="R3375" s="103"/>
      <c r="S3375" s="103"/>
      <c r="T3375" s="103"/>
      <c r="U3375" s="148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1">
        <v>3370.0</v>
      </c>
      <c r="B3376" s="180" t="s">
        <v>5646</v>
      </c>
      <c r="C3376" s="82" t="str">
        <f>VLOOKUP($B$7:$B$5000,SUM!$L$6:$L$500,1,FALSE)</f>
        <v>#N/A</v>
      </c>
      <c r="D3376" s="190" t="s">
        <v>5647</v>
      </c>
      <c r="E3376" s="198" t="s">
        <v>58</v>
      </c>
      <c r="F3376" s="199" t="s">
        <v>105</v>
      </c>
      <c r="G3376" s="191" t="s">
        <v>1362</v>
      </c>
      <c r="H3376" s="199" t="s">
        <v>5648</v>
      </c>
      <c r="I3376" s="197" t="s">
        <v>5649</v>
      </c>
      <c r="J3376" s="148" t="s">
        <v>63</v>
      </c>
      <c r="K3376" s="148" t="s">
        <v>64</v>
      </c>
      <c r="L3376" s="148" t="s">
        <v>65</v>
      </c>
      <c r="M3376" s="148" t="s">
        <v>66</v>
      </c>
      <c r="N3376" s="212">
        <v>46177.0</v>
      </c>
      <c r="O3376" s="148" t="s">
        <v>67</v>
      </c>
      <c r="P3376" s="148" t="s">
        <v>68</v>
      </c>
      <c r="Q3376" s="103"/>
      <c r="R3376" s="103"/>
      <c r="S3376" s="103"/>
      <c r="T3376" s="103"/>
      <c r="U3376" s="148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1">
        <v>3371.0</v>
      </c>
      <c r="B3377" s="180" t="s">
        <v>5650</v>
      </c>
      <c r="C3377" s="82" t="str">
        <f>VLOOKUP($B$7:$B$5000,SUM!$L$6:$L$500,1,FALSE)</f>
        <v>#N/A</v>
      </c>
      <c r="D3377" s="190" t="s">
        <v>5647</v>
      </c>
      <c r="E3377" s="198" t="s">
        <v>58</v>
      </c>
      <c r="F3377" s="199" t="s">
        <v>105</v>
      </c>
      <c r="G3377" s="191" t="s">
        <v>1362</v>
      </c>
      <c r="H3377" s="199" t="s">
        <v>5651</v>
      </c>
      <c r="I3377" s="197" t="s">
        <v>5649</v>
      </c>
      <c r="J3377" s="148" t="s">
        <v>63</v>
      </c>
      <c r="K3377" s="148" t="s">
        <v>64</v>
      </c>
      <c r="L3377" s="148" t="s">
        <v>65</v>
      </c>
      <c r="M3377" s="148" t="s">
        <v>66</v>
      </c>
      <c r="N3377" s="212">
        <v>46177.0</v>
      </c>
      <c r="O3377" s="148" t="s">
        <v>67</v>
      </c>
      <c r="P3377" s="148" t="s">
        <v>68</v>
      </c>
      <c r="Q3377" s="103"/>
      <c r="R3377" s="103"/>
      <c r="S3377" s="103"/>
      <c r="T3377" s="103"/>
      <c r="U3377" s="148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1">
        <v>3372.0</v>
      </c>
      <c r="B3378" s="180" t="s">
        <v>5652</v>
      </c>
      <c r="C3378" s="82" t="str">
        <f>VLOOKUP($B$7:$B$5000,SUM!$L$6:$L$500,1,FALSE)</f>
        <v>#N/A</v>
      </c>
      <c r="D3378" s="190" t="s">
        <v>5647</v>
      </c>
      <c r="E3378" s="198" t="s">
        <v>58</v>
      </c>
      <c r="F3378" s="199" t="s">
        <v>105</v>
      </c>
      <c r="G3378" s="191" t="s">
        <v>2710</v>
      </c>
      <c r="H3378" s="199" t="s">
        <v>5653</v>
      </c>
      <c r="I3378" s="197" t="s">
        <v>5649</v>
      </c>
      <c r="J3378" s="148" t="s">
        <v>63</v>
      </c>
      <c r="K3378" s="148" t="s">
        <v>64</v>
      </c>
      <c r="L3378" s="148" t="s">
        <v>65</v>
      </c>
      <c r="M3378" s="148" t="s">
        <v>66</v>
      </c>
      <c r="N3378" s="212">
        <v>46177.0</v>
      </c>
      <c r="O3378" s="148" t="s">
        <v>67</v>
      </c>
      <c r="P3378" s="148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31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1">
        <v>3373.0</v>
      </c>
      <c r="B3379" s="180" t="s">
        <v>5655</v>
      </c>
      <c r="C3379" s="82" t="str">
        <f>VLOOKUP($B$7:$B$5000,SUM!$L$6:$L$500,1,FALSE)</f>
        <v>#N/A</v>
      </c>
      <c r="D3379" s="190" t="s">
        <v>5647</v>
      </c>
      <c r="E3379" s="198" t="s">
        <v>58</v>
      </c>
      <c r="F3379" s="199" t="s">
        <v>105</v>
      </c>
      <c r="G3379" s="191" t="s">
        <v>2710</v>
      </c>
      <c r="H3379" s="199" t="s">
        <v>5656</v>
      </c>
      <c r="I3379" s="197" t="s">
        <v>5649</v>
      </c>
      <c r="J3379" s="148" t="s">
        <v>63</v>
      </c>
      <c r="K3379" s="148" t="s">
        <v>64</v>
      </c>
      <c r="L3379" s="148" t="s">
        <v>65</v>
      </c>
      <c r="M3379" s="148" t="s">
        <v>66</v>
      </c>
      <c r="N3379" s="212">
        <v>46177.0</v>
      </c>
      <c r="O3379" s="148" t="s">
        <v>67</v>
      </c>
      <c r="P3379" s="148" t="s">
        <v>68</v>
      </c>
      <c r="Q3379" s="103"/>
      <c r="R3379" s="103"/>
      <c r="S3379" s="103"/>
      <c r="T3379" s="103"/>
      <c r="U3379" s="148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1">
        <v>3374.0</v>
      </c>
      <c r="B3380" s="180" t="s">
        <v>5657</v>
      </c>
      <c r="C3380" s="82" t="str">
        <f>VLOOKUP($B$7:$B$5000,SUM!$L$6:$L$500,1,FALSE)</f>
        <v>#N/A</v>
      </c>
      <c r="D3380" s="190" t="s">
        <v>5647</v>
      </c>
      <c r="E3380" s="198" t="s">
        <v>58</v>
      </c>
      <c r="F3380" s="199" t="s">
        <v>105</v>
      </c>
      <c r="G3380" s="191" t="s">
        <v>2710</v>
      </c>
      <c r="H3380" s="199" t="s">
        <v>5658</v>
      </c>
      <c r="I3380" s="197" t="s">
        <v>5649</v>
      </c>
      <c r="J3380" s="148" t="s">
        <v>63</v>
      </c>
      <c r="K3380" s="148" t="s">
        <v>64</v>
      </c>
      <c r="L3380" s="148" t="s">
        <v>65</v>
      </c>
      <c r="M3380" s="148" t="s">
        <v>66</v>
      </c>
      <c r="N3380" s="212">
        <v>46177.0</v>
      </c>
      <c r="O3380" s="148" t="s">
        <v>67</v>
      </c>
      <c r="P3380" s="148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31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1">
        <v>3375.0</v>
      </c>
      <c r="B3381" s="180" t="s">
        <v>5660</v>
      </c>
      <c r="C3381" s="82" t="str">
        <f>VLOOKUP($B$7:$B$5000,SUM!$L$6:$L$500,1,FALSE)</f>
        <v>#N/A</v>
      </c>
      <c r="D3381" s="190" t="s">
        <v>5647</v>
      </c>
      <c r="E3381" s="198" t="s">
        <v>58</v>
      </c>
      <c r="F3381" s="199" t="s">
        <v>105</v>
      </c>
      <c r="G3381" s="191" t="s">
        <v>2710</v>
      </c>
      <c r="H3381" s="199" t="s">
        <v>5661</v>
      </c>
      <c r="I3381" s="197" t="s">
        <v>5649</v>
      </c>
      <c r="J3381" s="148" t="s">
        <v>63</v>
      </c>
      <c r="K3381" s="148" t="s">
        <v>64</v>
      </c>
      <c r="L3381" s="148" t="s">
        <v>65</v>
      </c>
      <c r="M3381" s="148" t="s">
        <v>66</v>
      </c>
      <c r="N3381" s="212">
        <v>46177.0</v>
      </c>
      <c r="O3381" s="148" t="s">
        <v>67</v>
      </c>
      <c r="P3381" s="148" t="s">
        <v>68</v>
      </c>
      <c r="Q3381" s="103"/>
      <c r="R3381" s="103"/>
      <c r="S3381" s="103"/>
      <c r="T3381" s="103"/>
      <c r="U3381" s="148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1">
        <v>3376.0</v>
      </c>
      <c r="B3382" s="180" t="s">
        <v>5662</v>
      </c>
      <c r="C3382" s="82" t="str">
        <f>VLOOKUP($B$7:$B$5000,SUM!$L$6:$L$500,1,FALSE)</f>
        <v>#N/A</v>
      </c>
      <c r="D3382" s="190" t="s">
        <v>5647</v>
      </c>
      <c r="E3382" s="198" t="s">
        <v>58</v>
      </c>
      <c r="F3382" s="199" t="s">
        <v>105</v>
      </c>
      <c r="G3382" s="191" t="s">
        <v>4100</v>
      </c>
      <c r="H3382" s="199" t="s">
        <v>5663</v>
      </c>
      <c r="I3382" s="197" t="s">
        <v>5664</v>
      </c>
      <c r="J3382" s="148" t="s">
        <v>63</v>
      </c>
      <c r="K3382" s="148" t="s">
        <v>64</v>
      </c>
      <c r="L3382" s="148" t="s">
        <v>65</v>
      </c>
      <c r="M3382" s="148" t="s">
        <v>66</v>
      </c>
      <c r="N3382" s="212">
        <v>46177.0</v>
      </c>
      <c r="O3382" s="148" t="s">
        <v>67</v>
      </c>
      <c r="P3382" s="148" t="s">
        <v>68</v>
      </c>
      <c r="Q3382" s="103"/>
      <c r="R3382" s="103"/>
      <c r="S3382" s="103"/>
      <c r="T3382" s="103"/>
      <c r="U3382" s="148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1">
        <v>3377.0</v>
      </c>
      <c r="B3383" s="180" t="s">
        <v>5665</v>
      </c>
      <c r="C3383" s="82" t="str">
        <f>VLOOKUP($B$7:$B$5000,SUM!$L$6:$L$500,1,FALSE)</f>
        <v>#N/A</v>
      </c>
      <c r="D3383" s="190" t="s">
        <v>5647</v>
      </c>
      <c r="E3383" s="198" t="s">
        <v>58</v>
      </c>
      <c r="F3383" s="199" t="s">
        <v>105</v>
      </c>
      <c r="G3383" s="191" t="s">
        <v>5666</v>
      </c>
      <c r="H3383" s="199" t="s">
        <v>5667</v>
      </c>
      <c r="I3383" s="197" t="s">
        <v>5664</v>
      </c>
      <c r="J3383" s="148" t="s">
        <v>63</v>
      </c>
      <c r="K3383" s="148" t="s">
        <v>64</v>
      </c>
      <c r="L3383" s="148" t="s">
        <v>65</v>
      </c>
      <c r="M3383" s="148" t="s">
        <v>66</v>
      </c>
      <c r="N3383" s="212">
        <v>46177.0</v>
      </c>
      <c r="O3383" s="148" t="s">
        <v>67</v>
      </c>
      <c r="P3383" s="148" t="s">
        <v>68</v>
      </c>
      <c r="Q3383" s="103"/>
      <c r="R3383" s="103"/>
      <c r="S3383" s="103"/>
      <c r="T3383" s="103"/>
      <c r="U3383" s="148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1">
        <v>3378.0</v>
      </c>
      <c r="B3384" s="180" t="s">
        <v>5668</v>
      </c>
      <c r="C3384" s="82" t="str">
        <f>VLOOKUP($B$7:$B$5000,SUM!$L$6:$L$500,1,FALSE)</f>
        <v>#N/A</v>
      </c>
      <c r="D3384" s="190" t="s">
        <v>5647</v>
      </c>
      <c r="E3384" s="198" t="s">
        <v>58</v>
      </c>
      <c r="F3384" s="199" t="s">
        <v>105</v>
      </c>
      <c r="G3384" s="191" t="s">
        <v>5666</v>
      </c>
      <c r="H3384" s="199" t="s">
        <v>5669</v>
      </c>
      <c r="I3384" s="197" t="s">
        <v>5664</v>
      </c>
      <c r="J3384" s="148" t="s">
        <v>63</v>
      </c>
      <c r="K3384" s="148" t="s">
        <v>64</v>
      </c>
      <c r="L3384" s="148" t="s">
        <v>65</v>
      </c>
      <c r="M3384" s="148" t="s">
        <v>66</v>
      </c>
      <c r="N3384" s="212">
        <v>46177.0</v>
      </c>
      <c r="O3384" s="148" t="s">
        <v>67</v>
      </c>
      <c r="P3384" s="148" t="s">
        <v>68</v>
      </c>
      <c r="Q3384" s="103"/>
      <c r="R3384" s="103"/>
      <c r="S3384" s="103"/>
      <c r="T3384" s="103"/>
      <c r="U3384" s="148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1">
        <v>3379.0</v>
      </c>
      <c r="B3385" s="180" t="s">
        <v>5670</v>
      </c>
      <c r="C3385" s="82" t="str">
        <f>VLOOKUP($B$7:$B$5000,SUM!$L$6:$L$500,1,FALSE)</f>
        <v>#N/A</v>
      </c>
      <c r="D3385" s="190" t="s">
        <v>5647</v>
      </c>
      <c r="E3385" s="198" t="s">
        <v>58</v>
      </c>
      <c r="F3385" s="199" t="s">
        <v>105</v>
      </c>
      <c r="G3385" s="191" t="s">
        <v>5666</v>
      </c>
      <c r="H3385" s="199" t="s">
        <v>5671</v>
      </c>
      <c r="I3385" s="197" t="s">
        <v>5664</v>
      </c>
      <c r="J3385" s="148" t="s">
        <v>63</v>
      </c>
      <c r="K3385" s="148" t="s">
        <v>64</v>
      </c>
      <c r="L3385" s="148" t="s">
        <v>65</v>
      </c>
      <c r="M3385" s="148" t="s">
        <v>66</v>
      </c>
      <c r="N3385" s="212">
        <v>46177.0</v>
      </c>
      <c r="O3385" s="148" t="s">
        <v>67</v>
      </c>
      <c r="P3385" s="148" t="s">
        <v>68</v>
      </c>
      <c r="Q3385" s="103"/>
      <c r="R3385" s="103"/>
      <c r="S3385" s="103"/>
      <c r="T3385" s="103"/>
      <c r="U3385" s="148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1">
        <v>3380.0</v>
      </c>
      <c r="B3386" s="180" t="s">
        <v>5672</v>
      </c>
      <c r="C3386" s="82" t="str">
        <f>VLOOKUP($B$7:$B$5000,SUM!$L$6:$L$500,1,FALSE)</f>
        <v>#N/A</v>
      </c>
      <c r="D3386" s="190" t="s">
        <v>5647</v>
      </c>
      <c r="E3386" s="198" t="s">
        <v>58</v>
      </c>
      <c r="F3386" s="199" t="s">
        <v>105</v>
      </c>
      <c r="G3386" s="191" t="s">
        <v>1871</v>
      </c>
      <c r="H3386" s="199" t="s">
        <v>5673</v>
      </c>
      <c r="I3386" s="197" t="s">
        <v>5674</v>
      </c>
      <c r="J3386" s="148" t="s">
        <v>63</v>
      </c>
      <c r="K3386" s="148" t="s">
        <v>64</v>
      </c>
      <c r="L3386" s="148" t="s">
        <v>65</v>
      </c>
      <c r="M3386" s="148" t="s">
        <v>66</v>
      </c>
      <c r="N3386" s="212">
        <v>46177.0</v>
      </c>
      <c r="O3386" s="148" t="s">
        <v>67</v>
      </c>
      <c r="P3386" s="148" t="s">
        <v>68</v>
      </c>
      <c r="Q3386" s="103"/>
      <c r="R3386" s="103"/>
      <c r="S3386" s="103"/>
      <c r="T3386" s="103"/>
      <c r="U3386" s="148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1">
        <v>3381.0</v>
      </c>
      <c r="B3387" s="180" t="s">
        <v>5675</v>
      </c>
      <c r="C3387" s="82" t="str">
        <f>VLOOKUP($B$7:$B$5000,SUM!$L$6:$L$500,1,FALSE)</f>
        <v>#N/A</v>
      </c>
      <c r="D3387" s="190" t="s">
        <v>5647</v>
      </c>
      <c r="E3387" s="198" t="s">
        <v>58</v>
      </c>
      <c r="F3387" s="199" t="s">
        <v>105</v>
      </c>
      <c r="G3387" s="191" t="s">
        <v>1871</v>
      </c>
      <c r="H3387" s="199" t="s">
        <v>5676</v>
      </c>
      <c r="I3387" s="197" t="s">
        <v>5674</v>
      </c>
      <c r="J3387" s="148" t="s">
        <v>63</v>
      </c>
      <c r="K3387" s="148" t="s">
        <v>64</v>
      </c>
      <c r="L3387" s="148" t="s">
        <v>65</v>
      </c>
      <c r="M3387" s="148" t="s">
        <v>66</v>
      </c>
      <c r="N3387" s="212">
        <v>46177.0</v>
      </c>
      <c r="O3387" s="148" t="s">
        <v>67</v>
      </c>
      <c r="P3387" s="148" t="s">
        <v>68</v>
      </c>
      <c r="Q3387" s="103"/>
      <c r="R3387" s="103"/>
      <c r="S3387" s="103"/>
      <c r="T3387" s="103"/>
      <c r="U3387" s="148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1">
        <v>3382.0</v>
      </c>
      <c r="B3388" s="180" t="s">
        <v>5677</v>
      </c>
      <c r="C3388" s="82" t="str">
        <f>VLOOKUP($B$7:$B$5000,SUM!$L$6:$L$500,1,FALSE)</f>
        <v>#N/A</v>
      </c>
      <c r="D3388" s="190" t="s">
        <v>5647</v>
      </c>
      <c r="E3388" s="198" t="s">
        <v>58</v>
      </c>
      <c r="F3388" s="199" t="s">
        <v>105</v>
      </c>
      <c r="G3388" s="191" t="s">
        <v>1871</v>
      </c>
      <c r="H3388" s="199" t="s">
        <v>5678</v>
      </c>
      <c r="I3388" s="197" t="s">
        <v>5674</v>
      </c>
      <c r="J3388" s="148" t="s">
        <v>63</v>
      </c>
      <c r="K3388" s="148" t="s">
        <v>64</v>
      </c>
      <c r="L3388" s="148" t="s">
        <v>65</v>
      </c>
      <c r="M3388" s="148" t="s">
        <v>66</v>
      </c>
      <c r="N3388" s="212">
        <v>46177.0</v>
      </c>
      <c r="O3388" s="148" t="s">
        <v>67</v>
      </c>
      <c r="P3388" s="148" t="s">
        <v>68</v>
      </c>
      <c r="Q3388" s="103"/>
      <c r="R3388" s="103"/>
      <c r="S3388" s="103"/>
      <c r="T3388" s="103"/>
      <c r="U3388" s="148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1">
        <v>3383.0</v>
      </c>
      <c r="B3389" s="180" t="s">
        <v>5679</v>
      </c>
      <c r="C3389" s="82" t="str">
        <f>VLOOKUP($B$7:$B$5000,SUM!$L$6:$L$500,1,FALSE)</f>
        <v>#N/A</v>
      </c>
      <c r="D3389" s="190" t="s">
        <v>5647</v>
      </c>
      <c r="E3389" s="198" t="s">
        <v>58</v>
      </c>
      <c r="F3389" s="199" t="s">
        <v>105</v>
      </c>
      <c r="G3389" s="191" t="s">
        <v>1871</v>
      </c>
      <c r="H3389" s="199" t="s">
        <v>5680</v>
      </c>
      <c r="I3389" s="197" t="s">
        <v>5674</v>
      </c>
      <c r="J3389" s="148" t="s">
        <v>63</v>
      </c>
      <c r="K3389" s="148" t="s">
        <v>64</v>
      </c>
      <c r="L3389" s="148" t="s">
        <v>65</v>
      </c>
      <c r="M3389" s="148" t="s">
        <v>66</v>
      </c>
      <c r="N3389" s="212">
        <v>46177.0</v>
      </c>
      <c r="O3389" s="148" t="s">
        <v>67</v>
      </c>
      <c r="P3389" s="148" t="s">
        <v>68</v>
      </c>
      <c r="Q3389" s="103"/>
      <c r="R3389" s="103"/>
      <c r="S3389" s="103"/>
      <c r="T3389" s="103"/>
      <c r="U3389" s="148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1">
        <v>3384.0</v>
      </c>
      <c r="B3390" s="180" t="s">
        <v>5681</v>
      </c>
      <c r="C3390" s="82" t="str">
        <f>VLOOKUP($B$7:$B$5000,SUM!$L$6:$L$500,1,FALSE)</f>
        <v>#N/A</v>
      </c>
      <c r="D3390" s="190" t="s">
        <v>5647</v>
      </c>
      <c r="E3390" s="198" t="s">
        <v>58</v>
      </c>
      <c r="F3390" s="199" t="s">
        <v>105</v>
      </c>
      <c r="G3390" s="191" t="s">
        <v>1871</v>
      </c>
      <c r="H3390" s="199" t="s">
        <v>5682</v>
      </c>
      <c r="I3390" s="197" t="s">
        <v>5674</v>
      </c>
      <c r="J3390" s="148" t="s">
        <v>63</v>
      </c>
      <c r="K3390" s="148" t="s">
        <v>64</v>
      </c>
      <c r="L3390" s="148" t="s">
        <v>65</v>
      </c>
      <c r="M3390" s="148" t="s">
        <v>66</v>
      </c>
      <c r="N3390" s="212">
        <v>46177.0</v>
      </c>
      <c r="O3390" s="148" t="s">
        <v>67</v>
      </c>
      <c r="P3390" s="148" t="s">
        <v>68</v>
      </c>
      <c r="Q3390" s="103"/>
      <c r="R3390" s="103"/>
      <c r="S3390" s="103"/>
      <c r="T3390" s="103"/>
      <c r="U3390" s="148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1">
        <v>3385.0</v>
      </c>
      <c r="B3391" s="180" t="s">
        <v>5683</v>
      </c>
      <c r="C3391" s="82" t="str">
        <f>VLOOKUP($B$7:$B$5000,SUM!$L$6:$L$500,1,FALSE)</f>
        <v>#N/A</v>
      </c>
      <c r="D3391" s="190" t="s">
        <v>5647</v>
      </c>
      <c r="E3391" s="198" t="s">
        <v>58</v>
      </c>
      <c r="F3391" s="199" t="s">
        <v>105</v>
      </c>
      <c r="G3391" s="191" t="s">
        <v>1871</v>
      </c>
      <c r="H3391" s="199" t="s">
        <v>5684</v>
      </c>
      <c r="I3391" s="197" t="s">
        <v>5649</v>
      </c>
      <c r="J3391" s="148" t="s">
        <v>63</v>
      </c>
      <c r="K3391" s="148" t="s">
        <v>64</v>
      </c>
      <c r="L3391" s="148" t="s">
        <v>65</v>
      </c>
      <c r="M3391" s="148" t="s">
        <v>66</v>
      </c>
      <c r="N3391" s="212">
        <v>46177.0</v>
      </c>
      <c r="O3391" s="148" t="s">
        <v>67</v>
      </c>
      <c r="P3391" s="148" t="s">
        <v>68</v>
      </c>
      <c r="Q3391" s="103"/>
      <c r="R3391" s="103"/>
      <c r="S3391" s="103"/>
      <c r="T3391" s="103"/>
      <c r="U3391" s="148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1">
        <v>3386.0</v>
      </c>
      <c r="B3392" s="180" t="s">
        <v>5685</v>
      </c>
      <c r="C3392" s="82" t="str">
        <f>VLOOKUP($B$7:$B$5000,SUM!$L$6:$L$500,1,FALSE)</f>
        <v>#N/A</v>
      </c>
      <c r="D3392" s="190" t="s">
        <v>5647</v>
      </c>
      <c r="E3392" s="198" t="s">
        <v>58</v>
      </c>
      <c r="F3392" s="199" t="s">
        <v>105</v>
      </c>
      <c r="G3392" s="191" t="s">
        <v>1871</v>
      </c>
      <c r="H3392" s="199" t="s">
        <v>5686</v>
      </c>
      <c r="I3392" s="197" t="s">
        <v>5649</v>
      </c>
      <c r="J3392" s="148" t="s">
        <v>63</v>
      </c>
      <c r="K3392" s="148" t="s">
        <v>64</v>
      </c>
      <c r="L3392" s="148" t="s">
        <v>65</v>
      </c>
      <c r="M3392" s="148" t="s">
        <v>66</v>
      </c>
      <c r="N3392" s="212">
        <v>46177.0</v>
      </c>
      <c r="O3392" s="148" t="s">
        <v>67</v>
      </c>
      <c r="P3392" s="148" t="s">
        <v>68</v>
      </c>
      <c r="Q3392" s="103"/>
      <c r="R3392" s="103"/>
      <c r="S3392" s="103"/>
      <c r="T3392" s="103"/>
      <c r="U3392" s="148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1">
        <v>3387.0</v>
      </c>
      <c r="B3393" s="180" t="s">
        <v>5687</v>
      </c>
      <c r="C3393" s="82" t="str">
        <f>VLOOKUP($B$7:$B$5000,SUM!$L$6:$L$500,1,FALSE)</f>
        <v>#N/A</v>
      </c>
      <c r="D3393" s="190" t="s">
        <v>5647</v>
      </c>
      <c r="E3393" s="198" t="s">
        <v>58</v>
      </c>
      <c r="F3393" s="199" t="s">
        <v>105</v>
      </c>
      <c r="G3393" s="191" t="s">
        <v>1362</v>
      </c>
      <c r="H3393" s="199" t="s">
        <v>5688</v>
      </c>
      <c r="I3393" s="197" t="s">
        <v>5649</v>
      </c>
      <c r="J3393" s="148" t="s">
        <v>63</v>
      </c>
      <c r="K3393" s="148" t="s">
        <v>64</v>
      </c>
      <c r="L3393" s="148" t="s">
        <v>65</v>
      </c>
      <c r="M3393" s="148" t="s">
        <v>66</v>
      </c>
      <c r="N3393" s="212">
        <v>46177.0</v>
      </c>
      <c r="O3393" s="148" t="s">
        <v>67</v>
      </c>
      <c r="P3393" s="148" t="s">
        <v>68</v>
      </c>
      <c r="Q3393" s="103"/>
      <c r="R3393" s="103"/>
      <c r="S3393" s="103"/>
      <c r="T3393" s="103"/>
      <c r="U3393" s="148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1">
        <v>3388.0</v>
      </c>
      <c r="B3394" s="180" t="s">
        <v>5689</v>
      </c>
      <c r="C3394" s="82" t="str">
        <f>VLOOKUP($B$7:$B$5000,SUM!$L$6:$L$500,1,FALSE)</f>
        <v>#N/A</v>
      </c>
      <c r="D3394" s="190" t="s">
        <v>5647</v>
      </c>
      <c r="E3394" s="198" t="s">
        <v>58</v>
      </c>
      <c r="F3394" s="199" t="s">
        <v>105</v>
      </c>
      <c r="G3394" s="191" t="s">
        <v>1362</v>
      </c>
      <c r="H3394" s="199" t="s">
        <v>5690</v>
      </c>
      <c r="I3394" s="197" t="s">
        <v>5649</v>
      </c>
      <c r="J3394" s="148" t="s">
        <v>63</v>
      </c>
      <c r="K3394" s="148" t="s">
        <v>64</v>
      </c>
      <c r="L3394" s="148" t="s">
        <v>65</v>
      </c>
      <c r="M3394" s="148" t="s">
        <v>66</v>
      </c>
      <c r="N3394" s="212">
        <v>46177.0</v>
      </c>
      <c r="O3394" s="148" t="s">
        <v>67</v>
      </c>
      <c r="P3394" s="148" t="s">
        <v>68</v>
      </c>
      <c r="Q3394" s="103"/>
      <c r="R3394" s="103"/>
      <c r="S3394" s="103"/>
      <c r="T3394" s="103"/>
      <c r="U3394" s="148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1">
        <v>3389.0</v>
      </c>
      <c r="B3395" s="180" t="s">
        <v>5691</v>
      </c>
      <c r="C3395" s="82" t="str">
        <f>VLOOKUP($B$7:$B$5000,SUM!$L$6:$L$500,1,FALSE)</f>
        <v>#N/A</v>
      </c>
      <c r="D3395" s="190" t="s">
        <v>5647</v>
      </c>
      <c r="E3395" s="198" t="s">
        <v>58</v>
      </c>
      <c r="F3395" s="199" t="s">
        <v>105</v>
      </c>
      <c r="G3395" s="191" t="s">
        <v>1362</v>
      </c>
      <c r="H3395" s="199" t="s">
        <v>5692</v>
      </c>
      <c r="I3395" s="197" t="s">
        <v>5649</v>
      </c>
      <c r="J3395" s="148" t="s">
        <v>63</v>
      </c>
      <c r="K3395" s="148" t="s">
        <v>64</v>
      </c>
      <c r="L3395" s="148" t="s">
        <v>65</v>
      </c>
      <c r="M3395" s="148" t="s">
        <v>66</v>
      </c>
      <c r="N3395" s="212">
        <v>46177.0</v>
      </c>
      <c r="O3395" s="148" t="s">
        <v>67</v>
      </c>
      <c r="P3395" s="148" t="s">
        <v>68</v>
      </c>
      <c r="Q3395" s="103"/>
      <c r="R3395" s="103"/>
      <c r="S3395" s="103"/>
      <c r="T3395" s="103"/>
      <c r="U3395" s="148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1">
        <v>3390.0</v>
      </c>
      <c r="B3396" s="180" t="s">
        <v>5693</v>
      </c>
      <c r="C3396" s="82" t="str">
        <f>VLOOKUP($B$7:$B$5000,SUM!$L$6:$L$500,1,FALSE)</f>
        <v>#N/A</v>
      </c>
      <c r="D3396" s="190" t="s">
        <v>5647</v>
      </c>
      <c r="E3396" s="198" t="s">
        <v>58</v>
      </c>
      <c r="F3396" s="199" t="s">
        <v>105</v>
      </c>
      <c r="G3396" s="191" t="s">
        <v>5694</v>
      </c>
      <c r="H3396" s="199" t="s">
        <v>5695</v>
      </c>
      <c r="I3396" s="197" t="s">
        <v>5696</v>
      </c>
      <c r="J3396" s="148" t="s">
        <v>63</v>
      </c>
      <c r="K3396" s="148" t="s">
        <v>64</v>
      </c>
      <c r="L3396" s="148" t="s">
        <v>65</v>
      </c>
      <c r="M3396" s="148" t="s">
        <v>66</v>
      </c>
      <c r="N3396" s="212">
        <v>46177.0</v>
      </c>
      <c r="O3396" s="148" t="s">
        <v>67</v>
      </c>
      <c r="P3396" s="148" t="s">
        <v>68</v>
      </c>
      <c r="Q3396" s="103"/>
      <c r="R3396" s="103"/>
      <c r="S3396" s="103"/>
      <c r="T3396" s="103"/>
      <c r="U3396" s="148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1">
        <v>3391.0</v>
      </c>
      <c r="B3397" s="180" t="s">
        <v>5697</v>
      </c>
      <c r="C3397" s="82" t="str">
        <f>VLOOKUP($B$7:$B$5000,SUM!$L$6:$L$500,1,FALSE)</f>
        <v>#N/A</v>
      </c>
      <c r="D3397" s="190" t="s">
        <v>5647</v>
      </c>
      <c r="E3397" s="198" t="s">
        <v>58</v>
      </c>
      <c r="F3397" s="199" t="s">
        <v>105</v>
      </c>
      <c r="G3397" s="191" t="s">
        <v>1362</v>
      </c>
      <c r="H3397" s="199" t="s">
        <v>5648</v>
      </c>
      <c r="I3397" s="197" t="s">
        <v>5698</v>
      </c>
      <c r="J3397" s="148" t="s">
        <v>63</v>
      </c>
      <c r="K3397" s="148" t="s">
        <v>64</v>
      </c>
      <c r="L3397" s="148" t="s">
        <v>65</v>
      </c>
      <c r="M3397" s="148" t="s">
        <v>66</v>
      </c>
      <c r="N3397" s="212">
        <v>46177.0</v>
      </c>
      <c r="O3397" s="148" t="s">
        <v>67</v>
      </c>
      <c r="P3397" s="148" t="s">
        <v>68</v>
      </c>
      <c r="Q3397" s="103"/>
      <c r="R3397" s="103"/>
      <c r="S3397" s="103"/>
      <c r="T3397" s="103"/>
      <c r="U3397" s="148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1">
        <v>3392.0</v>
      </c>
      <c r="B3398" s="180" t="s">
        <v>5699</v>
      </c>
      <c r="C3398" s="82" t="str">
        <f>VLOOKUP($B$7:$B$5000,SUM!$L$6:$L$500,1,FALSE)</f>
        <v>#N/A</v>
      </c>
      <c r="D3398" s="190" t="s">
        <v>5647</v>
      </c>
      <c r="E3398" s="198" t="s">
        <v>58</v>
      </c>
      <c r="F3398" s="199" t="s">
        <v>105</v>
      </c>
      <c r="G3398" s="191" t="s">
        <v>1362</v>
      </c>
      <c r="H3398" s="199" t="s">
        <v>5651</v>
      </c>
      <c r="I3398" s="197" t="s">
        <v>5698</v>
      </c>
      <c r="J3398" s="148" t="s">
        <v>63</v>
      </c>
      <c r="K3398" s="148" t="s">
        <v>64</v>
      </c>
      <c r="L3398" s="148" t="s">
        <v>65</v>
      </c>
      <c r="M3398" s="148" t="s">
        <v>66</v>
      </c>
      <c r="N3398" s="212">
        <v>46177.0</v>
      </c>
      <c r="O3398" s="148" t="s">
        <v>67</v>
      </c>
      <c r="P3398" s="148" t="s">
        <v>68</v>
      </c>
      <c r="Q3398" s="103"/>
      <c r="R3398" s="103"/>
      <c r="S3398" s="103"/>
      <c r="T3398" s="103"/>
      <c r="U3398" s="148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1">
        <v>3393.0</v>
      </c>
      <c r="B3399" s="180" t="s">
        <v>5700</v>
      </c>
      <c r="C3399" s="82" t="str">
        <f>VLOOKUP($B$7:$B$5000,SUM!$L$6:$L$500,1,FALSE)</f>
        <v>#N/A</v>
      </c>
      <c r="D3399" s="190" t="s">
        <v>5647</v>
      </c>
      <c r="E3399" s="198" t="s">
        <v>58</v>
      </c>
      <c r="F3399" s="199" t="s">
        <v>105</v>
      </c>
      <c r="G3399" s="191" t="s">
        <v>2710</v>
      </c>
      <c r="H3399" s="199" t="s">
        <v>5653</v>
      </c>
      <c r="I3399" s="197" t="s">
        <v>5698</v>
      </c>
      <c r="J3399" s="148" t="s">
        <v>63</v>
      </c>
      <c r="K3399" s="148" t="s">
        <v>64</v>
      </c>
      <c r="L3399" s="148" t="s">
        <v>65</v>
      </c>
      <c r="M3399" s="148" t="s">
        <v>66</v>
      </c>
      <c r="N3399" s="212">
        <v>46177.0</v>
      </c>
      <c r="O3399" s="148" t="s">
        <v>67</v>
      </c>
      <c r="P3399" s="148" t="s">
        <v>68</v>
      </c>
      <c r="Q3399" s="103"/>
      <c r="R3399" s="103"/>
      <c r="S3399" s="103"/>
      <c r="T3399" s="103"/>
      <c r="U3399" s="148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1">
        <v>3394.0</v>
      </c>
      <c r="B3400" s="180" t="s">
        <v>5701</v>
      </c>
      <c r="C3400" s="82" t="str">
        <f>VLOOKUP($B$7:$B$5000,SUM!$L$6:$L$500,1,FALSE)</f>
        <v>#N/A</v>
      </c>
      <c r="D3400" s="190" t="s">
        <v>5647</v>
      </c>
      <c r="E3400" s="198" t="s">
        <v>58</v>
      </c>
      <c r="F3400" s="199" t="s">
        <v>105</v>
      </c>
      <c r="G3400" s="191" t="s">
        <v>2710</v>
      </c>
      <c r="H3400" s="199" t="s">
        <v>5656</v>
      </c>
      <c r="I3400" s="197" t="s">
        <v>5698</v>
      </c>
      <c r="J3400" s="148" t="s">
        <v>63</v>
      </c>
      <c r="K3400" s="148" t="s">
        <v>64</v>
      </c>
      <c r="L3400" s="148" t="s">
        <v>65</v>
      </c>
      <c r="M3400" s="148" t="s">
        <v>66</v>
      </c>
      <c r="N3400" s="212">
        <v>46177.0</v>
      </c>
      <c r="O3400" s="148" t="s">
        <v>67</v>
      </c>
      <c r="P3400" s="148" t="s">
        <v>68</v>
      </c>
      <c r="Q3400" s="103"/>
      <c r="R3400" s="103"/>
      <c r="S3400" s="103"/>
      <c r="T3400" s="103"/>
      <c r="U3400" s="148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1">
        <v>3395.0</v>
      </c>
      <c r="B3401" s="180" t="s">
        <v>5702</v>
      </c>
      <c r="C3401" s="82" t="str">
        <f>VLOOKUP($B$7:$B$5000,SUM!$L$6:$L$500,1,FALSE)</f>
        <v>#N/A</v>
      </c>
      <c r="D3401" s="190" t="s">
        <v>5647</v>
      </c>
      <c r="E3401" s="198" t="s">
        <v>58</v>
      </c>
      <c r="F3401" s="199" t="s">
        <v>105</v>
      </c>
      <c r="G3401" s="191" t="s">
        <v>2710</v>
      </c>
      <c r="H3401" s="199" t="s">
        <v>5658</v>
      </c>
      <c r="I3401" s="197" t="s">
        <v>5698</v>
      </c>
      <c r="J3401" s="148" t="s">
        <v>63</v>
      </c>
      <c r="K3401" s="148" t="s">
        <v>64</v>
      </c>
      <c r="L3401" s="148" t="s">
        <v>65</v>
      </c>
      <c r="M3401" s="148" t="s">
        <v>66</v>
      </c>
      <c r="N3401" s="212">
        <v>46177.0</v>
      </c>
      <c r="O3401" s="148" t="s">
        <v>67</v>
      </c>
      <c r="P3401" s="148" t="s">
        <v>68</v>
      </c>
      <c r="Q3401" s="103"/>
      <c r="R3401" s="103"/>
      <c r="S3401" s="103"/>
      <c r="T3401" s="103"/>
      <c r="U3401" s="148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1">
        <v>3396.0</v>
      </c>
      <c r="B3402" s="180" t="s">
        <v>5703</v>
      </c>
      <c r="C3402" s="82" t="str">
        <f>VLOOKUP($B$7:$B$5000,SUM!$L$6:$L$500,1,FALSE)</f>
        <v>#N/A</v>
      </c>
      <c r="D3402" s="190" t="s">
        <v>5647</v>
      </c>
      <c r="E3402" s="198" t="s">
        <v>58</v>
      </c>
      <c r="F3402" s="199" t="s">
        <v>105</v>
      </c>
      <c r="G3402" s="191" t="s">
        <v>2710</v>
      </c>
      <c r="H3402" s="199" t="s">
        <v>5661</v>
      </c>
      <c r="I3402" s="197" t="s">
        <v>5698</v>
      </c>
      <c r="J3402" s="148" t="s">
        <v>63</v>
      </c>
      <c r="K3402" s="148" t="s">
        <v>64</v>
      </c>
      <c r="L3402" s="148" t="s">
        <v>65</v>
      </c>
      <c r="M3402" s="148" t="s">
        <v>66</v>
      </c>
      <c r="N3402" s="212">
        <v>46177.0</v>
      </c>
      <c r="O3402" s="148" t="s">
        <v>67</v>
      </c>
      <c r="P3402" s="148" t="s">
        <v>68</v>
      </c>
      <c r="Q3402" s="103"/>
      <c r="R3402" s="103"/>
      <c r="S3402" s="103"/>
      <c r="T3402" s="103"/>
      <c r="U3402" s="148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1">
        <v>3397.0</v>
      </c>
      <c r="B3403" s="180" t="s">
        <v>5704</v>
      </c>
      <c r="C3403" s="82" t="str">
        <f>VLOOKUP($B$7:$B$5000,SUM!$L$6:$L$500,1,FALSE)</f>
        <v>#N/A</v>
      </c>
      <c r="D3403" s="190" t="s">
        <v>5647</v>
      </c>
      <c r="E3403" s="198" t="s">
        <v>58</v>
      </c>
      <c r="F3403" s="199" t="s">
        <v>105</v>
      </c>
      <c r="G3403" s="191" t="s">
        <v>4100</v>
      </c>
      <c r="H3403" s="199" t="s">
        <v>5663</v>
      </c>
      <c r="I3403" s="197" t="s">
        <v>5705</v>
      </c>
      <c r="J3403" s="148" t="s">
        <v>63</v>
      </c>
      <c r="K3403" s="148" t="s">
        <v>64</v>
      </c>
      <c r="L3403" s="148" t="s">
        <v>65</v>
      </c>
      <c r="M3403" s="148" t="s">
        <v>66</v>
      </c>
      <c r="N3403" s="212">
        <v>46177.0</v>
      </c>
      <c r="O3403" s="148" t="s">
        <v>67</v>
      </c>
      <c r="P3403" s="148" t="s">
        <v>68</v>
      </c>
      <c r="Q3403" s="103"/>
      <c r="R3403" s="103"/>
      <c r="S3403" s="103"/>
      <c r="T3403" s="103"/>
      <c r="U3403" s="148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1">
        <v>3398.0</v>
      </c>
      <c r="B3404" s="180" t="s">
        <v>5706</v>
      </c>
      <c r="C3404" s="82" t="str">
        <f>VLOOKUP($B$7:$B$5000,SUM!$L$6:$L$500,1,FALSE)</f>
        <v>#N/A</v>
      </c>
      <c r="D3404" s="190" t="s">
        <v>5647</v>
      </c>
      <c r="E3404" s="198" t="s">
        <v>58</v>
      </c>
      <c r="F3404" s="199" t="s">
        <v>105</v>
      </c>
      <c r="G3404" s="191" t="s">
        <v>5666</v>
      </c>
      <c r="H3404" s="199" t="s">
        <v>5667</v>
      </c>
      <c r="I3404" s="197" t="s">
        <v>5705</v>
      </c>
      <c r="J3404" s="148" t="s">
        <v>63</v>
      </c>
      <c r="K3404" s="148" t="s">
        <v>64</v>
      </c>
      <c r="L3404" s="148" t="s">
        <v>65</v>
      </c>
      <c r="M3404" s="148" t="s">
        <v>66</v>
      </c>
      <c r="N3404" s="212">
        <v>46177.0</v>
      </c>
      <c r="O3404" s="148" t="s">
        <v>67</v>
      </c>
      <c r="P3404" s="148" t="s">
        <v>68</v>
      </c>
      <c r="Q3404" s="103"/>
      <c r="R3404" s="103"/>
      <c r="S3404" s="103"/>
      <c r="T3404" s="103"/>
      <c r="U3404" s="148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1">
        <v>3399.0</v>
      </c>
      <c r="B3405" s="180" t="s">
        <v>5707</v>
      </c>
      <c r="C3405" s="82" t="str">
        <f>VLOOKUP($B$7:$B$5000,SUM!$L$6:$L$500,1,FALSE)</f>
        <v>#N/A</v>
      </c>
      <c r="D3405" s="190" t="s">
        <v>5647</v>
      </c>
      <c r="E3405" s="198" t="s">
        <v>58</v>
      </c>
      <c r="F3405" s="199" t="s">
        <v>105</v>
      </c>
      <c r="G3405" s="191" t="s">
        <v>5666</v>
      </c>
      <c r="H3405" s="199" t="s">
        <v>5669</v>
      </c>
      <c r="I3405" s="197" t="s">
        <v>5705</v>
      </c>
      <c r="J3405" s="148" t="s">
        <v>63</v>
      </c>
      <c r="K3405" s="148" t="s">
        <v>64</v>
      </c>
      <c r="L3405" s="148" t="s">
        <v>65</v>
      </c>
      <c r="M3405" s="148" t="s">
        <v>66</v>
      </c>
      <c r="N3405" s="212">
        <v>46177.0</v>
      </c>
      <c r="O3405" s="148" t="s">
        <v>67</v>
      </c>
      <c r="P3405" s="148" t="s">
        <v>68</v>
      </c>
      <c r="Q3405" s="103"/>
      <c r="R3405" s="103"/>
      <c r="S3405" s="103"/>
      <c r="T3405" s="103"/>
      <c r="U3405" s="148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1">
        <v>3400.0</v>
      </c>
      <c r="B3406" s="180" t="s">
        <v>5708</v>
      </c>
      <c r="C3406" s="82" t="str">
        <f>VLOOKUP($B$7:$B$5000,SUM!$L$6:$L$500,1,FALSE)</f>
        <v>#N/A</v>
      </c>
      <c r="D3406" s="190" t="s">
        <v>5647</v>
      </c>
      <c r="E3406" s="198" t="s">
        <v>58</v>
      </c>
      <c r="F3406" s="199" t="s">
        <v>105</v>
      </c>
      <c r="G3406" s="191" t="s">
        <v>5666</v>
      </c>
      <c r="H3406" s="199" t="s">
        <v>5671</v>
      </c>
      <c r="I3406" s="197" t="s">
        <v>5705</v>
      </c>
      <c r="J3406" s="148" t="s">
        <v>63</v>
      </c>
      <c r="K3406" s="148" t="s">
        <v>64</v>
      </c>
      <c r="L3406" s="148" t="s">
        <v>65</v>
      </c>
      <c r="M3406" s="148" t="s">
        <v>66</v>
      </c>
      <c r="N3406" s="212">
        <v>46177.0</v>
      </c>
      <c r="O3406" s="148" t="s">
        <v>67</v>
      </c>
      <c r="P3406" s="148" t="s">
        <v>68</v>
      </c>
      <c r="Q3406" s="103"/>
      <c r="R3406" s="103"/>
      <c r="S3406" s="103"/>
      <c r="T3406" s="103"/>
      <c r="U3406" s="148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1">
        <v>3401.0</v>
      </c>
      <c r="B3407" s="180" t="s">
        <v>5709</v>
      </c>
      <c r="C3407" s="82" t="str">
        <f>VLOOKUP($B$7:$B$5000,SUM!$L$6:$L$500,1,FALSE)</f>
        <v>#N/A</v>
      </c>
      <c r="D3407" s="190" t="s">
        <v>5647</v>
      </c>
      <c r="E3407" s="198" t="s">
        <v>58</v>
      </c>
      <c r="F3407" s="199" t="s">
        <v>105</v>
      </c>
      <c r="G3407" s="191" t="s">
        <v>1871</v>
      </c>
      <c r="H3407" s="199" t="s">
        <v>5673</v>
      </c>
      <c r="I3407" s="197" t="s">
        <v>5710</v>
      </c>
      <c r="J3407" s="148" t="s">
        <v>63</v>
      </c>
      <c r="K3407" s="148" t="s">
        <v>64</v>
      </c>
      <c r="L3407" s="148" t="s">
        <v>65</v>
      </c>
      <c r="M3407" s="148" t="s">
        <v>66</v>
      </c>
      <c r="N3407" s="212">
        <v>46177.0</v>
      </c>
      <c r="O3407" s="148" t="s">
        <v>67</v>
      </c>
      <c r="P3407" s="148" t="s">
        <v>68</v>
      </c>
      <c r="Q3407" s="103"/>
      <c r="R3407" s="103"/>
      <c r="S3407" s="103"/>
      <c r="T3407" s="103"/>
      <c r="U3407" s="148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1">
        <v>3402.0</v>
      </c>
      <c r="B3408" s="180" t="s">
        <v>5711</v>
      </c>
      <c r="C3408" s="82" t="str">
        <f>VLOOKUP($B$7:$B$5000,SUM!$L$6:$L$500,1,FALSE)</f>
        <v>#N/A</v>
      </c>
      <c r="D3408" s="190" t="s">
        <v>5647</v>
      </c>
      <c r="E3408" s="198" t="s">
        <v>58</v>
      </c>
      <c r="F3408" s="199" t="s">
        <v>105</v>
      </c>
      <c r="G3408" s="191" t="s">
        <v>1871</v>
      </c>
      <c r="H3408" s="199" t="s">
        <v>5676</v>
      </c>
      <c r="I3408" s="197" t="s">
        <v>5710</v>
      </c>
      <c r="J3408" s="148" t="s">
        <v>63</v>
      </c>
      <c r="K3408" s="148" t="s">
        <v>64</v>
      </c>
      <c r="L3408" s="148" t="s">
        <v>65</v>
      </c>
      <c r="M3408" s="148" t="s">
        <v>66</v>
      </c>
      <c r="N3408" s="212">
        <v>46177.0</v>
      </c>
      <c r="O3408" s="148" t="s">
        <v>67</v>
      </c>
      <c r="P3408" s="148" t="s">
        <v>68</v>
      </c>
      <c r="Q3408" s="103"/>
      <c r="R3408" s="103"/>
      <c r="S3408" s="103"/>
      <c r="T3408" s="103"/>
      <c r="U3408" s="148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1">
        <v>3403.0</v>
      </c>
      <c r="B3409" s="180" t="s">
        <v>5712</v>
      </c>
      <c r="C3409" s="82" t="str">
        <f>VLOOKUP($B$7:$B$5000,SUM!$L$6:$L$500,1,FALSE)</f>
        <v>#N/A</v>
      </c>
      <c r="D3409" s="190" t="s">
        <v>5647</v>
      </c>
      <c r="E3409" s="198" t="s">
        <v>58</v>
      </c>
      <c r="F3409" s="199" t="s">
        <v>105</v>
      </c>
      <c r="G3409" s="191" t="s">
        <v>1871</v>
      </c>
      <c r="H3409" s="199" t="s">
        <v>5678</v>
      </c>
      <c r="I3409" s="197" t="s">
        <v>5710</v>
      </c>
      <c r="J3409" s="148" t="s">
        <v>63</v>
      </c>
      <c r="K3409" s="148" t="s">
        <v>64</v>
      </c>
      <c r="L3409" s="148" t="s">
        <v>65</v>
      </c>
      <c r="M3409" s="148" t="s">
        <v>66</v>
      </c>
      <c r="N3409" s="212">
        <v>46177.0</v>
      </c>
      <c r="O3409" s="148" t="s">
        <v>67</v>
      </c>
      <c r="P3409" s="148" t="s">
        <v>68</v>
      </c>
      <c r="Q3409" s="103"/>
      <c r="R3409" s="103"/>
      <c r="S3409" s="103"/>
      <c r="T3409" s="103"/>
      <c r="U3409" s="148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1">
        <v>3404.0</v>
      </c>
      <c r="B3410" s="180" t="s">
        <v>5713</v>
      </c>
      <c r="C3410" s="82" t="str">
        <f>VLOOKUP($B$7:$B$5000,SUM!$L$6:$L$500,1,FALSE)</f>
        <v>#N/A</v>
      </c>
      <c r="D3410" s="190" t="s">
        <v>5647</v>
      </c>
      <c r="E3410" s="198" t="s">
        <v>58</v>
      </c>
      <c r="F3410" s="199" t="s">
        <v>105</v>
      </c>
      <c r="G3410" s="191" t="s">
        <v>1871</v>
      </c>
      <c r="H3410" s="199" t="s">
        <v>5680</v>
      </c>
      <c r="I3410" s="197" t="s">
        <v>5710</v>
      </c>
      <c r="J3410" s="148" t="s">
        <v>63</v>
      </c>
      <c r="K3410" s="148" t="s">
        <v>64</v>
      </c>
      <c r="L3410" s="148" t="s">
        <v>65</v>
      </c>
      <c r="M3410" s="148" t="s">
        <v>66</v>
      </c>
      <c r="N3410" s="212">
        <v>46177.0</v>
      </c>
      <c r="O3410" s="148" t="s">
        <v>67</v>
      </c>
      <c r="P3410" s="148" t="s">
        <v>68</v>
      </c>
      <c r="Q3410" s="103"/>
      <c r="R3410" s="103"/>
      <c r="S3410" s="103"/>
      <c r="T3410" s="103"/>
      <c r="U3410" s="148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1">
        <v>3405.0</v>
      </c>
      <c r="B3411" s="180" t="s">
        <v>5714</v>
      </c>
      <c r="C3411" s="82" t="str">
        <f>VLOOKUP($B$7:$B$5000,SUM!$L$6:$L$500,1,FALSE)</f>
        <v>#N/A</v>
      </c>
      <c r="D3411" s="190" t="s">
        <v>5647</v>
      </c>
      <c r="E3411" s="198" t="s">
        <v>58</v>
      </c>
      <c r="F3411" s="199" t="s">
        <v>105</v>
      </c>
      <c r="G3411" s="191" t="s">
        <v>1871</v>
      </c>
      <c r="H3411" s="199" t="s">
        <v>5682</v>
      </c>
      <c r="I3411" s="197" t="s">
        <v>5710</v>
      </c>
      <c r="J3411" s="148" t="s">
        <v>63</v>
      </c>
      <c r="K3411" s="148" t="s">
        <v>64</v>
      </c>
      <c r="L3411" s="148" t="s">
        <v>65</v>
      </c>
      <c r="M3411" s="148" t="s">
        <v>66</v>
      </c>
      <c r="N3411" s="212">
        <v>46177.0</v>
      </c>
      <c r="O3411" s="148" t="s">
        <v>67</v>
      </c>
      <c r="P3411" s="148" t="s">
        <v>68</v>
      </c>
      <c r="Q3411" s="103"/>
      <c r="R3411" s="103"/>
      <c r="S3411" s="103"/>
      <c r="T3411" s="103"/>
      <c r="U3411" s="148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1">
        <v>3406.0</v>
      </c>
      <c r="B3412" s="180" t="s">
        <v>5715</v>
      </c>
      <c r="C3412" s="82" t="str">
        <f>VLOOKUP($B$7:$B$5000,SUM!$L$6:$L$500,1,FALSE)</f>
        <v>#N/A</v>
      </c>
      <c r="D3412" s="190" t="s">
        <v>5647</v>
      </c>
      <c r="E3412" s="198" t="s">
        <v>58</v>
      </c>
      <c r="F3412" s="199" t="s">
        <v>105</v>
      </c>
      <c r="G3412" s="191" t="s">
        <v>1871</v>
      </c>
      <c r="H3412" s="199" t="s">
        <v>5684</v>
      </c>
      <c r="I3412" s="197" t="s">
        <v>5698</v>
      </c>
      <c r="J3412" s="148" t="s">
        <v>63</v>
      </c>
      <c r="K3412" s="148" t="s">
        <v>64</v>
      </c>
      <c r="L3412" s="148" t="s">
        <v>65</v>
      </c>
      <c r="M3412" s="148" t="s">
        <v>66</v>
      </c>
      <c r="N3412" s="212">
        <v>46177.0</v>
      </c>
      <c r="O3412" s="148" t="s">
        <v>67</v>
      </c>
      <c r="P3412" s="148" t="s">
        <v>68</v>
      </c>
      <c r="Q3412" s="103"/>
      <c r="R3412" s="103"/>
      <c r="S3412" s="103"/>
      <c r="T3412" s="103"/>
      <c r="U3412" s="148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1">
        <v>3407.0</v>
      </c>
      <c r="B3413" s="180" t="s">
        <v>5716</v>
      </c>
      <c r="C3413" s="82" t="str">
        <f>VLOOKUP($B$7:$B$5000,SUM!$L$6:$L$500,1,FALSE)</f>
        <v>#N/A</v>
      </c>
      <c r="D3413" s="190" t="s">
        <v>5647</v>
      </c>
      <c r="E3413" s="198" t="s">
        <v>58</v>
      </c>
      <c r="F3413" s="199" t="s">
        <v>105</v>
      </c>
      <c r="G3413" s="191" t="s">
        <v>1871</v>
      </c>
      <c r="H3413" s="199" t="s">
        <v>5686</v>
      </c>
      <c r="I3413" s="197" t="s">
        <v>5698</v>
      </c>
      <c r="J3413" s="148" t="s">
        <v>63</v>
      </c>
      <c r="K3413" s="148" t="s">
        <v>64</v>
      </c>
      <c r="L3413" s="148" t="s">
        <v>65</v>
      </c>
      <c r="M3413" s="148" t="s">
        <v>66</v>
      </c>
      <c r="N3413" s="212">
        <v>46177.0</v>
      </c>
      <c r="O3413" s="148" t="s">
        <v>67</v>
      </c>
      <c r="P3413" s="148" t="s">
        <v>68</v>
      </c>
      <c r="Q3413" s="103"/>
      <c r="R3413" s="103"/>
      <c r="S3413" s="103"/>
      <c r="T3413" s="103"/>
      <c r="U3413" s="148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1">
        <v>3408.0</v>
      </c>
      <c r="B3414" s="180" t="s">
        <v>5717</v>
      </c>
      <c r="C3414" s="82" t="str">
        <f>VLOOKUP($B$7:$B$5000,SUM!$L$6:$L$500,1,FALSE)</f>
        <v>#N/A</v>
      </c>
      <c r="D3414" s="190" t="s">
        <v>5647</v>
      </c>
      <c r="E3414" s="198" t="s">
        <v>58</v>
      </c>
      <c r="F3414" s="199" t="s">
        <v>105</v>
      </c>
      <c r="G3414" s="191" t="s">
        <v>1362</v>
      </c>
      <c r="H3414" s="199" t="s">
        <v>5688</v>
      </c>
      <c r="I3414" s="197" t="s">
        <v>5698</v>
      </c>
      <c r="J3414" s="148" t="s">
        <v>63</v>
      </c>
      <c r="K3414" s="148" t="s">
        <v>64</v>
      </c>
      <c r="L3414" s="148" t="s">
        <v>65</v>
      </c>
      <c r="M3414" s="148" t="s">
        <v>66</v>
      </c>
      <c r="N3414" s="212">
        <v>46177.0</v>
      </c>
      <c r="O3414" s="148" t="s">
        <v>67</v>
      </c>
      <c r="P3414" s="148" t="s">
        <v>68</v>
      </c>
      <c r="Q3414" s="103"/>
      <c r="R3414" s="103"/>
      <c r="S3414" s="103"/>
      <c r="T3414" s="103"/>
      <c r="U3414" s="148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1">
        <v>3409.0</v>
      </c>
      <c r="B3415" s="180" t="s">
        <v>5718</v>
      </c>
      <c r="C3415" s="82" t="str">
        <f>VLOOKUP($B$7:$B$5000,SUM!$L$6:$L$500,1,FALSE)</f>
        <v>#N/A</v>
      </c>
      <c r="D3415" s="190" t="s">
        <v>5647</v>
      </c>
      <c r="E3415" s="198" t="s">
        <v>58</v>
      </c>
      <c r="F3415" s="199" t="s">
        <v>105</v>
      </c>
      <c r="G3415" s="191" t="s">
        <v>1362</v>
      </c>
      <c r="H3415" s="199" t="s">
        <v>5690</v>
      </c>
      <c r="I3415" s="197" t="s">
        <v>5698</v>
      </c>
      <c r="J3415" s="148" t="s">
        <v>63</v>
      </c>
      <c r="K3415" s="148" t="s">
        <v>64</v>
      </c>
      <c r="L3415" s="148" t="s">
        <v>65</v>
      </c>
      <c r="M3415" s="148" t="s">
        <v>66</v>
      </c>
      <c r="N3415" s="212">
        <v>46177.0</v>
      </c>
      <c r="O3415" s="148" t="s">
        <v>67</v>
      </c>
      <c r="P3415" s="148" t="s">
        <v>68</v>
      </c>
      <c r="Q3415" s="103"/>
      <c r="R3415" s="103"/>
      <c r="S3415" s="103"/>
      <c r="T3415" s="103"/>
      <c r="U3415" s="148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1">
        <v>3410.0</v>
      </c>
      <c r="B3416" s="180" t="s">
        <v>5719</v>
      </c>
      <c r="C3416" s="82" t="str">
        <f>VLOOKUP($B$7:$B$5000,SUM!$L$6:$L$500,1,FALSE)</f>
        <v>#N/A</v>
      </c>
      <c r="D3416" s="190" t="s">
        <v>5647</v>
      </c>
      <c r="E3416" s="198" t="s">
        <v>58</v>
      </c>
      <c r="F3416" s="199" t="s">
        <v>105</v>
      </c>
      <c r="G3416" s="191" t="s">
        <v>1362</v>
      </c>
      <c r="H3416" s="199" t="s">
        <v>5692</v>
      </c>
      <c r="I3416" s="197" t="s">
        <v>5698</v>
      </c>
      <c r="J3416" s="148" t="s">
        <v>63</v>
      </c>
      <c r="K3416" s="148" t="s">
        <v>64</v>
      </c>
      <c r="L3416" s="148" t="s">
        <v>65</v>
      </c>
      <c r="M3416" s="148" t="s">
        <v>66</v>
      </c>
      <c r="N3416" s="212">
        <v>46177.0</v>
      </c>
      <c r="O3416" s="148" t="s">
        <v>67</v>
      </c>
      <c r="P3416" s="148" t="s">
        <v>68</v>
      </c>
      <c r="Q3416" s="103"/>
      <c r="R3416" s="103"/>
      <c r="S3416" s="103"/>
      <c r="T3416" s="103"/>
      <c r="U3416" s="148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1">
        <v>3411.0</v>
      </c>
      <c r="B3417" s="180" t="s">
        <v>5720</v>
      </c>
      <c r="C3417" s="82" t="str">
        <f>VLOOKUP($B$7:$B$5000,SUM!$L$6:$L$500,1,FALSE)</f>
        <v>#N/A</v>
      </c>
      <c r="D3417" s="190" t="s">
        <v>5647</v>
      </c>
      <c r="E3417" s="198" t="s">
        <v>58</v>
      </c>
      <c r="F3417" s="199" t="s">
        <v>105</v>
      </c>
      <c r="G3417" s="191" t="s">
        <v>5694</v>
      </c>
      <c r="H3417" s="199" t="s">
        <v>5695</v>
      </c>
      <c r="I3417" s="197" t="s">
        <v>5721</v>
      </c>
      <c r="J3417" s="148" t="s">
        <v>63</v>
      </c>
      <c r="K3417" s="148" t="s">
        <v>64</v>
      </c>
      <c r="L3417" s="148" t="s">
        <v>65</v>
      </c>
      <c r="M3417" s="148" t="s">
        <v>66</v>
      </c>
      <c r="N3417" s="212">
        <v>46177.0</v>
      </c>
      <c r="O3417" s="148" t="s">
        <v>67</v>
      </c>
      <c r="P3417" s="148" t="s">
        <v>68</v>
      </c>
      <c r="Q3417" s="103"/>
      <c r="R3417" s="103"/>
      <c r="S3417" s="103"/>
      <c r="T3417" s="103"/>
      <c r="U3417" s="148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1">
        <v>3412.0</v>
      </c>
      <c r="B3418" s="180" t="s">
        <v>5722</v>
      </c>
      <c r="C3418" s="82" t="str">
        <f>VLOOKUP($B$7:$B$5000,SUM!$L$6:$L$500,1,FALSE)</f>
        <v>#N/A</v>
      </c>
      <c r="D3418" s="190" t="s">
        <v>5647</v>
      </c>
      <c r="E3418" s="198" t="s">
        <v>58</v>
      </c>
      <c r="F3418" s="199" t="s">
        <v>105</v>
      </c>
      <c r="G3418" s="191" t="s">
        <v>2710</v>
      </c>
      <c r="H3418" s="199" t="s">
        <v>5653</v>
      </c>
      <c r="I3418" s="197" t="s">
        <v>5723</v>
      </c>
      <c r="J3418" s="148" t="s">
        <v>108</v>
      </c>
      <c r="K3418" s="148" t="s">
        <v>64</v>
      </c>
      <c r="L3418" s="148" t="s">
        <v>65</v>
      </c>
      <c r="M3418" s="148" t="s">
        <v>66</v>
      </c>
      <c r="N3418" s="212">
        <v>46177.0</v>
      </c>
      <c r="O3418" s="148" t="s">
        <v>67</v>
      </c>
      <c r="P3418" s="148" t="s">
        <v>68</v>
      </c>
      <c r="Q3418" s="103"/>
      <c r="R3418" s="103"/>
      <c r="S3418" s="103"/>
      <c r="T3418" s="103"/>
      <c r="U3418" s="148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1">
        <v>3413.0</v>
      </c>
      <c r="B3419" s="180" t="s">
        <v>5724</v>
      </c>
      <c r="C3419" s="82" t="str">
        <f>VLOOKUP($B$7:$B$5000,SUM!$L$6:$L$500,1,FALSE)</f>
        <v>#N/A</v>
      </c>
      <c r="D3419" s="190" t="s">
        <v>5647</v>
      </c>
      <c r="E3419" s="198" t="s">
        <v>58</v>
      </c>
      <c r="F3419" s="199" t="s">
        <v>105</v>
      </c>
      <c r="G3419" s="191" t="s">
        <v>2710</v>
      </c>
      <c r="H3419" s="199" t="s">
        <v>5656</v>
      </c>
      <c r="I3419" s="197" t="s">
        <v>5723</v>
      </c>
      <c r="J3419" s="148" t="s">
        <v>108</v>
      </c>
      <c r="K3419" s="148" t="s">
        <v>64</v>
      </c>
      <c r="L3419" s="148" t="s">
        <v>65</v>
      </c>
      <c r="M3419" s="148" t="s">
        <v>66</v>
      </c>
      <c r="N3419" s="212">
        <v>46177.0</v>
      </c>
      <c r="O3419" s="148" t="s">
        <v>67</v>
      </c>
      <c r="P3419" s="148" t="s">
        <v>68</v>
      </c>
      <c r="Q3419" s="103"/>
      <c r="R3419" s="103"/>
      <c r="S3419" s="103"/>
      <c r="T3419" s="103"/>
      <c r="U3419" s="148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1">
        <v>3414.0</v>
      </c>
      <c r="B3420" s="180" t="s">
        <v>5725</v>
      </c>
      <c r="C3420" s="82" t="str">
        <f>VLOOKUP($B$7:$B$5000,SUM!$L$6:$L$500,1,FALSE)</f>
        <v>#N/A</v>
      </c>
      <c r="D3420" s="190" t="s">
        <v>5647</v>
      </c>
      <c r="E3420" s="198" t="s">
        <v>58</v>
      </c>
      <c r="F3420" s="199" t="s">
        <v>105</v>
      </c>
      <c r="G3420" s="191" t="s">
        <v>2710</v>
      </c>
      <c r="H3420" s="199" t="s">
        <v>5658</v>
      </c>
      <c r="I3420" s="197" t="s">
        <v>5723</v>
      </c>
      <c r="J3420" s="148" t="s">
        <v>108</v>
      </c>
      <c r="K3420" s="148" t="s">
        <v>64</v>
      </c>
      <c r="L3420" s="148" t="s">
        <v>65</v>
      </c>
      <c r="M3420" s="148" t="s">
        <v>66</v>
      </c>
      <c r="N3420" s="212">
        <v>46177.0</v>
      </c>
      <c r="O3420" s="148" t="s">
        <v>67</v>
      </c>
      <c r="P3420" s="148" t="s">
        <v>68</v>
      </c>
      <c r="Q3420" s="103"/>
      <c r="R3420" s="103"/>
      <c r="S3420" s="103"/>
      <c r="T3420" s="103"/>
      <c r="U3420" s="148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1">
        <v>3415.0</v>
      </c>
      <c r="B3421" s="180" t="s">
        <v>5726</v>
      </c>
      <c r="C3421" s="82" t="str">
        <f>VLOOKUP($B$7:$B$5000,SUM!$L$6:$L$500,1,FALSE)</f>
        <v>#N/A</v>
      </c>
      <c r="D3421" s="190" t="s">
        <v>5647</v>
      </c>
      <c r="E3421" s="198" t="s">
        <v>58</v>
      </c>
      <c r="F3421" s="199" t="s">
        <v>105</v>
      </c>
      <c r="G3421" s="191" t="s">
        <v>2710</v>
      </c>
      <c r="H3421" s="199" t="s">
        <v>5661</v>
      </c>
      <c r="I3421" s="197" t="s">
        <v>5723</v>
      </c>
      <c r="J3421" s="148" t="s">
        <v>108</v>
      </c>
      <c r="K3421" s="148" t="s">
        <v>64</v>
      </c>
      <c r="L3421" s="148" t="s">
        <v>65</v>
      </c>
      <c r="M3421" s="148" t="s">
        <v>66</v>
      </c>
      <c r="N3421" s="212">
        <v>46177.0</v>
      </c>
      <c r="O3421" s="148" t="s">
        <v>67</v>
      </c>
      <c r="P3421" s="148" t="s">
        <v>68</v>
      </c>
      <c r="Q3421" s="103"/>
      <c r="R3421" s="103"/>
      <c r="S3421" s="103"/>
      <c r="T3421" s="103"/>
      <c r="U3421" s="148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1">
        <v>3416.0</v>
      </c>
      <c r="B3422" s="180" t="s">
        <v>5727</v>
      </c>
      <c r="C3422" s="82" t="str">
        <f>VLOOKUP($B$7:$B$5000,SUM!$L$6:$L$500,1,FALSE)</f>
        <v>#N/A</v>
      </c>
      <c r="D3422" s="190" t="s">
        <v>5647</v>
      </c>
      <c r="E3422" s="198" t="s">
        <v>58</v>
      </c>
      <c r="F3422" s="199" t="s">
        <v>105</v>
      </c>
      <c r="G3422" s="191" t="s">
        <v>4100</v>
      </c>
      <c r="H3422" s="199" t="s">
        <v>5663</v>
      </c>
      <c r="I3422" s="197" t="s">
        <v>5728</v>
      </c>
      <c r="J3422" s="148" t="s">
        <v>108</v>
      </c>
      <c r="K3422" s="148" t="s">
        <v>64</v>
      </c>
      <c r="L3422" s="148" t="s">
        <v>65</v>
      </c>
      <c r="M3422" s="148" t="s">
        <v>66</v>
      </c>
      <c r="N3422" s="212">
        <v>46177.0</v>
      </c>
      <c r="O3422" s="148" t="s">
        <v>67</v>
      </c>
      <c r="P3422" s="148" t="s">
        <v>68</v>
      </c>
      <c r="Q3422" s="103"/>
      <c r="R3422" s="103"/>
      <c r="S3422" s="103"/>
      <c r="T3422" s="103"/>
      <c r="U3422" s="148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1">
        <v>3417.0</v>
      </c>
      <c r="B3423" s="180" t="s">
        <v>5729</v>
      </c>
      <c r="C3423" s="82" t="str">
        <f>VLOOKUP($B$7:$B$5000,SUM!$L$6:$L$500,1,FALSE)</f>
        <v>#N/A</v>
      </c>
      <c r="D3423" s="190" t="s">
        <v>5647</v>
      </c>
      <c r="E3423" s="198" t="s">
        <v>58</v>
      </c>
      <c r="F3423" s="199" t="s">
        <v>105</v>
      </c>
      <c r="G3423" s="191" t="s">
        <v>5666</v>
      </c>
      <c r="H3423" s="199" t="s">
        <v>5667</v>
      </c>
      <c r="I3423" s="197" t="s">
        <v>5728</v>
      </c>
      <c r="J3423" s="148" t="s">
        <v>108</v>
      </c>
      <c r="K3423" s="148" t="s">
        <v>64</v>
      </c>
      <c r="L3423" s="148" t="s">
        <v>65</v>
      </c>
      <c r="M3423" s="148" t="s">
        <v>66</v>
      </c>
      <c r="N3423" s="212">
        <v>46177.0</v>
      </c>
      <c r="O3423" s="148" t="s">
        <v>67</v>
      </c>
      <c r="P3423" s="148" t="s">
        <v>68</v>
      </c>
      <c r="Q3423" s="103"/>
      <c r="R3423" s="103"/>
      <c r="S3423" s="103"/>
      <c r="T3423" s="103"/>
      <c r="U3423" s="148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1">
        <v>3418.0</v>
      </c>
      <c r="B3424" s="180" t="s">
        <v>5730</v>
      </c>
      <c r="C3424" s="82" t="str">
        <f>VLOOKUP($B$7:$B$5000,SUM!$L$6:$L$500,1,FALSE)</f>
        <v>#N/A</v>
      </c>
      <c r="D3424" s="190" t="s">
        <v>5647</v>
      </c>
      <c r="E3424" s="198" t="s">
        <v>58</v>
      </c>
      <c r="F3424" s="199" t="s">
        <v>105</v>
      </c>
      <c r="G3424" s="191" t="s">
        <v>5666</v>
      </c>
      <c r="H3424" s="199" t="s">
        <v>5669</v>
      </c>
      <c r="I3424" s="197" t="s">
        <v>5728</v>
      </c>
      <c r="J3424" s="148" t="s">
        <v>108</v>
      </c>
      <c r="K3424" s="148" t="s">
        <v>64</v>
      </c>
      <c r="L3424" s="148" t="s">
        <v>65</v>
      </c>
      <c r="M3424" s="148" t="s">
        <v>66</v>
      </c>
      <c r="N3424" s="212">
        <v>46177.0</v>
      </c>
      <c r="O3424" s="148" t="s">
        <v>67</v>
      </c>
      <c r="P3424" s="148" t="s">
        <v>68</v>
      </c>
      <c r="Q3424" s="103"/>
      <c r="R3424" s="103"/>
      <c r="S3424" s="103"/>
      <c r="T3424" s="103"/>
      <c r="U3424" s="148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1">
        <v>3419.0</v>
      </c>
      <c r="B3425" s="180" t="s">
        <v>5731</v>
      </c>
      <c r="C3425" s="82" t="str">
        <f>VLOOKUP($B$7:$B$5000,SUM!$L$6:$L$500,1,FALSE)</f>
        <v>#N/A</v>
      </c>
      <c r="D3425" s="190" t="s">
        <v>5647</v>
      </c>
      <c r="E3425" s="198" t="s">
        <v>58</v>
      </c>
      <c r="F3425" s="199" t="s">
        <v>105</v>
      </c>
      <c r="G3425" s="191" t="s">
        <v>5666</v>
      </c>
      <c r="H3425" s="199" t="s">
        <v>5671</v>
      </c>
      <c r="I3425" s="197" t="s">
        <v>5728</v>
      </c>
      <c r="J3425" s="148" t="s">
        <v>108</v>
      </c>
      <c r="K3425" s="148" t="s">
        <v>64</v>
      </c>
      <c r="L3425" s="148" t="s">
        <v>65</v>
      </c>
      <c r="M3425" s="148" t="s">
        <v>66</v>
      </c>
      <c r="N3425" s="212">
        <v>46177.0</v>
      </c>
      <c r="O3425" s="148" t="s">
        <v>67</v>
      </c>
      <c r="P3425" s="148" t="s">
        <v>68</v>
      </c>
      <c r="Q3425" s="103"/>
      <c r="R3425" s="103"/>
      <c r="S3425" s="103"/>
      <c r="T3425" s="103"/>
      <c r="U3425" s="148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1">
        <v>3420.0</v>
      </c>
      <c r="B3426" s="180" t="s">
        <v>5732</v>
      </c>
      <c r="C3426" s="82" t="str">
        <f>VLOOKUP($B$7:$B$5000,SUM!$L$6:$L$500,1,FALSE)</f>
        <v>#N/A</v>
      </c>
      <c r="D3426" s="190" t="s">
        <v>5647</v>
      </c>
      <c r="E3426" s="198" t="s">
        <v>58</v>
      </c>
      <c r="F3426" s="199" t="s">
        <v>105</v>
      </c>
      <c r="G3426" s="191" t="s">
        <v>1871</v>
      </c>
      <c r="H3426" s="199" t="s">
        <v>5673</v>
      </c>
      <c r="I3426" s="197" t="s">
        <v>5733</v>
      </c>
      <c r="J3426" s="148" t="s">
        <v>108</v>
      </c>
      <c r="K3426" s="148" t="s">
        <v>64</v>
      </c>
      <c r="L3426" s="148" t="s">
        <v>65</v>
      </c>
      <c r="M3426" s="148" t="s">
        <v>66</v>
      </c>
      <c r="N3426" s="212">
        <v>46177.0</v>
      </c>
      <c r="O3426" s="148" t="s">
        <v>67</v>
      </c>
      <c r="P3426" s="148" t="s">
        <v>68</v>
      </c>
      <c r="Q3426" s="103"/>
      <c r="R3426" s="103"/>
      <c r="S3426" s="103"/>
      <c r="T3426" s="103"/>
      <c r="U3426" s="148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1">
        <v>3421.0</v>
      </c>
      <c r="B3427" s="180" t="s">
        <v>5734</v>
      </c>
      <c r="C3427" s="82" t="str">
        <f>VLOOKUP($B$7:$B$5000,SUM!$L$6:$L$500,1,FALSE)</f>
        <v>#N/A</v>
      </c>
      <c r="D3427" s="190" t="s">
        <v>5647</v>
      </c>
      <c r="E3427" s="198" t="s">
        <v>58</v>
      </c>
      <c r="F3427" s="199" t="s">
        <v>105</v>
      </c>
      <c r="G3427" s="191" t="s">
        <v>1871</v>
      </c>
      <c r="H3427" s="199" t="s">
        <v>5676</v>
      </c>
      <c r="I3427" s="197" t="s">
        <v>5733</v>
      </c>
      <c r="J3427" s="148" t="s">
        <v>108</v>
      </c>
      <c r="K3427" s="148" t="s">
        <v>64</v>
      </c>
      <c r="L3427" s="148" t="s">
        <v>65</v>
      </c>
      <c r="M3427" s="148" t="s">
        <v>66</v>
      </c>
      <c r="N3427" s="212">
        <v>46177.0</v>
      </c>
      <c r="O3427" s="148" t="s">
        <v>67</v>
      </c>
      <c r="P3427" s="148" t="s">
        <v>68</v>
      </c>
      <c r="Q3427" s="103"/>
      <c r="R3427" s="103"/>
      <c r="S3427" s="103"/>
      <c r="T3427" s="103"/>
      <c r="U3427" s="148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1">
        <v>3422.0</v>
      </c>
      <c r="B3428" s="180" t="s">
        <v>5735</v>
      </c>
      <c r="C3428" s="82" t="str">
        <f>VLOOKUP($B$7:$B$5000,SUM!$L$6:$L$500,1,FALSE)</f>
        <v>#N/A</v>
      </c>
      <c r="D3428" s="190" t="s">
        <v>5647</v>
      </c>
      <c r="E3428" s="198" t="s">
        <v>58</v>
      </c>
      <c r="F3428" s="199" t="s">
        <v>105</v>
      </c>
      <c r="G3428" s="191" t="s">
        <v>1871</v>
      </c>
      <c r="H3428" s="199" t="s">
        <v>5678</v>
      </c>
      <c r="I3428" s="197" t="s">
        <v>5733</v>
      </c>
      <c r="J3428" s="148" t="s">
        <v>108</v>
      </c>
      <c r="K3428" s="148" t="s">
        <v>64</v>
      </c>
      <c r="L3428" s="148" t="s">
        <v>65</v>
      </c>
      <c r="M3428" s="148" t="s">
        <v>66</v>
      </c>
      <c r="N3428" s="212">
        <v>46177.0</v>
      </c>
      <c r="O3428" s="148" t="s">
        <v>67</v>
      </c>
      <c r="P3428" s="148" t="s">
        <v>68</v>
      </c>
      <c r="Q3428" s="103"/>
      <c r="R3428" s="103"/>
      <c r="S3428" s="103"/>
      <c r="T3428" s="103"/>
      <c r="U3428" s="148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1">
        <v>3423.0</v>
      </c>
      <c r="B3429" s="180" t="s">
        <v>5736</v>
      </c>
      <c r="C3429" s="82" t="str">
        <f>VLOOKUP($B$7:$B$5000,SUM!$L$6:$L$500,1,FALSE)</f>
        <v>#N/A</v>
      </c>
      <c r="D3429" s="190" t="s">
        <v>5647</v>
      </c>
      <c r="E3429" s="198" t="s">
        <v>58</v>
      </c>
      <c r="F3429" s="199" t="s">
        <v>105</v>
      </c>
      <c r="G3429" s="191" t="s">
        <v>1871</v>
      </c>
      <c r="H3429" s="199" t="s">
        <v>5680</v>
      </c>
      <c r="I3429" s="197" t="s">
        <v>5733</v>
      </c>
      <c r="J3429" s="148" t="s">
        <v>108</v>
      </c>
      <c r="K3429" s="148" t="s">
        <v>64</v>
      </c>
      <c r="L3429" s="148" t="s">
        <v>65</v>
      </c>
      <c r="M3429" s="148" t="s">
        <v>66</v>
      </c>
      <c r="N3429" s="212">
        <v>46177.0</v>
      </c>
      <c r="O3429" s="148" t="s">
        <v>67</v>
      </c>
      <c r="P3429" s="148" t="s">
        <v>68</v>
      </c>
      <c r="Q3429" s="103"/>
      <c r="R3429" s="103"/>
      <c r="S3429" s="103"/>
      <c r="T3429" s="103"/>
      <c r="U3429" s="148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1">
        <v>3424.0</v>
      </c>
      <c r="B3430" s="180" t="s">
        <v>5737</v>
      </c>
      <c r="C3430" s="82" t="str">
        <f>VLOOKUP($B$7:$B$5000,SUM!$L$6:$L$500,1,FALSE)</f>
        <v>#N/A</v>
      </c>
      <c r="D3430" s="190" t="s">
        <v>5647</v>
      </c>
      <c r="E3430" s="198" t="s">
        <v>58</v>
      </c>
      <c r="F3430" s="199" t="s">
        <v>105</v>
      </c>
      <c r="G3430" s="191" t="s">
        <v>1871</v>
      </c>
      <c r="H3430" s="199" t="s">
        <v>5682</v>
      </c>
      <c r="I3430" s="197" t="s">
        <v>5733</v>
      </c>
      <c r="J3430" s="148" t="s">
        <v>108</v>
      </c>
      <c r="K3430" s="148" t="s">
        <v>64</v>
      </c>
      <c r="L3430" s="148" t="s">
        <v>65</v>
      </c>
      <c r="M3430" s="148" t="s">
        <v>66</v>
      </c>
      <c r="N3430" s="212">
        <v>46177.0</v>
      </c>
      <c r="O3430" s="148" t="s">
        <v>67</v>
      </c>
      <c r="P3430" s="148" t="s">
        <v>68</v>
      </c>
      <c r="Q3430" s="103"/>
      <c r="R3430" s="103"/>
      <c r="S3430" s="103"/>
      <c r="T3430" s="103"/>
      <c r="U3430" s="148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1">
        <v>3425.0</v>
      </c>
      <c r="B3431" s="180" t="s">
        <v>5738</v>
      </c>
      <c r="C3431" s="82" t="str">
        <f>VLOOKUP($B$7:$B$5000,SUM!$L$6:$L$500,1,FALSE)</f>
        <v>#N/A</v>
      </c>
      <c r="D3431" s="190" t="s">
        <v>5647</v>
      </c>
      <c r="E3431" s="198" t="s">
        <v>58</v>
      </c>
      <c r="F3431" s="199" t="s">
        <v>105</v>
      </c>
      <c r="G3431" s="191" t="s">
        <v>1871</v>
      </c>
      <c r="H3431" s="199" t="s">
        <v>5684</v>
      </c>
      <c r="I3431" s="197" t="s">
        <v>5723</v>
      </c>
      <c r="J3431" s="148" t="s">
        <v>108</v>
      </c>
      <c r="K3431" s="148" t="s">
        <v>64</v>
      </c>
      <c r="L3431" s="148" t="s">
        <v>65</v>
      </c>
      <c r="M3431" s="148" t="s">
        <v>66</v>
      </c>
      <c r="N3431" s="212">
        <v>46177.0</v>
      </c>
      <c r="O3431" s="148" t="s">
        <v>67</v>
      </c>
      <c r="P3431" s="148" t="s">
        <v>68</v>
      </c>
      <c r="Q3431" s="103"/>
      <c r="R3431" s="103"/>
      <c r="S3431" s="103"/>
      <c r="T3431" s="103"/>
      <c r="U3431" s="148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1">
        <v>3426.0</v>
      </c>
      <c r="B3432" s="180" t="s">
        <v>5739</v>
      </c>
      <c r="C3432" s="82" t="str">
        <f>VLOOKUP($B$7:$B$5000,SUM!$L$6:$L$500,1,FALSE)</f>
        <v>#N/A</v>
      </c>
      <c r="D3432" s="190" t="s">
        <v>5647</v>
      </c>
      <c r="E3432" s="198" t="s">
        <v>58</v>
      </c>
      <c r="F3432" s="199" t="s">
        <v>105</v>
      </c>
      <c r="G3432" s="191" t="s">
        <v>1871</v>
      </c>
      <c r="H3432" s="199" t="s">
        <v>5686</v>
      </c>
      <c r="I3432" s="197" t="s">
        <v>5723</v>
      </c>
      <c r="J3432" s="148" t="s">
        <v>108</v>
      </c>
      <c r="K3432" s="148" t="s">
        <v>64</v>
      </c>
      <c r="L3432" s="148" t="s">
        <v>65</v>
      </c>
      <c r="M3432" s="148" t="s">
        <v>66</v>
      </c>
      <c r="N3432" s="212">
        <v>46177.0</v>
      </c>
      <c r="O3432" s="148" t="s">
        <v>67</v>
      </c>
      <c r="P3432" s="148" t="s">
        <v>68</v>
      </c>
      <c r="Q3432" s="103"/>
      <c r="R3432" s="103"/>
      <c r="S3432" s="103"/>
      <c r="T3432" s="103"/>
      <c r="U3432" s="148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1">
        <v>3427.0</v>
      </c>
      <c r="B3433" s="180" t="s">
        <v>5740</v>
      </c>
      <c r="C3433" s="82" t="str">
        <f>VLOOKUP($B$7:$B$5000,SUM!$L$6:$L$500,1,FALSE)</f>
        <v>#N/A</v>
      </c>
      <c r="D3433" s="190" t="s">
        <v>5647</v>
      </c>
      <c r="E3433" s="198" t="s">
        <v>58</v>
      </c>
      <c r="F3433" s="199" t="s">
        <v>105</v>
      </c>
      <c r="G3433" s="191" t="s">
        <v>5694</v>
      </c>
      <c r="H3433" s="199" t="s">
        <v>5695</v>
      </c>
      <c r="I3433" s="197" t="s">
        <v>5741</v>
      </c>
      <c r="J3433" s="148" t="s">
        <v>108</v>
      </c>
      <c r="K3433" s="148" t="s">
        <v>64</v>
      </c>
      <c r="L3433" s="148" t="s">
        <v>65</v>
      </c>
      <c r="M3433" s="148" t="s">
        <v>66</v>
      </c>
      <c r="N3433" s="212">
        <v>46177.0</v>
      </c>
      <c r="O3433" s="148" t="s">
        <v>67</v>
      </c>
      <c r="P3433" s="148" t="s">
        <v>68</v>
      </c>
      <c r="Q3433" s="103"/>
      <c r="R3433" s="103"/>
      <c r="S3433" s="103"/>
      <c r="T3433" s="103"/>
      <c r="U3433" s="148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1">
        <v>3428.0</v>
      </c>
      <c r="B3434" s="180" t="s">
        <v>5742</v>
      </c>
      <c r="C3434" s="82" t="str">
        <f>VLOOKUP($B$7:$B$5000,SUM!$L$6:$L$500,1,FALSE)</f>
        <v>#N/A</v>
      </c>
      <c r="D3434" s="190" t="s">
        <v>5647</v>
      </c>
      <c r="E3434" s="198" t="s">
        <v>58</v>
      </c>
      <c r="F3434" s="199" t="s">
        <v>105</v>
      </c>
      <c r="G3434" s="191" t="s">
        <v>2710</v>
      </c>
      <c r="H3434" s="199" t="s">
        <v>5653</v>
      </c>
      <c r="I3434" s="197" t="s">
        <v>5743</v>
      </c>
      <c r="J3434" s="148" t="s">
        <v>108</v>
      </c>
      <c r="K3434" s="148" t="s">
        <v>64</v>
      </c>
      <c r="L3434" s="148" t="s">
        <v>65</v>
      </c>
      <c r="M3434" s="148" t="s">
        <v>66</v>
      </c>
      <c r="N3434" s="212">
        <v>46177.0</v>
      </c>
      <c r="O3434" s="148" t="s">
        <v>67</v>
      </c>
      <c r="P3434" s="148" t="s">
        <v>68</v>
      </c>
      <c r="Q3434" s="103"/>
      <c r="R3434" s="103"/>
      <c r="S3434" s="103"/>
      <c r="T3434" s="103"/>
      <c r="U3434" s="148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1">
        <v>3429.0</v>
      </c>
      <c r="B3435" s="180" t="s">
        <v>5744</v>
      </c>
      <c r="C3435" s="82" t="str">
        <f>VLOOKUP($B$7:$B$5000,SUM!$L$6:$L$500,1,FALSE)</f>
        <v>#N/A</v>
      </c>
      <c r="D3435" s="190" t="s">
        <v>5647</v>
      </c>
      <c r="E3435" s="198" t="s">
        <v>58</v>
      </c>
      <c r="F3435" s="199" t="s">
        <v>105</v>
      </c>
      <c r="G3435" s="191" t="s">
        <v>2710</v>
      </c>
      <c r="H3435" s="199" t="s">
        <v>5656</v>
      </c>
      <c r="I3435" s="197" t="s">
        <v>5745</v>
      </c>
      <c r="J3435" s="148" t="s">
        <v>108</v>
      </c>
      <c r="K3435" s="148" t="s">
        <v>64</v>
      </c>
      <c r="L3435" s="148" t="s">
        <v>65</v>
      </c>
      <c r="M3435" s="148" t="s">
        <v>66</v>
      </c>
      <c r="N3435" s="212">
        <v>46177.0</v>
      </c>
      <c r="O3435" s="148" t="s">
        <v>67</v>
      </c>
      <c r="P3435" s="148" t="s">
        <v>68</v>
      </c>
      <c r="Q3435" s="103"/>
      <c r="R3435" s="103"/>
      <c r="S3435" s="103"/>
      <c r="T3435" s="103"/>
      <c r="U3435" s="148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1">
        <v>3430.0</v>
      </c>
      <c r="B3436" s="180" t="s">
        <v>5746</v>
      </c>
      <c r="C3436" s="82" t="str">
        <f>VLOOKUP($B$7:$B$5000,SUM!$L$6:$L$500,1,FALSE)</f>
        <v>#N/A</v>
      </c>
      <c r="D3436" s="190" t="s">
        <v>5647</v>
      </c>
      <c r="E3436" s="198" t="s">
        <v>58</v>
      </c>
      <c r="F3436" s="199" t="s">
        <v>105</v>
      </c>
      <c r="G3436" s="191" t="s">
        <v>4100</v>
      </c>
      <c r="H3436" s="199" t="s">
        <v>5663</v>
      </c>
      <c r="I3436" s="197" t="s">
        <v>5747</v>
      </c>
      <c r="J3436" s="148" t="s">
        <v>108</v>
      </c>
      <c r="K3436" s="148" t="s">
        <v>64</v>
      </c>
      <c r="L3436" s="148" t="s">
        <v>65</v>
      </c>
      <c r="M3436" s="148" t="s">
        <v>66</v>
      </c>
      <c r="N3436" s="212">
        <v>46177.0</v>
      </c>
      <c r="O3436" s="148" t="s">
        <v>67</v>
      </c>
      <c r="P3436" s="148" t="s">
        <v>68</v>
      </c>
      <c r="Q3436" s="103"/>
      <c r="R3436" s="103"/>
      <c r="S3436" s="103"/>
      <c r="T3436" s="103"/>
      <c r="U3436" s="148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1">
        <v>3431.0</v>
      </c>
      <c r="B3437" s="180" t="s">
        <v>5748</v>
      </c>
      <c r="C3437" s="82" t="str">
        <f>VLOOKUP($B$7:$B$5000,SUM!$L$6:$L$500,1,FALSE)</f>
        <v>#N/A</v>
      </c>
      <c r="D3437" s="190" t="s">
        <v>5647</v>
      </c>
      <c r="E3437" s="198" t="s">
        <v>58</v>
      </c>
      <c r="F3437" s="199" t="s">
        <v>105</v>
      </c>
      <c r="G3437" s="191" t="s">
        <v>1362</v>
      </c>
      <c r="H3437" s="199" t="s">
        <v>5688</v>
      </c>
      <c r="I3437" s="197" t="s">
        <v>5749</v>
      </c>
      <c r="J3437" s="148" t="s">
        <v>108</v>
      </c>
      <c r="K3437" s="148" t="s">
        <v>64</v>
      </c>
      <c r="L3437" s="148" t="s">
        <v>65</v>
      </c>
      <c r="M3437" s="148" t="s">
        <v>66</v>
      </c>
      <c r="N3437" s="212">
        <v>46177.0</v>
      </c>
      <c r="O3437" s="148" t="s">
        <v>67</v>
      </c>
      <c r="P3437" s="148" t="s">
        <v>68</v>
      </c>
      <c r="Q3437" s="103"/>
      <c r="R3437" s="103"/>
      <c r="S3437" s="103"/>
      <c r="T3437" s="103"/>
      <c r="U3437" s="148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1">
        <v>3432.0</v>
      </c>
      <c r="B3438" s="180" t="s">
        <v>5750</v>
      </c>
      <c r="C3438" s="82" t="str">
        <f>VLOOKUP($B$7:$B$5000,SUM!$L$6:$L$500,1,FALSE)</f>
        <v>#N/A</v>
      </c>
      <c r="D3438" s="190" t="s">
        <v>5647</v>
      </c>
      <c r="E3438" s="198" t="s">
        <v>58</v>
      </c>
      <c r="F3438" s="199" t="s">
        <v>105</v>
      </c>
      <c r="G3438" s="191" t="s">
        <v>1362</v>
      </c>
      <c r="H3438" s="199" t="s">
        <v>5690</v>
      </c>
      <c r="I3438" s="197" t="s">
        <v>5751</v>
      </c>
      <c r="J3438" s="148" t="s">
        <v>108</v>
      </c>
      <c r="K3438" s="148" t="s">
        <v>64</v>
      </c>
      <c r="L3438" s="148" t="s">
        <v>65</v>
      </c>
      <c r="M3438" s="148" t="s">
        <v>66</v>
      </c>
      <c r="N3438" s="212">
        <v>46177.0</v>
      </c>
      <c r="O3438" s="148" t="s">
        <v>67</v>
      </c>
      <c r="P3438" s="148" t="s">
        <v>68</v>
      </c>
      <c r="Q3438" s="103"/>
      <c r="R3438" s="103"/>
      <c r="S3438" s="103"/>
      <c r="T3438" s="103"/>
      <c r="U3438" s="148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1">
        <v>3433.0</v>
      </c>
      <c r="B3439" s="180" t="s">
        <v>5752</v>
      </c>
      <c r="C3439" s="82" t="str">
        <f>VLOOKUP($B$7:$B$5000,SUM!$L$6:$L$500,1,FALSE)</f>
        <v>#N/A</v>
      </c>
      <c r="D3439" s="190" t="s">
        <v>5647</v>
      </c>
      <c r="E3439" s="198" t="s">
        <v>58</v>
      </c>
      <c r="F3439" s="199" t="s">
        <v>105</v>
      </c>
      <c r="G3439" s="191" t="s">
        <v>1362</v>
      </c>
      <c r="H3439" s="199" t="s">
        <v>5692</v>
      </c>
      <c r="I3439" s="197" t="s">
        <v>5751</v>
      </c>
      <c r="J3439" s="148" t="s">
        <v>108</v>
      </c>
      <c r="K3439" s="148" t="s">
        <v>64</v>
      </c>
      <c r="L3439" s="148" t="s">
        <v>65</v>
      </c>
      <c r="M3439" s="148" t="s">
        <v>66</v>
      </c>
      <c r="N3439" s="212">
        <v>46177.0</v>
      </c>
      <c r="O3439" s="148" t="s">
        <v>67</v>
      </c>
      <c r="P3439" s="148" t="s">
        <v>68</v>
      </c>
      <c r="Q3439" s="103"/>
      <c r="R3439" s="103"/>
      <c r="S3439" s="103"/>
      <c r="T3439" s="103"/>
      <c r="U3439" s="148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1">
        <v>3434.0</v>
      </c>
      <c r="B3440" s="180" t="s">
        <v>5753</v>
      </c>
      <c r="C3440" s="82" t="str">
        <f>VLOOKUP($B$7:$B$5000,SUM!$L$6:$L$500,1,FALSE)</f>
        <v>#N/A</v>
      </c>
      <c r="D3440" s="190" t="s">
        <v>5647</v>
      </c>
      <c r="E3440" s="198" t="s">
        <v>58</v>
      </c>
      <c r="F3440" s="199" t="s">
        <v>105</v>
      </c>
      <c r="G3440" s="191" t="s">
        <v>5694</v>
      </c>
      <c r="H3440" s="199" t="s">
        <v>5695</v>
      </c>
      <c r="I3440" s="197" t="s">
        <v>5754</v>
      </c>
      <c r="J3440" s="148" t="s">
        <v>108</v>
      </c>
      <c r="K3440" s="148" t="s">
        <v>64</v>
      </c>
      <c r="L3440" s="148" t="s">
        <v>65</v>
      </c>
      <c r="M3440" s="148" t="s">
        <v>66</v>
      </c>
      <c r="N3440" s="212">
        <v>46177.0</v>
      </c>
      <c r="O3440" s="148" t="s">
        <v>67</v>
      </c>
      <c r="P3440" s="148" t="s">
        <v>68</v>
      </c>
      <c r="Q3440" s="103"/>
      <c r="R3440" s="103"/>
      <c r="S3440" s="103"/>
      <c r="T3440" s="103"/>
      <c r="U3440" s="148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1">
        <v>3435.0</v>
      </c>
      <c r="B3441" s="180" t="s">
        <v>5755</v>
      </c>
      <c r="C3441" s="82" t="str">
        <f>VLOOKUP($B$7:$B$5000,SUM!$L$6:$L$500,1,FALSE)</f>
        <v>#N/A</v>
      </c>
      <c r="D3441" s="190" t="s">
        <v>5647</v>
      </c>
      <c r="E3441" s="198" t="s">
        <v>58</v>
      </c>
      <c r="F3441" s="199" t="s">
        <v>105</v>
      </c>
      <c r="G3441" s="191" t="s">
        <v>2710</v>
      </c>
      <c r="H3441" s="199" t="s">
        <v>5658</v>
      </c>
      <c r="I3441" s="197" t="s">
        <v>5756</v>
      </c>
      <c r="J3441" s="148" t="s">
        <v>108</v>
      </c>
      <c r="K3441" s="148" t="s">
        <v>64</v>
      </c>
      <c r="L3441" s="148" t="s">
        <v>65</v>
      </c>
      <c r="M3441" s="148" t="s">
        <v>66</v>
      </c>
      <c r="N3441" s="212">
        <v>46177.0</v>
      </c>
      <c r="O3441" s="148" t="s">
        <v>67</v>
      </c>
      <c r="P3441" s="148" t="s">
        <v>68</v>
      </c>
      <c r="Q3441" s="103"/>
      <c r="R3441" s="103"/>
      <c r="S3441" s="103"/>
      <c r="T3441" s="103"/>
      <c r="U3441" s="148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1">
        <v>3436.0</v>
      </c>
      <c r="B3442" s="180" t="s">
        <v>5757</v>
      </c>
      <c r="C3442" s="82" t="str">
        <f>VLOOKUP($B$7:$B$5000,SUM!$L$6:$L$500,1,FALSE)</f>
        <v>#N/A</v>
      </c>
      <c r="D3442" s="190" t="s">
        <v>5647</v>
      </c>
      <c r="E3442" s="198" t="s">
        <v>58</v>
      </c>
      <c r="F3442" s="199" t="s">
        <v>105</v>
      </c>
      <c r="G3442" s="191" t="s">
        <v>2710</v>
      </c>
      <c r="H3442" s="199" t="s">
        <v>5661</v>
      </c>
      <c r="I3442" s="197" t="s">
        <v>5756</v>
      </c>
      <c r="J3442" s="148" t="s">
        <v>108</v>
      </c>
      <c r="K3442" s="148" t="s">
        <v>64</v>
      </c>
      <c r="L3442" s="148" t="s">
        <v>65</v>
      </c>
      <c r="M3442" s="148" t="s">
        <v>66</v>
      </c>
      <c r="N3442" s="212">
        <v>46177.0</v>
      </c>
      <c r="O3442" s="148" t="s">
        <v>67</v>
      </c>
      <c r="P3442" s="148" t="s">
        <v>68</v>
      </c>
      <c r="Q3442" s="103"/>
      <c r="R3442" s="103"/>
      <c r="S3442" s="103"/>
      <c r="T3442" s="103"/>
      <c r="U3442" s="148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1">
        <v>3437.0</v>
      </c>
      <c r="B3443" s="180" t="s">
        <v>5758</v>
      </c>
      <c r="C3443" s="82" t="str">
        <f>VLOOKUP($B$7:$B$5000,SUM!$L$6:$L$500,1,FALSE)</f>
        <v>#N/A</v>
      </c>
      <c r="D3443" s="190" t="s">
        <v>5759</v>
      </c>
      <c r="E3443" s="198" t="s">
        <v>58</v>
      </c>
      <c r="F3443" s="124" t="s">
        <v>3405</v>
      </c>
      <c r="G3443" s="191" t="s">
        <v>2710</v>
      </c>
      <c r="H3443" s="199" t="s">
        <v>61</v>
      </c>
      <c r="I3443" s="213" t="s">
        <v>5760</v>
      </c>
      <c r="J3443" s="148" t="s">
        <v>63</v>
      </c>
      <c r="K3443" s="185" t="s">
        <v>64</v>
      </c>
      <c r="L3443" s="148" t="s">
        <v>65</v>
      </c>
      <c r="M3443" s="182" t="s">
        <v>66</v>
      </c>
      <c r="N3443" s="214">
        <v>46177.0</v>
      </c>
      <c r="O3443" s="148" t="s">
        <v>67</v>
      </c>
      <c r="P3443" s="103" t="s">
        <v>68</v>
      </c>
      <c r="Q3443" s="103"/>
      <c r="R3443" s="103"/>
      <c r="S3443" s="103"/>
      <c r="T3443" s="103"/>
      <c r="U3443" s="148" t="s">
        <v>28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1">
        <v>3438.0</v>
      </c>
      <c r="B3444" s="180" t="s">
        <v>5761</v>
      </c>
      <c r="C3444" s="82" t="str">
        <f>VLOOKUP($B$7:$B$5000,SUM!$L$6:$L$500,1,FALSE)</f>
        <v>#N/A</v>
      </c>
      <c r="D3444" s="190" t="s">
        <v>5759</v>
      </c>
      <c r="E3444" s="198" t="s">
        <v>58</v>
      </c>
      <c r="F3444" s="169" t="s">
        <v>3405</v>
      </c>
      <c r="G3444" s="191" t="s">
        <v>2710</v>
      </c>
      <c r="H3444" s="199" t="s">
        <v>61</v>
      </c>
      <c r="I3444" s="215" t="s">
        <v>5762</v>
      </c>
      <c r="J3444" s="148" t="s">
        <v>108</v>
      </c>
      <c r="K3444" s="185" t="s">
        <v>64</v>
      </c>
      <c r="L3444" s="148" t="s">
        <v>65</v>
      </c>
      <c r="M3444" s="185" t="s">
        <v>66</v>
      </c>
      <c r="N3444" s="214">
        <v>46177.0</v>
      </c>
      <c r="O3444" s="148" t="s">
        <v>67</v>
      </c>
      <c r="P3444" s="103" t="s">
        <v>68</v>
      </c>
      <c r="Q3444" s="103"/>
      <c r="R3444" s="103"/>
      <c r="S3444" s="103"/>
      <c r="T3444" s="103"/>
      <c r="U3444" s="148" t="s">
        <v>28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1">
        <v>3439.0</v>
      </c>
      <c r="B3445" s="180" t="s">
        <v>5763</v>
      </c>
      <c r="C3445" s="82" t="str">
        <f>VLOOKUP($B$7:$B$5000,SUM!$L$6:$L$500,1,FALSE)</f>
        <v>#N/A</v>
      </c>
      <c r="D3445" s="190" t="s">
        <v>5759</v>
      </c>
      <c r="E3445" s="198" t="s">
        <v>58</v>
      </c>
      <c r="F3445" s="169" t="s">
        <v>3405</v>
      </c>
      <c r="G3445" s="191" t="s">
        <v>2710</v>
      </c>
      <c r="H3445" s="199" t="s">
        <v>61</v>
      </c>
      <c r="I3445" s="215" t="s">
        <v>5764</v>
      </c>
      <c r="J3445" s="148" t="s">
        <v>74</v>
      </c>
      <c r="K3445" s="185" t="s">
        <v>64</v>
      </c>
      <c r="L3445" s="148" t="s">
        <v>65</v>
      </c>
      <c r="M3445" s="185" t="s">
        <v>66</v>
      </c>
      <c r="N3445" s="214">
        <v>46177.0</v>
      </c>
      <c r="O3445" s="148" t="s">
        <v>67</v>
      </c>
      <c r="P3445" s="103" t="s">
        <v>68</v>
      </c>
      <c r="Q3445" s="103"/>
      <c r="R3445" s="103"/>
      <c r="S3445" s="103"/>
      <c r="T3445" s="103"/>
      <c r="U3445" s="148" t="s">
        <v>28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1">
        <v>3440.0</v>
      </c>
      <c r="B3446" s="180" t="s">
        <v>5765</v>
      </c>
      <c r="C3446" s="82" t="str">
        <f>VLOOKUP($B$7:$B$5000,SUM!$L$6:$L$500,1,FALSE)</f>
        <v>#N/A</v>
      </c>
      <c r="D3446" s="190" t="s">
        <v>5759</v>
      </c>
      <c r="E3446" s="198" t="s">
        <v>58</v>
      </c>
      <c r="F3446" s="169" t="s">
        <v>3405</v>
      </c>
      <c r="G3446" s="191" t="s">
        <v>2710</v>
      </c>
      <c r="H3446" s="199" t="s">
        <v>61</v>
      </c>
      <c r="I3446" s="215" t="s">
        <v>5766</v>
      </c>
      <c r="J3446" s="148" t="s">
        <v>108</v>
      </c>
      <c r="K3446" s="185" t="s">
        <v>64</v>
      </c>
      <c r="L3446" s="148" t="s">
        <v>65</v>
      </c>
      <c r="M3446" s="185" t="s">
        <v>66</v>
      </c>
      <c r="N3446" s="214">
        <v>46177.0</v>
      </c>
      <c r="O3446" s="148" t="s">
        <v>67</v>
      </c>
      <c r="P3446" s="103" t="s">
        <v>68</v>
      </c>
      <c r="Q3446" s="103"/>
      <c r="R3446" s="103"/>
      <c r="S3446" s="103"/>
      <c r="T3446" s="103"/>
      <c r="U3446" s="148" t="s">
        <v>28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1">
        <v>3441.0</v>
      </c>
      <c r="B3447" s="180" t="s">
        <v>5767</v>
      </c>
      <c r="C3447" s="82" t="str">
        <f>VLOOKUP($B$7:$B$5000,SUM!$L$6:$L$500,1,FALSE)</f>
        <v>#N/A</v>
      </c>
      <c r="D3447" s="190" t="s">
        <v>5759</v>
      </c>
      <c r="E3447" s="198" t="s">
        <v>58</v>
      </c>
      <c r="F3447" s="169" t="s">
        <v>3405</v>
      </c>
      <c r="G3447" s="191" t="s">
        <v>2710</v>
      </c>
      <c r="H3447" s="199" t="s">
        <v>61</v>
      </c>
      <c r="I3447" s="215" t="s">
        <v>5768</v>
      </c>
      <c r="J3447" s="148" t="s">
        <v>74</v>
      </c>
      <c r="K3447" s="185" t="s">
        <v>64</v>
      </c>
      <c r="L3447" s="148" t="s">
        <v>65</v>
      </c>
      <c r="M3447" s="185" t="s">
        <v>66</v>
      </c>
      <c r="N3447" s="214">
        <v>46177.0</v>
      </c>
      <c r="O3447" s="148" t="s">
        <v>67</v>
      </c>
      <c r="P3447" s="103" t="s">
        <v>68</v>
      </c>
      <c r="Q3447" s="103"/>
      <c r="R3447" s="103"/>
      <c r="S3447" s="103"/>
      <c r="T3447" s="103"/>
      <c r="U3447" s="148" t="s">
        <v>28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1">
        <v>3442.0</v>
      </c>
      <c r="B3448" s="180" t="s">
        <v>5769</v>
      </c>
      <c r="C3448" s="82" t="str">
        <f>VLOOKUP($B$7:$B$5000,SUM!$L$6:$L$500,1,FALSE)</f>
        <v>#N/A</v>
      </c>
      <c r="D3448" s="216" t="s">
        <v>5770</v>
      </c>
      <c r="E3448" s="198" t="s">
        <v>58</v>
      </c>
      <c r="F3448" s="217" t="s">
        <v>4430</v>
      </c>
      <c r="G3448" s="191" t="s">
        <v>2640</v>
      </c>
      <c r="H3448" s="199" t="s">
        <v>5771</v>
      </c>
      <c r="I3448" s="93" t="s">
        <v>2802</v>
      </c>
      <c r="J3448" s="148" t="s">
        <v>63</v>
      </c>
      <c r="K3448" s="185" t="s">
        <v>64</v>
      </c>
      <c r="L3448" s="148" t="s">
        <v>65</v>
      </c>
      <c r="M3448" s="185" t="s">
        <v>66</v>
      </c>
      <c r="N3448" s="214">
        <v>46177.0</v>
      </c>
      <c r="O3448" s="148" t="s">
        <v>67</v>
      </c>
      <c r="P3448" s="103" t="s">
        <v>68</v>
      </c>
      <c r="Q3448" s="103"/>
      <c r="R3448" s="103"/>
      <c r="S3448" s="103"/>
      <c r="T3448" s="103"/>
      <c r="U3448" s="148" t="s">
        <v>28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1">
        <v>3443.0</v>
      </c>
      <c r="B3449" s="180" t="s">
        <v>5772</v>
      </c>
      <c r="C3449" s="82" t="str">
        <f>VLOOKUP($B$7:$B$5000,SUM!$L$6:$L$500,1,FALSE)</f>
        <v>#N/A</v>
      </c>
      <c r="D3449" s="216" t="s">
        <v>5770</v>
      </c>
      <c r="E3449" s="198" t="s">
        <v>58</v>
      </c>
      <c r="F3449" s="218" t="s">
        <v>4430</v>
      </c>
      <c r="G3449" s="191" t="s">
        <v>2640</v>
      </c>
      <c r="H3449" s="199" t="s">
        <v>5773</v>
      </c>
      <c r="I3449" s="93" t="s">
        <v>2802</v>
      </c>
      <c r="J3449" s="148" t="s">
        <v>63</v>
      </c>
      <c r="K3449" s="185" t="s">
        <v>64</v>
      </c>
      <c r="L3449" s="148" t="s">
        <v>65</v>
      </c>
      <c r="M3449" s="185" t="s">
        <v>66</v>
      </c>
      <c r="N3449" s="214">
        <v>46177.0</v>
      </c>
      <c r="O3449" s="148" t="s">
        <v>67</v>
      </c>
      <c r="P3449" s="103" t="s">
        <v>68</v>
      </c>
      <c r="Q3449" s="103"/>
      <c r="R3449" s="103"/>
      <c r="S3449" s="103"/>
      <c r="T3449" s="103"/>
      <c r="U3449" s="148" t="s">
        <v>28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1">
        <v>3444.0</v>
      </c>
      <c r="B3450" s="180" t="s">
        <v>5774</v>
      </c>
      <c r="C3450" s="82" t="str">
        <f>VLOOKUP($B$7:$B$5000,SUM!$L$6:$L$500,1,FALSE)</f>
        <v>#N/A</v>
      </c>
      <c r="D3450" s="216" t="s">
        <v>5770</v>
      </c>
      <c r="E3450" s="198" t="s">
        <v>58</v>
      </c>
      <c r="F3450" s="217" t="s">
        <v>4430</v>
      </c>
      <c r="G3450" s="191" t="s">
        <v>2640</v>
      </c>
      <c r="H3450" s="199" t="s">
        <v>5775</v>
      </c>
      <c r="I3450" s="93" t="s">
        <v>2802</v>
      </c>
      <c r="J3450" s="148" t="s">
        <v>63</v>
      </c>
      <c r="K3450" s="185" t="s">
        <v>64</v>
      </c>
      <c r="L3450" s="148" t="s">
        <v>65</v>
      </c>
      <c r="M3450" s="185" t="s">
        <v>66</v>
      </c>
      <c r="N3450" s="214">
        <v>46177.0</v>
      </c>
      <c r="O3450" s="148" t="s">
        <v>67</v>
      </c>
      <c r="P3450" s="103" t="s">
        <v>68</v>
      </c>
      <c r="Q3450" s="103"/>
      <c r="R3450" s="103"/>
      <c r="S3450" s="103"/>
      <c r="T3450" s="103"/>
      <c r="U3450" s="148" t="s">
        <v>28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1">
        <v>3445.0</v>
      </c>
      <c r="B3451" s="180" t="s">
        <v>5776</v>
      </c>
      <c r="C3451" s="82" t="str">
        <f>VLOOKUP($B$7:$B$5000,SUM!$L$6:$L$500,1,FALSE)</f>
        <v>#N/A</v>
      </c>
      <c r="D3451" s="216" t="s">
        <v>5770</v>
      </c>
      <c r="E3451" s="198" t="s">
        <v>58</v>
      </c>
      <c r="F3451" s="217" t="s">
        <v>4430</v>
      </c>
      <c r="G3451" s="191" t="s">
        <v>2640</v>
      </c>
      <c r="H3451" s="199" t="s">
        <v>5777</v>
      </c>
      <c r="I3451" s="93" t="s">
        <v>2802</v>
      </c>
      <c r="J3451" s="148" t="s">
        <v>63</v>
      </c>
      <c r="K3451" s="185" t="s">
        <v>64</v>
      </c>
      <c r="L3451" s="148" t="s">
        <v>65</v>
      </c>
      <c r="M3451" s="185" t="s">
        <v>66</v>
      </c>
      <c r="N3451" s="214">
        <v>46177.0</v>
      </c>
      <c r="O3451" s="148" t="s">
        <v>67</v>
      </c>
      <c r="P3451" s="103" t="s">
        <v>68</v>
      </c>
      <c r="Q3451" s="103"/>
      <c r="R3451" s="103"/>
      <c r="S3451" s="103"/>
      <c r="T3451" s="103"/>
      <c r="U3451" s="148" t="s">
        <v>28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1">
        <v>3446.0</v>
      </c>
      <c r="B3452" s="180" t="s">
        <v>5778</v>
      </c>
      <c r="C3452" s="82" t="str">
        <f>VLOOKUP($B$7:$B$5000,SUM!$L$6:$L$500,1,FALSE)</f>
        <v>#N/A</v>
      </c>
      <c r="D3452" s="216" t="s">
        <v>5770</v>
      </c>
      <c r="E3452" s="198" t="s">
        <v>58</v>
      </c>
      <c r="F3452" s="217" t="s">
        <v>4430</v>
      </c>
      <c r="G3452" s="191" t="s">
        <v>2640</v>
      </c>
      <c r="H3452" s="199" t="s">
        <v>5779</v>
      </c>
      <c r="I3452" s="93" t="s">
        <v>2802</v>
      </c>
      <c r="J3452" s="148" t="s">
        <v>63</v>
      </c>
      <c r="K3452" s="185" t="s">
        <v>64</v>
      </c>
      <c r="L3452" s="148" t="s">
        <v>65</v>
      </c>
      <c r="M3452" s="185" t="s">
        <v>66</v>
      </c>
      <c r="N3452" s="214">
        <v>46177.0</v>
      </c>
      <c r="O3452" s="148" t="s">
        <v>67</v>
      </c>
      <c r="P3452" s="103" t="s">
        <v>68</v>
      </c>
      <c r="Q3452" s="103"/>
      <c r="R3452" s="103"/>
      <c r="S3452" s="103"/>
      <c r="T3452" s="103"/>
      <c r="U3452" s="148" t="s">
        <v>28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1">
        <v>3447.0</v>
      </c>
      <c r="B3453" s="180" t="s">
        <v>5780</v>
      </c>
      <c r="C3453" s="82" t="str">
        <f>VLOOKUP($B$7:$B$5000,SUM!$L$6:$L$500,1,FALSE)</f>
        <v>#N/A</v>
      </c>
      <c r="D3453" s="216" t="s">
        <v>5770</v>
      </c>
      <c r="E3453" s="198" t="s">
        <v>58</v>
      </c>
      <c r="F3453" s="217" t="s">
        <v>4430</v>
      </c>
      <c r="G3453" s="191" t="s">
        <v>2640</v>
      </c>
      <c r="H3453" s="199" t="s">
        <v>5781</v>
      </c>
      <c r="I3453" s="93" t="s">
        <v>2802</v>
      </c>
      <c r="J3453" s="148" t="s">
        <v>63</v>
      </c>
      <c r="K3453" s="185" t="s">
        <v>64</v>
      </c>
      <c r="L3453" s="148" t="s">
        <v>65</v>
      </c>
      <c r="M3453" s="185" t="s">
        <v>66</v>
      </c>
      <c r="N3453" s="214">
        <v>46177.0</v>
      </c>
      <c r="O3453" s="148" t="s">
        <v>67</v>
      </c>
      <c r="P3453" s="103" t="s">
        <v>68</v>
      </c>
      <c r="Q3453" s="103"/>
      <c r="R3453" s="103"/>
      <c r="S3453" s="103"/>
      <c r="T3453" s="103"/>
      <c r="U3453" s="148" t="s">
        <v>28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1">
        <v>3448.0</v>
      </c>
      <c r="B3454" s="180" t="s">
        <v>5782</v>
      </c>
      <c r="C3454" s="82" t="str">
        <f>VLOOKUP($B$7:$B$5000,SUM!$L$6:$L$500,1,FALSE)</f>
        <v>#N/A</v>
      </c>
      <c r="D3454" s="216" t="s">
        <v>5770</v>
      </c>
      <c r="E3454" s="198" t="s">
        <v>58</v>
      </c>
      <c r="F3454" s="217" t="s">
        <v>4430</v>
      </c>
      <c r="G3454" s="191" t="s">
        <v>5783</v>
      </c>
      <c r="H3454" s="199" t="s">
        <v>5784</v>
      </c>
      <c r="I3454" s="93" t="s">
        <v>2802</v>
      </c>
      <c r="J3454" s="148" t="s">
        <v>63</v>
      </c>
      <c r="K3454" s="185" t="s">
        <v>64</v>
      </c>
      <c r="L3454" s="148" t="s">
        <v>65</v>
      </c>
      <c r="M3454" s="185" t="s">
        <v>66</v>
      </c>
      <c r="N3454" s="214">
        <v>46177.0</v>
      </c>
      <c r="O3454" s="148" t="s">
        <v>67</v>
      </c>
      <c r="P3454" s="103" t="s">
        <v>68</v>
      </c>
      <c r="Q3454" s="103"/>
      <c r="R3454" s="103"/>
      <c r="S3454" s="103"/>
      <c r="T3454" s="103"/>
      <c r="U3454" s="148" t="s">
        <v>28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1">
        <v>3449.0</v>
      </c>
      <c r="B3455" s="180" t="s">
        <v>5785</v>
      </c>
      <c r="C3455" s="82" t="str">
        <f>VLOOKUP($B$7:$B$5000,SUM!$L$6:$L$500,1,FALSE)</f>
        <v>#N/A</v>
      </c>
      <c r="D3455" s="216" t="s">
        <v>5770</v>
      </c>
      <c r="E3455" s="198" t="s">
        <v>58</v>
      </c>
      <c r="F3455" s="217" t="s">
        <v>4430</v>
      </c>
      <c r="G3455" s="191" t="s">
        <v>5783</v>
      </c>
      <c r="H3455" s="199" t="s">
        <v>5786</v>
      </c>
      <c r="I3455" s="93" t="s">
        <v>2802</v>
      </c>
      <c r="J3455" s="148" t="s">
        <v>63</v>
      </c>
      <c r="K3455" s="185" t="s">
        <v>64</v>
      </c>
      <c r="L3455" s="148" t="s">
        <v>65</v>
      </c>
      <c r="M3455" s="185" t="s">
        <v>66</v>
      </c>
      <c r="N3455" s="214">
        <v>46177.0</v>
      </c>
      <c r="O3455" s="148" t="s">
        <v>67</v>
      </c>
      <c r="P3455" s="103" t="s">
        <v>68</v>
      </c>
      <c r="Q3455" s="103"/>
      <c r="R3455" s="103"/>
      <c r="S3455" s="103"/>
      <c r="T3455" s="103"/>
      <c r="U3455" s="148" t="s">
        <v>28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1">
        <v>3450.0</v>
      </c>
      <c r="B3456" s="180" t="s">
        <v>5787</v>
      </c>
      <c r="C3456" s="82" t="str">
        <f>VLOOKUP($B$7:$B$5000,SUM!$L$6:$L$500,1,FALSE)</f>
        <v>#N/A</v>
      </c>
      <c r="D3456" s="216" t="s">
        <v>5770</v>
      </c>
      <c r="E3456" s="198" t="s">
        <v>58</v>
      </c>
      <c r="F3456" s="217" t="s">
        <v>4430</v>
      </c>
      <c r="G3456" s="191" t="s">
        <v>2640</v>
      </c>
      <c r="H3456" s="199" t="s">
        <v>5788</v>
      </c>
      <c r="I3456" s="93" t="s">
        <v>2802</v>
      </c>
      <c r="J3456" s="148" t="s">
        <v>63</v>
      </c>
      <c r="K3456" s="185" t="s">
        <v>64</v>
      </c>
      <c r="L3456" s="148" t="s">
        <v>65</v>
      </c>
      <c r="M3456" s="185" t="s">
        <v>66</v>
      </c>
      <c r="N3456" s="214">
        <v>46177.0</v>
      </c>
      <c r="O3456" s="148" t="s">
        <v>67</v>
      </c>
      <c r="P3456" s="103" t="s">
        <v>68</v>
      </c>
      <c r="Q3456" s="103"/>
      <c r="R3456" s="103"/>
      <c r="S3456" s="103"/>
      <c r="T3456" s="103"/>
      <c r="U3456" s="148" t="s">
        <v>28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1">
        <v>3451.0</v>
      </c>
      <c r="B3457" s="180" t="s">
        <v>5789</v>
      </c>
      <c r="C3457" s="82" t="str">
        <f>VLOOKUP($B$7:$B$5000,SUM!$L$6:$L$500,1,FALSE)</f>
        <v>#N/A</v>
      </c>
      <c r="D3457" s="216" t="s">
        <v>5770</v>
      </c>
      <c r="E3457" s="198" t="s">
        <v>58</v>
      </c>
      <c r="F3457" s="217" t="s">
        <v>4430</v>
      </c>
      <c r="G3457" s="191" t="s">
        <v>2640</v>
      </c>
      <c r="H3457" s="199" t="s">
        <v>5790</v>
      </c>
      <c r="I3457" s="93" t="s">
        <v>2802</v>
      </c>
      <c r="J3457" s="148" t="s">
        <v>63</v>
      </c>
      <c r="K3457" s="185" t="s">
        <v>64</v>
      </c>
      <c r="L3457" s="148" t="s">
        <v>65</v>
      </c>
      <c r="M3457" s="185" t="s">
        <v>66</v>
      </c>
      <c r="N3457" s="214">
        <v>46177.0</v>
      </c>
      <c r="O3457" s="148" t="s">
        <v>67</v>
      </c>
      <c r="P3457" s="103" t="s">
        <v>68</v>
      </c>
      <c r="Q3457" s="103"/>
      <c r="R3457" s="103"/>
      <c r="S3457" s="103"/>
      <c r="T3457" s="103"/>
      <c r="U3457" s="148" t="s">
        <v>28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1">
        <v>3452.0</v>
      </c>
      <c r="B3458" s="180" t="s">
        <v>5791</v>
      </c>
      <c r="C3458" s="82" t="str">
        <f>VLOOKUP($B$7:$B$5000,SUM!$L$6:$L$500,1,FALSE)</f>
        <v>#N/A</v>
      </c>
      <c r="D3458" s="216" t="s">
        <v>5770</v>
      </c>
      <c r="E3458" s="198" t="s">
        <v>58</v>
      </c>
      <c r="F3458" s="199" t="s">
        <v>4430</v>
      </c>
      <c r="G3458" s="191" t="s">
        <v>2640</v>
      </c>
      <c r="H3458" s="199" t="s">
        <v>5792</v>
      </c>
      <c r="I3458" s="93" t="s">
        <v>2802</v>
      </c>
      <c r="J3458" s="148" t="s">
        <v>63</v>
      </c>
      <c r="K3458" s="185" t="s">
        <v>64</v>
      </c>
      <c r="L3458" s="148" t="s">
        <v>65</v>
      </c>
      <c r="M3458" s="185" t="s">
        <v>66</v>
      </c>
      <c r="N3458" s="214">
        <v>46177.0</v>
      </c>
      <c r="O3458" s="148" t="s">
        <v>67</v>
      </c>
      <c r="P3458" s="103" t="s">
        <v>68</v>
      </c>
      <c r="Q3458" s="103"/>
      <c r="R3458" s="103"/>
      <c r="S3458" s="103"/>
      <c r="T3458" s="103"/>
      <c r="U3458" s="148" t="s">
        <v>28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1">
        <v>3453.0</v>
      </c>
      <c r="B3459" s="180" t="s">
        <v>5793</v>
      </c>
      <c r="C3459" s="82" t="str">
        <f>VLOOKUP($B$7:$B$5000,SUM!$L$6:$L$500,1,FALSE)</f>
        <v>#N/A</v>
      </c>
      <c r="D3459" s="216" t="s">
        <v>5770</v>
      </c>
      <c r="E3459" s="198" t="s">
        <v>58</v>
      </c>
      <c r="F3459" s="199" t="s">
        <v>4430</v>
      </c>
      <c r="G3459" s="191" t="s">
        <v>5783</v>
      </c>
      <c r="H3459" s="199" t="s">
        <v>5794</v>
      </c>
      <c r="I3459" s="93" t="s">
        <v>2802</v>
      </c>
      <c r="J3459" s="148" t="s">
        <v>63</v>
      </c>
      <c r="K3459" s="185" t="s">
        <v>64</v>
      </c>
      <c r="L3459" s="148" t="s">
        <v>65</v>
      </c>
      <c r="M3459" s="185" t="s">
        <v>66</v>
      </c>
      <c r="N3459" s="214">
        <v>46177.0</v>
      </c>
      <c r="O3459" s="148" t="s">
        <v>67</v>
      </c>
      <c r="P3459" s="103" t="s">
        <v>68</v>
      </c>
      <c r="Q3459" s="103"/>
      <c r="R3459" s="103"/>
      <c r="S3459" s="103"/>
      <c r="T3459" s="103"/>
      <c r="U3459" s="148" t="s">
        <v>28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1">
        <v>3454.0</v>
      </c>
      <c r="B3460" s="180" t="s">
        <v>5795</v>
      </c>
      <c r="C3460" s="82" t="str">
        <f>VLOOKUP($B$7:$B$5000,SUM!$L$6:$L$500,1,FALSE)</f>
        <v>#N/A</v>
      </c>
      <c r="D3460" s="216" t="s">
        <v>5770</v>
      </c>
      <c r="E3460" s="198" t="s">
        <v>58</v>
      </c>
      <c r="F3460" s="199" t="s">
        <v>4430</v>
      </c>
      <c r="G3460" s="191" t="s">
        <v>5783</v>
      </c>
      <c r="H3460" s="199" t="s">
        <v>5796</v>
      </c>
      <c r="I3460" s="93" t="s">
        <v>2802</v>
      </c>
      <c r="J3460" s="148" t="s">
        <v>63</v>
      </c>
      <c r="K3460" s="185" t="s">
        <v>64</v>
      </c>
      <c r="L3460" s="148" t="s">
        <v>65</v>
      </c>
      <c r="M3460" s="185" t="s">
        <v>66</v>
      </c>
      <c r="N3460" s="214">
        <v>46177.0</v>
      </c>
      <c r="O3460" s="148" t="s">
        <v>67</v>
      </c>
      <c r="P3460" s="103" t="s">
        <v>68</v>
      </c>
      <c r="Q3460" s="103"/>
      <c r="R3460" s="103"/>
      <c r="S3460" s="103"/>
      <c r="T3460" s="103"/>
      <c r="U3460" s="148" t="s">
        <v>28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1">
        <v>3455.0</v>
      </c>
      <c r="B3461" s="180" t="s">
        <v>5797</v>
      </c>
      <c r="C3461" s="82" t="str">
        <f>VLOOKUP($B$7:$B$5000,SUM!$L$6:$L$500,1,FALSE)</f>
        <v>#N/A</v>
      </c>
      <c r="D3461" s="216" t="s">
        <v>5770</v>
      </c>
      <c r="E3461" s="198" t="s">
        <v>58</v>
      </c>
      <c r="F3461" s="199" t="s">
        <v>4430</v>
      </c>
      <c r="G3461" s="191" t="s">
        <v>5783</v>
      </c>
      <c r="H3461" s="199" t="s">
        <v>5798</v>
      </c>
      <c r="I3461" s="93" t="s">
        <v>2802</v>
      </c>
      <c r="J3461" s="148" t="s">
        <v>63</v>
      </c>
      <c r="K3461" s="185" t="s">
        <v>64</v>
      </c>
      <c r="L3461" s="148" t="s">
        <v>65</v>
      </c>
      <c r="M3461" s="185" t="s">
        <v>66</v>
      </c>
      <c r="N3461" s="214">
        <v>46177.0</v>
      </c>
      <c r="O3461" s="148" t="s">
        <v>67</v>
      </c>
      <c r="P3461" s="103" t="s">
        <v>68</v>
      </c>
      <c r="Q3461" s="103"/>
      <c r="R3461" s="103"/>
      <c r="S3461" s="103"/>
      <c r="T3461" s="103"/>
      <c r="U3461" s="148" t="s">
        <v>28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1">
        <v>3456.0</v>
      </c>
      <c r="B3462" s="180" t="s">
        <v>5799</v>
      </c>
      <c r="C3462" s="82" t="str">
        <f>VLOOKUP($B$7:$B$5000,SUM!$L$6:$L$500,1,FALSE)</f>
        <v>#N/A</v>
      </c>
      <c r="D3462" s="216" t="s">
        <v>5770</v>
      </c>
      <c r="E3462" s="198" t="s">
        <v>58</v>
      </c>
      <c r="F3462" s="199" t="s">
        <v>4430</v>
      </c>
      <c r="G3462" s="191" t="s">
        <v>5783</v>
      </c>
      <c r="H3462" s="199" t="s">
        <v>5800</v>
      </c>
      <c r="I3462" s="93" t="s">
        <v>2802</v>
      </c>
      <c r="J3462" s="148" t="s">
        <v>63</v>
      </c>
      <c r="K3462" s="185" t="s">
        <v>64</v>
      </c>
      <c r="L3462" s="148" t="s">
        <v>65</v>
      </c>
      <c r="M3462" s="185" t="s">
        <v>66</v>
      </c>
      <c r="N3462" s="214">
        <v>46177.0</v>
      </c>
      <c r="O3462" s="148" t="s">
        <v>67</v>
      </c>
      <c r="P3462" s="103" t="s">
        <v>68</v>
      </c>
      <c r="Q3462" s="103"/>
      <c r="R3462" s="103"/>
      <c r="S3462" s="103"/>
      <c r="T3462" s="103"/>
      <c r="U3462" s="148" t="s">
        <v>28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1">
        <v>3457.0</v>
      </c>
      <c r="B3463" s="180" t="s">
        <v>5801</v>
      </c>
      <c r="C3463" s="82" t="str">
        <f>VLOOKUP($B$7:$B$5000,SUM!$L$6:$L$500,1,FALSE)</f>
        <v>#N/A</v>
      </c>
      <c r="D3463" s="216" t="s">
        <v>5770</v>
      </c>
      <c r="E3463" s="198" t="s">
        <v>58</v>
      </c>
      <c r="F3463" s="199" t="s">
        <v>4430</v>
      </c>
      <c r="G3463" s="191" t="s">
        <v>5783</v>
      </c>
      <c r="H3463" s="199" t="s">
        <v>5802</v>
      </c>
      <c r="I3463" s="93" t="s">
        <v>2802</v>
      </c>
      <c r="J3463" s="148" t="s">
        <v>63</v>
      </c>
      <c r="K3463" s="185" t="s">
        <v>64</v>
      </c>
      <c r="L3463" s="148" t="s">
        <v>65</v>
      </c>
      <c r="M3463" s="185" t="s">
        <v>66</v>
      </c>
      <c r="N3463" s="214">
        <v>46177.0</v>
      </c>
      <c r="O3463" s="148" t="s">
        <v>67</v>
      </c>
      <c r="P3463" s="103" t="s">
        <v>68</v>
      </c>
      <c r="Q3463" s="103"/>
      <c r="R3463" s="103"/>
      <c r="S3463" s="103"/>
      <c r="T3463" s="103"/>
      <c r="U3463" s="148" t="s">
        <v>28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1">
        <v>3458.0</v>
      </c>
      <c r="B3464" s="180" t="s">
        <v>5803</v>
      </c>
      <c r="C3464" s="82" t="str">
        <f>VLOOKUP($B$7:$B$5000,SUM!$L$6:$L$500,1,FALSE)</f>
        <v>#N/A</v>
      </c>
      <c r="D3464" s="216" t="s">
        <v>5770</v>
      </c>
      <c r="E3464" s="198" t="s">
        <v>58</v>
      </c>
      <c r="F3464" s="199" t="s">
        <v>4430</v>
      </c>
      <c r="G3464" s="191" t="s">
        <v>5783</v>
      </c>
      <c r="H3464" s="199" t="s">
        <v>5804</v>
      </c>
      <c r="I3464" s="93" t="s">
        <v>2802</v>
      </c>
      <c r="J3464" s="148" t="s">
        <v>63</v>
      </c>
      <c r="K3464" s="185" t="s">
        <v>64</v>
      </c>
      <c r="L3464" s="148" t="s">
        <v>65</v>
      </c>
      <c r="M3464" s="185" t="s">
        <v>66</v>
      </c>
      <c r="N3464" s="214">
        <v>46177.0</v>
      </c>
      <c r="O3464" s="148" t="s">
        <v>67</v>
      </c>
      <c r="P3464" s="103" t="s">
        <v>68</v>
      </c>
      <c r="Q3464" s="103"/>
      <c r="R3464" s="103"/>
      <c r="S3464" s="103"/>
      <c r="T3464" s="103"/>
      <c r="U3464" s="148" t="s">
        <v>28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1">
        <v>3459.0</v>
      </c>
      <c r="B3465" s="180" t="s">
        <v>5805</v>
      </c>
      <c r="C3465" s="82" t="str">
        <f>VLOOKUP($B$7:$B$5000,SUM!$L$6:$L$500,1,FALSE)</f>
        <v>#N/A</v>
      </c>
      <c r="D3465" s="216" t="s">
        <v>5770</v>
      </c>
      <c r="E3465" s="198" t="s">
        <v>58</v>
      </c>
      <c r="F3465" s="199" t="s">
        <v>4430</v>
      </c>
      <c r="G3465" s="191" t="s">
        <v>5783</v>
      </c>
      <c r="H3465" s="199" t="s">
        <v>5806</v>
      </c>
      <c r="I3465" s="93" t="s">
        <v>2802</v>
      </c>
      <c r="J3465" s="148" t="s">
        <v>63</v>
      </c>
      <c r="K3465" s="185" t="s">
        <v>64</v>
      </c>
      <c r="L3465" s="148" t="s">
        <v>65</v>
      </c>
      <c r="M3465" s="185" t="s">
        <v>66</v>
      </c>
      <c r="N3465" s="214">
        <v>46177.0</v>
      </c>
      <c r="O3465" s="148" t="s">
        <v>67</v>
      </c>
      <c r="P3465" s="103" t="s">
        <v>68</v>
      </c>
      <c r="Q3465" s="103"/>
      <c r="R3465" s="103"/>
      <c r="S3465" s="103"/>
      <c r="T3465" s="103"/>
      <c r="U3465" s="148" t="s">
        <v>28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1">
        <v>3460.0</v>
      </c>
      <c r="B3466" s="180" t="s">
        <v>5807</v>
      </c>
      <c r="C3466" s="82" t="str">
        <f>VLOOKUP($B$7:$B$5000,SUM!$L$6:$L$500,1,FALSE)</f>
        <v>#N/A</v>
      </c>
      <c r="D3466" s="216" t="s">
        <v>5770</v>
      </c>
      <c r="E3466" s="198" t="s">
        <v>58</v>
      </c>
      <c r="F3466" s="199" t="s">
        <v>4430</v>
      </c>
      <c r="G3466" s="191" t="s">
        <v>5783</v>
      </c>
      <c r="H3466" s="199" t="s">
        <v>5808</v>
      </c>
      <c r="I3466" s="93" t="s">
        <v>2802</v>
      </c>
      <c r="J3466" s="148" t="s">
        <v>63</v>
      </c>
      <c r="K3466" s="185" t="s">
        <v>64</v>
      </c>
      <c r="L3466" s="148" t="s">
        <v>65</v>
      </c>
      <c r="M3466" s="185" t="s">
        <v>66</v>
      </c>
      <c r="N3466" s="214">
        <v>46177.0</v>
      </c>
      <c r="O3466" s="148" t="s">
        <v>67</v>
      </c>
      <c r="P3466" s="103" t="s">
        <v>68</v>
      </c>
      <c r="Q3466" s="103"/>
      <c r="R3466" s="103"/>
      <c r="S3466" s="103"/>
      <c r="T3466" s="103"/>
      <c r="U3466" s="148" t="s">
        <v>28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1">
        <v>3461.0</v>
      </c>
      <c r="B3467" s="180" t="s">
        <v>5809</v>
      </c>
      <c r="C3467" s="82" t="str">
        <f>VLOOKUP($B$7:$B$5000,SUM!$L$6:$L$500,1,FALSE)</f>
        <v>#N/A</v>
      </c>
      <c r="D3467" s="216" t="s">
        <v>5770</v>
      </c>
      <c r="E3467" s="198" t="s">
        <v>58</v>
      </c>
      <c r="F3467" s="199" t="s">
        <v>4430</v>
      </c>
      <c r="G3467" s="191" t="s">
        <v>2640</v>
      </c>
      <c r="H3467" s="199" t="s">
        <v>5810</v>
      </c>
      <c r="I3467" s="93" t="s">
        <v>2802</v>
      </c>
      <c r="J3467" s="148" t="s">
        <v>63</v>
      </c>
      <c r="K3467" s="185" t="s">
        <v>64</v>
      </c>
      <c r="L3467" s="148" t="s">
        <v>65</v>
      </c>
      <c r="M3467" s="185" t="s">
        <v>66</v>
      </c>
      <c r="N3467" s="214">
        <v>46177.0</v>
      </c>
      <c r="O3467" s="148" t="s">
        <v>67</v>
      </c>
      <c r="P3467" s="103" t="s">
        <v>68</v>
      </c>
      <c r="Q3467" s="103"/>
      <c r="R3467" s="103"/>
      <c r="S3467" s="103"/>
      <c r="T3467" s="103"/>
      <c r="U3467" s="148" t="s">
        <v>28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1">
        <v>3462.0</v>
      </c>
      <c r="B3468" s="180" t="s">
        <v>5811</v>
      </c>
      <c r="C3468" s="82" t="str">
        <f>VLOOKUP($B$7:$B$5000,SUM!$L$6:$L$500,1,FALSE)</f>
        <v>#N/A</v>
      </c>
      <c r="D3468" s="216" t="s">
        <v>5770</v>
      </c>
      <c r="E3468" s="198" t="s">
        <v>58</v>
      </c>
      <c r="F3468" s="199" t="s">
        <v>4430</v>
      </c>
      <c r="G3468" s="191" t="s">
        <v>2640</v>
      </c>
      <c r="H3468" s="199" t="s">
        <v>5812</v>
      </c>
      <c r="I3468" s="93" t="s">
        <v>2802</v>
      </c>
      <c r="J3468" s="148" t="s">
        <v>63</v>
      </c>
      <c r="K3468" s="185" t="s">
        <v>64</v>
      </c>
      <c r="L3468" s="148" t="s">
        <v>65</v>
      </c>
      <c r="M3468" s="185" t="s">
        <v>66</v>
      </c>
      <c r="N3468" s="214">
        <v>46177.0</v>
      </c>
      <c r="O3468" s="148" t="s">
        <v>67</v>
      </c>
      <c r="P3468" s="103" t="s">
        <v>68</v>
      </c>
      <c r="Q3468" s="103"/>
      <c r="R3468" s="103"/>
      <c r="S3468" s="103"/>
      <c r="T3468" s="103"/>
      <c r="U3468" s="148" t="s">
        <v>28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1">
        <v>3463.0</v>
      </c>
      <c r="B3469" s="180" t="s">
        <v>5813</v>
      </c>
      <c r="C3469" s="82" t="str">
        <f>VLOOKUP($B$7:$B$5000,SUM!$L$6:$L$500,1,FALSE)</f>
        <v>#N/A</v>
      </c>
      <c r="D3469" s="216" t="s">
        <v>5770</v>
      </c>
      <c r="E3469" s="198" t="s">
        <v>58</v>
      </c>
      <c r="F3469" s="199" t="s">
        <v>4430</v>
      </c>
      <c r="G3469" s="191" t="s">
        <v>2640</v>
      </c>
      <c r="H3469" s="199" t="s">
        <v>5814</v>
      </c>
      <c r="I3469" s="93" t="s">
        <v>2802</v>
      </c>
      <c r="J3469" s="148" t="s">
        <v>63</v>
      </c>
      <c r="K3469" s="185" t="s">
        <v>64</v>
      </c>
      <c r="L3469" s="148" t="s">
        <v>65</v>
      </c>
      <c r="M3469" s="185" t="s">
        <v>66</v>
      </c>
      <c r="N3469" s="214">
        <v>46177.0</v>
      </c>
      <c r="O3469" s="148" t="s">
        <v>67</v>
      </c>
      <c r="P3469" s="103" t="s">
        <v>68</v>
      </c>
      <c r="Q3469" s="103"/>
      <c r="R3469" s="103"/>
      <c r="S3469" s="103"/>
      <c r="T3469" s="103"/>
      <c r="U3469" s="148" t="s">
        <v>28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1">
        <v>3464.0</v>
      </c>
      <c r="B3470" s="180" t="s">
        <v>5815</v>
      </c>
      <c r="C3470" s="82" t="str">
        <f>VLOOKUP($B$7:$B$5000,SUM!$L$6:$L$500,1,FALSE)</f>
        <v>#N/A</v>
      </c>
      <c r="D3470" s="216" t="s">
        <v>5770</v>
      </c>
      <c r="E3470" s="198" t="s">
        <v>58</v>
      </c>
      <c r="F3470" s="199" t="s">
        <v>4430</v>
      </c>
      <c r="G3470" s="191" t="s">
        <v>2640</v>
      </c>
      <c r="H3470" s="199" t="s">
        <v>5816</v>
      </c>
      <c r="I3470" s="93" t="s">
        <v>2802</v>
      </c>
      <c r="J3470" s="148" t="s">
        <v>63</v>
      </c>
      <c r="K3470" s="185" t="s">
        <v>64</v>
      </c>
      <c r="L3470" s="148" t="s">
        <v>65</v>
      </c>
      <c r="M3470" s="185" t="s">
        <v>66</v>
      </c>
      <c r="N3470" s="214">
        <v>46177.0</v>
      </c>
      <c r="O3470" s="148" t="s">
        <v>67</v>
      </c>
      <c r="P3470" s="103" t="s">
        <v>68</v>
      </c>
      <c r="Q3470" s="103"/>
      <c r="R3470" s="103"/>
      <c r="S3470" s="103"/>
      <c r="T3470" s="103"/>
      <c r="U3470" s="148" t="s">
        <v>28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1">
        <v>3465.0</v>
      </c>
      <c r="B3471" s="180" t="s">
        <v>5817</v>
      </c>
      <c r="C3471" s="82" t="str">
        <f>VLOOKUP($B$7:$B$5000,SUM!$L$6:$L$500,1,FALSE)</f>
        <v>#N/A</v>
      </c>
      <c r="D3471" s="216" t="s">
        <v>5770</v>
      </c>
      <c r="E3471" s="198" t="s">
        <v>58</v>
      </c>
      <c r="F3471" s="199" t="s">
        <v>4430</v>
      </c>
      <c r="G3471" s="191" t="s">
        <v>2640</v>
      </c>
      <c r="H3471" s="199" t="s">
        <v>5818</v>
      </c>
      <c r="I3471" s="93" t="s">
        <v>2802</v>
      </c>
      <c r="J3471" s="148" t="s">
        <v>63</v>
      </c>
      <c r="K3471" s="185" t="s">
        <v>64</v>
      </c>
      <c r="L3471" s="148" t="s">
        <v>65</v>
      </c>
      <c r="M3471" s="185" t="s">
        <v>66</v>
      </c>
      <c r="N3471" s="214">
        <v>46177.0</v>
      </c>
      <c r="O3471" s="148" t="s">
        <v>67</v>
      </c>
      <c r="P3471" s="103" t="s">
        <v>68</v>
      </c>
      <c r="Q3471" s="103"/>
      <c r="R3471" s="103"/>
      <c r="S3471" s="103"/>
      <c r="T3471" s="103"/>
      <c r="U3471" s="148" t="s">
        <v>28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1">
        <v>3466.0</v>
      </c>
      <c r="B3472" s="180" t="s">
        <v>5819</v>
      </c>
      <c r="C3472" s="82" t="str">
        <f>VLOOKUP($B$7:$B$5000,SUM!$L$6:$L$500,1,FALSE)</f>
        <v>#N/A</v>
      </c>
      <c r="D3472" s="216" t="s">
        <v>5770</v>
      </c>
      <c r="E3472" s="198" t="s">
        <v>58</v>
      </c>
      <c r="F3472" s="199" t="s">
        <v>4430</v>
      </c>
      <c r="G3472" s="191" t="s">
        <v>2640</v>
      </c>
      <c r="H3472" s="199" t="s">
        <v>5820</v>
      </c>
      <c r="I3472" s="93" t="s">
        <v>2802</v>
      </c>
      <c r="J3472" s="148" t="s">
        <v>63</v>
      </c>
      <c r="K3472" s="185" t="s">
        <v>64</v>
      </c>
      <c r="L3472" s="148" t="s">
        <v>65</v>
      </c>
      <c r="M3472" s="185" t="s">
        <v>66</v>
      </c>
      <c r="N3472" s="214">
        <v>46177.0</v>
      </c>
      <c r="O3472" s="148" t="s">
        <v>67</v>
      </c>
      <c r="P3472" s="103" t="s">
        <v>68</v>
      </c>
      <c r="Q3472" s="103"/>
      <c r="R3472" s="103"/>
      <c r="S3472" s="103"/>
      <c r="T3472" s="103"/>
      <c r="U3472" s="148" t="s">
        <v>28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1">
        <v>3467.0</v>
      </c>
      <c r="B3473" s="180" t="s">
        <v>5821</v>
      </c>
      <c r="C3473" s="82" t="str">
        <f>VLOOKUP($B$7:$B$5000,SUM!$L$6:$L$500,1,FALSE)</f>
        <v>#N/A</v>
      </c>
      <c r="D3473" s="216" t="s">
        <v>5770</v>
      </c>
      <c r="E3473" s="198" t="s">
        <v>58</v>
      </c>
      <c r="F3473" s="199" t="s">
        <v>4430</v>
      </c>
      <c r="G3473" s="191" t="s">
        <v>5783</v>
      </c>
      <c r="H3473" s="199" t="s">
        <v>5822</v>
      </c>
      <c r="I3473" s="93" t="s">
        <v>2802</v>
      </c>
      <c r="J3473" s="148" t="s">
        <v>63</v>
      </c>
      <c r="K3473" s="185" t="s">
        <v>64</v>
      </c>
      <c r="L3473" s="148" t="s">
        <v>65</v>
      </c>
      <c r="M3473" s="185" t="s">
        <v>66</v>
      </c>
      <c r="N3473" s="214">
        <v>46177.0</v>
      </c>
      <c r="O3473" s="148" t="s">
        <v>67</v>
      </c>
      <c r="P3473" s="103" t="s">
        <v>68</v>
      </c>
      <c r="Q3473" s="103"/>
      <c r="R3473" s="103"/>
      <c r="S3473" s="103"/>
      <c r="T3473" s="103"/>
      <c r="U3473" s="148" t="s">
        <v>28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1">
        <v>3468.0</v>
      </c>
      <c r="B3474" s="180" t="s">
        <v>5823</v>
      </c>
      <c r="C3474" s="82" t="str">
        <f>VLOOKUP($B$7:$B$5000,SUM!$L$6:$L$500,1,FALSE)</f>
        <v>#N/A</v>
      </c>
      <c r="D3474" s="216" t="s">
        <v>5770</v>
      </c>
      <c r="E3474" s="198" t="s">
        <v>58</v>
      </c>
      <c r="F3474" s="199" t="s">
        <v>4430</v>
      </c>
      <c r="G3474" s="191" t="s">
        <v>2640</v>
      </c>
      <c r="H3474" s="199" t="s">
        <v>5824</v>
      </c>
      <c r="I3474" s="93" t="s">
        <v>2802</v>
      </c>
      <c r="J3474" s="148" t="s">
        <v>63</v>
      </c>
      <c r="K3474" s="185" t="s">
        <v>64</v>
      </c>
      <c r="L3474" s="148" t="s">
        <v>65</v>
      </c>
      <c r="M3474" s="185" t="s">
        <v>66</v>
      </c>
      <c r="N3474" s="214">
        <v>46177.0</v>
      </c>
      <c r="O3474" s="148" t="s">
        <v>67</v>
      </c>
      <c r="P3474" s="103" t="s">
        <v>68</v>
      </c>
      <c r="Q3474" s="103"/>
      <c r="R3474" s="103"/>
      <c r="S3474" s="103"/>
      <c r="T3474" s="103"/>
      <c r="U3474" s="148" t="s">
        <v>28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1">
        <v>3469.0</v>
      </c>
      <c r="B3475" s="180" t="s">
        <v>5825</v>
      </c>
      <c r="C3475" s="82" t="str">
        <f>VLOOKUP($B$7:$B$5000,SUM!$L$6:$L$500,1,FALSE)</f>
        <v>#N/A</v>
      </c>
      <c r="D3475" s="216" t="s">
        <v>5770</v>
      </c>
      <c r="E3475" s="198" t="s">
        <v>58</v>
      </c>
      <c r="F3475" s="199" t="s">
        <v>4430</v>
      </c>
      <c r="G3475" s="191" t="s">
        <v>2640</v>
      </c>
      <c r="H3475" s="199" t="s">
        <v>5826</v>
      </c>
      <c r="I3475" s="93" t="s">
        <v>2802</v>
      </c>
      <c r="J3475" s="148" t="s">
        <v>63</v>
      </c>
      <c r="K3475" s="185" t="s">
        <v>64</v>
      </c>
      <c r="L3475" s="148" t="s">
        <v>65</v>
      </c>
      <c r="M3475" s="185" t="s">
        <v>66</v>
      </c>
      <c r="N3475" s="214">
        <v>46177.0</v>
      </c>
      <c r="O3475" s="148" t="s">
        <v>67</v>
      </c>
      <c r="P3475" s="103" t="s">
        <v>68</v>
      </c>
      <c r="Q3475" s="103"/>
      <c r="R3475" s="103"/>
      <c r="S3475" s="103"/>
      <c r="T3475" s="103"/>
      <c r="U3475" s="148" t="s">
        <v>28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1">
        <v>3470.0</v>
      </c>
      <c r="B3476" s="180" t="s">
        <v>5827</v>
      </c>
      <c r="C3476" s="82" t="str">
        <f>VLOOKUP($B$7:$B$5000,SUM!$L$6:$L$500,1,FALSE)</f>
        <v>#N/A</v>
      </c>
      <c r="D3476" s="216" t="s">
        <v>5770</v>
      </c>
      <c r="E3476" s="198" t="s">
        <v>58</v>
      </c>
      <c r="F3476" s="199" t="s">
        <v>4430</v>
      </c>
      <c r="G3476" s="191" t="s">
        <v>2640</v>
      </c>
      <c r="H3476" s="199" t="s">
        <v>5828</v>
      </c>
      <c r="I3476" s="93" t="s">
        <v>2802</v>
      </c>
      <c r="J3476" s="148" t="s">
        <v>63</v>
      </c>
      <c r="K3476" s="185" t="s">
        <v>64</v>
      </c>
      <c r="L3476" s="148" t="s">
        <v>65</v>
      </c>
      <c r="M3476" s="185" t="s">
        <v>66</v>
      </c>
      <c r="N3476" s="214">
        <v>46177.0</v>
      </c>
      <c r="O3476" s="148" t="s">
        <v>67</v>
      </c>
      <c r="P3476" s="103" t="s">
        <v>68</v>
      </c>
      <c r="Q3476" s="103"/>
      <c r="R3476" s="103"/>
      <c r="S3476" s="103"/>
      <c r="T3476" s="103"/>
      <c r="U3476" s="148" t="s">
        <v>28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1">
        <v>3471.0</v>
      </c>
      <c r="B3477" s="180" t="s">
        <v>5829</v>
      </c>
      <c r="C3477" s="82" t="str">
        <f>VLOOKUP($B$7:$B$5000,SUM!$L$6:$L$500,1,FALSE)</f>
        <v>#N/A</v>
      </c>
      <c r="D3477" s="216" t="s">
        <v>5770</v>
      </c>
      <c r="E3477" s="198" t="s">
        <v>58</v>
      </c>
      <c r="F3477" s="199" t="s">
        <v>4430</v>
      </c>
      <c r="G3477" s="191" t="s">
        <v>2640</v>
      </c>
      <c r="H3477" s="199" t="s">
        <v>5830</v>
      </c>
      <c r="I3477" s="93" t="s">
        <v>2802</v>
      </c>
      <c r="J3477" s="148" t="s">
        <v>63</v>
      </c>
      <c r="K3477" s="185" t="s">
        <v>64</v>
      </c>
      <c r="L3477" s="148" t="s">
        <v>65</v>
      </c>
      <c r="M3477" s="185" t="s">
        <v>66</v>
      </c>
      <c r="N3477" s="214">
        <v>46177.0</v>
      </c>
      <c r="O3477" s="148" t="s">
        <v>67</v>
      </c>
      <c r="P3477" s="103" t="s">
        <v>68</v>
      </c>
      <c r="Q3477" s="103"/>
      <c r="R3477" s="103"/>
      <c r="S3477" s="103"/>
      <c r="T3477" s="103"/>
      <c r="U3477" s="148" t="s">
        <v>28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1">
        <v>3472.0</v>
      </c>
      <c r="B3478" s="180" t="s">
        <v>5831</v>
      </c>
      <c r="C3478" s="82" t="str">
        <f>VLOOKUP($B$7:$B$5000,SUM!$L$6:$L$500,1,FALSE)</f>
        <v>#N/A</v>
      </c>
      <c r="D3478" s="216" t="s">
        <v>5770</v>
      </c>
      <c r="E3478" s="198" t="s">
        <v>58</v>
      </c>
      <c r="F3478" s="199" t="s">
        <v>4430</v>
      </c>
      <c r="G3478" s="191" t="s">
        <v>2640</v>
      </c>
      <c r="H3478" s="199" t="s">
        <v>5832</v>
      </c>
      <c r="I3478" s="93" t="s">
        <v>2802</v>
      </c>
      <c r="J3478" s="148" t="s">
        <v>63</v>
      </c>
      <c r="K3478" s="185" t="s">
        <v>64</v>
      </c>
      <c r="L3478" s="148" t="s">
        <v>65</v>
      </c>
      <c r="M3478" s="185" t="s">
        <v>66</v>
      </c>
      <c r="N3478" s="214">
        <v>46177.0</v>
      </c>
      <c r="O3478" s="148" t="s">
        <v>67</v>
      </c>
      <c r="P3478" s="103" t="s">
        <v>68</v>
      </c>
      <c r="Q3478" s="103"/>
      <c r="R3478" s="103"/>
      <c r="S3478" s="103"/>
      <c r="T3478" s="103"/>
      <c r="U3478" s="148" t="s">
        <v>28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1">
        <v>3473.0</v>
      </c>
      <c r="B3479" s="180" t="s">
        <v>5833</v>
      </c>
      <c r="C3479" s="82" t="str">
        <f>VLOOKUP($B$7:$B$5000,SUM!$L$6:$L$500,1,FALSE)</f>
        <v>#N/A</v>
      </c>
      <c r="D3479" s="216" t="s">
        <v>5770</v>
      </c>
      <c r="E3479" s="198" t="s">
        <v>58</v>
      </c>
      <c r="F3479" s="199" t="s">
        <v>4430</v>
      </c>
      <c r="G3479" s="191" t="s">
        <v>2640</v>
      </c>
      <c r="H3479" s="199" t="s">
        <v>5834</v>
      </c>
      <c r="I3479" s="93" t="s">
        <v>2802</v>
      </c>
      <c r="J3479" s="148" t="s">
        <v>63</v>
      </c>
      <c r="K3479" s="185" t="s">
        <v>64</v>
      </c>
      <c r="L3479" s="148" t="s">
        <v>65</v>
      </c>
      <c r="M3479" s="185" t="s">
        <v>66</v>
      </c>
      <c r="N3479" s="214">
        <v>46177.0</v>
      </c>
      <c r="O3479" s="148" t="s">
        <v>67</v>
      </c>
      <c r="P3479" s="103" t="s">
        <v>68</v>
      </c>
      <c r="Q3479" s="103"/>
      <c r="R3479" s="103"/>
      <c r="S3479" s="103"/>
      <c r="T3479" s="103"/>
      <c r="U3479" s="148" t="s">
        <v>28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1">
        <v>3474.0</v>
      </c>
      <c r="B3480" s="180" t="s">
        <v>5835</v>
      </c>
      <c r="C3480" s="82" t="str">
        <f>VLOOKUP($B$7:$B$5000,SUM!$L$6:$L$500,1,FALSE)</f>
        <v>#N/A</v>
      </c>
      <c r="D3480" s="216" t="s">
        <v>5770</v>
      </c>
      <c r="E3480" s="198" t="s">
        <v>58</v>
      </c>
      <c r="F3480" s="199" t="s">
        <v>4430</v>
      </c>
      <c r="G3480" s="191" t="s">
        <v>2640</v>
      </c>
      <c r="H3480" s="199" t="s">
        <v>5836</v>
      </c>
      <c r="I3480" s="93" t="s">
        <v>2802</v>
      </c>
      <c r="J3480" s="148" t="s">
        <v>63</v>
      </c>
      <c r="K3480" s="185" t="s">
        <v>64</v>
      </c>
      <c r="L3480" s="148" t="s">
        <v>65</v>
      </c>
      <c r="M3480" s="185" t="s">
        <v>66</v>
      </c>
      <c r="N3480" s="214">
        <v>46177.0</v>
      </c>
      <c r="O3480" s="148" t="s">
        <v>67</v>
      </c>
      <c r="P3480" s="103" t="s">
        <v>68</v>
      </c>
      <c r="Q3480" s="103"/>
      <c r="R3480" s="103"/>
      <c r="S3480" s="103"/>
      <c r="T3480" s="103"/>
      <c r="U3480" s="148" t="s">
        <v>28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1">
        <v>3475.0</v>
      </c>
      <c r="B3481" s="180" t="s">
        <v>5837</v>
      </c>
      <c r="C3481" s="82" t="str">
        <f>VLOOKUP($B$7:$B$5000,SUM!$L$6:$L$500,1,FALSE)</f>
        <v>#N/A</v>
      </c>
      <c r="D3481" s="216" t="s">
        <v>5770</v>
      </c>
      <c r="E3481" s="198" t="s">
        <v>58</v>
      </c>
      <c r="F3481" s="199" t="s">
        <v>4430</v>
      </c>
      <c r="G3481" s="191" t="s">
        <v>2640</v>
      </c>
      <c r="H3481" s="199" t="s">
        <v>5838</v>
      </c>
      <c r="I3481" s="93" t="s">
        <v>2802</v>
      </c>
      <c r="J3481" s="148" t="s">
        <v>63</v>
      </c>
      <c r="K3481" s="185" t="s">
        <v>64</v>
      </c>
      <c r="L3481" s="148" t="s">
        <v>65</v>
      </c>
      <c r="M3481" s="185" t="s">
        <v>66</v>
      </c>
      <c r="N3481" s="214">
        <v>46177.0</v>
      </c>
      <c r="O3481" s="148" t="s">
        <v>67</v>
      </c>
      <c r="P3481" s="103" t="s">
        <v>68</v>
      </c>
      <c r="Q3481" s="103"/>
      <c r="R3481" s="103"/>
      <c r="S3481" s="103"/>
      <c r="T3481" s="103"/>
      <c r="U3481" s="148" t="s">
        <v>28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1">
        <v>3476.0</v>
      </c>
      <c r="B3482" s="180" t="s">
        <v>5839</v>
      </c>
      <c r="C3482" s="82" t="str">
        <f>VLOOKUP($B$7:$B$5000,SUM!$L$6:$L$500,1,FALSE)</f>
        <v>#N/A</v>
      </c>
      <c r="D3482" s="216" t="s">
        <v>5770</v>
      </c>
      <c r="E3482" s="198" t="s">
        <v>58</v>
      </c>
      <c r="F3482" s="199" t="s">
        <v>4430</v>
      </c>
      <c r="G3482" s="191" t="s">
        <v>2640</v>
      </c>
      <c r="H3482" s="199" t="s">
        <v>5840</v>
      </c>
      <c r="I3482" s="93" t="s">
        <v>2802</v>
      </c>
      <c r="J3482" s="148" t="s">
        <v>63</v>
      </c>
      <c r="K3482" s="185" t="s">
        <v>64</v>
      </c>
      <c r="L3482" s="148" t="s">
        <v>65</v>
      </c>
      <c r="M3482" s="185" t="s">
        <v>66</v>
      </c>
      <c r="N3482" s="214">
        <v>46177.0</v>
      </c>
      <c r="O3482" s="148" t="s">
        <v>67</v>
      </c>
      <c r="P3482" s="103" t="s">
        <v>68</v>
      </c>
      <c r="Q3482" s="103"/>
      <c r="R3482" s="103"/>
      <c r="S3482" s="103"/>
      <c r="T3482" s="103"/>
      <c r="U3482" s="148" t="s">
        <v>28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1">
        <v>3477.0</v>
      </c>
      <c r="B3483" s="180" t="s">
        <v>5841</v>
      </c>
      <c r="C3483" s="82" t="str">
        <f>VLOOKUP($B$7:$B$5000,SUM!$L$6:$L$500,1,FALSE)</f>
        <v>#N/A</v>
      </c>
      <c r="D3483" s="216" t="s">
        <v>5770</v>
      </c>
      <c r="E3483" s="198" t="s">
        <v>58</v>
      </c>
      <c r="F3483" s="199" t="s">
        <v>4430</v>
      </c>
      <c r="G3483" s="191" t="s">
        <v>2640</v>
      </c>
      <c r="H3483" s="199" t="s">
        <v>5842</v>
      </c>
      <c r="I3483" s="93" t="s">
        <v>2802</v>
      </c>
      <c r="J3483" s="148" t="s">
        <v>63</v>
      </c>
      <c r="K3483" s="185" t="s">
        <v>64</v>
      </c>
      <c r="L3483" s="148" t="s">
        <v>65</v>
      </c>
      <c r="M3483" s="185" t="s">
        <v>66</v>
      </c>
      <c r="N3483" s="214">
        <v>46177.0</v>
      </c>
      <c r="O3483" s="148" t="s">
        <v>67</v>
      </c>
      <c r="P3483" s="103" t="s">
        <v>68</v>
      </c>
      <c r="Q3483" s="103"/>
      <c r="R3483" s="103"/>
      <c r="S3483" s="103"/>
      <c r="T3483" s="103"/>
      <c r="U3483" s="148" t="s">
        <v>28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1">
        <v>3478.0</v>
      </c>
      <c r="B3484" s="180" t="s">
        <v>5843</v>
      </c>
      <c r="C3484" s="82" t="str">
        <f>VLOOKUP($B$7:$B$5000,SUM!$L$6:$L$500,1,FALSE)</f>
        <v>#N/A</v>
      </c>
      <c r="D3484" s="216" t="s">
        <v>5770</v>
      </c>
      <c r="E3484" s="198" t="s">
        <v>58</v>
      </c>
      <c r="F3484" s="199" t="s">
        <v>4430</v>
      </c>
      <c r="G3484" s="191" t="s">
        <v>2640</v>
      </c>
      <c r="H3484" s="199" t="s">
        <v>5844</v>
      </c>
      <c r="I3484" s="93" t="s">
        <v>2802</v>
      </c>
      <c r="J3484" s="148" t="s">
        <v>63</v>
      </c>
      <c r="K3484" s="185" t="s">
        <v>64</v>
      </c>
      <c r="L3484" s="148" t="s">
        <v>65</v>
      </c>
      <c r="M3484" s="185" t="s">
        <v>66</v>
      </c>
      <c r="N3484" s="214">
        <v>46177.0</v>
      </c>
      <c r="O3484" s="148" t="s">
        <v>67</v>
      </c>
      <c r="P3484" s="103" t="s">
        <v>68</v>
      </c>
      <c r="Q3484" s="103"/>
      <c r="R3484" s="103"/>
      <c r="S3484" s="103"/>
      <c r="T3484" s="103"/>
      <c r="U3484" s="148" t="s">
        <v>28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1">
        <v>3479.0</v>
      </c>
      <c r="B3485" s="180" t="s">
        <v>5845</v>
      </c>
      <c r="C3485" s="82" t="str">
        <f>VLOOKUP($B$7:$B$5000,SUM!$L$6:$L$500,1,FALSE)</f>
        <v>#N/A</v>
      </c>
      <c r="D3485" s="216" t="s">
        <v>5770</v>
      </c>
      <c r="E3485" s="198" t="s">
        <v>58</v>
      </c>
      <c r="F3485" s="199" t="s">
        <v>4430</v>
      </c>
      <c r="G3485" s="191" t="s">
        <v>2640</v>
      </c>
      <c r="H3485" s="199" t="s">
        <v>5846</v>
      </c>
      <c r="I3485" s="93" t="s">
        <v>2802</v>
      </c>
      <c r="J3485" s="148" t="s">
        <v>63</v>
      </c>
      <c r="K3485" s="185" t="s">
        <v>64</v>
      </c>
      <c r="L3485" s="148" t="s">
        <v>65</v>
      </c>
      <c r="M3485" s="185" t="s">
        <v>66</v>
      </c>
      <c r="N3485" s="214">
        <v>46177.0</v>
      </c>
      <c r="O3485" s="148" t="s">
        <v>67</v>
      </c>
      <c r="P3485" s="103" t="s">
        <v>68</v>
      </c>
      <c r="Q3485" s="103"/>
      <c r="R3485" s="103"/>
      <c r="S3485" s="103"/>
      <c r="T3485" s="103"/>
      <c r="U3485" s="148" t="s">
        <v>28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1">
        <v>3480.0</v>
      </c>
      <c r="B3486" s="180" t="s">
        <v>5847</v>
      </c>
      <c r="C3486" s="82" t="str">
        <f>VLOOKUP($B$7:$B$5000,SUM!$L$6:$L$500,1,FALSE)</f>
        <v>#N/A</v>
      </c>
      <c r="D3486" s="216" t="s">
        <v>5770</v>
      </c>
      <c r="E3486" s="198" t="s">
        <v>58</v>
      </c>
      <c r="F3486" s="199" t="s">
        <v>4430</v>
      </c>
      <c r="G3486" s="191" t="s">
        <v>2640</v>
      </c>
      <c r="H3486" s="199" t="s">
        <v>5848</v>
      </c>
      <c r="I3486" s="93" t="s">
        <v>2802</v>
      </c>
      <c r="J3486" s="148" t="s">
        <v>63</v>
      </c>
      <c r="K3486" s="185" t="s">
        <v>64</v>
      </c>
      <c r="L3486" s="148" t="s">
        <v>65</v>
      </c>
      <c r="M3486" s="185" t="s">
        <v>66</v>
      </c>
      <c r="N3486" s="214">
        <v>46177.0</v>
      </c>
      <c r="O3486" s="148" t="s">
        <v>67</v>
      </c>
      <c r="P3486" s="103" t="s">
        <v>68</v>
      </c>
      <c r="Q3486" s="103"/>
      <c r="R3486" s="103"/>
      <c r="S3486" s="103"/>
      <c r="T3486" s="103"/>
      <c r="U3486" s="148" t="s">
        <v>28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1">
        <v>3481.0</v>
      </c>
      <c r="B3487" s="180" t="s">
        <v>5849</v>
      </c>
      <c r="C3487" s="82" t="str">
        <f>VLOOKUP($B$7:$B$5000,SUM!$L$6:$L$500,1,FALSE)</f>
        <v>#N/A</v>
      </c>
      <c r="D3487" s="216" t="s">
        <v>5770</v>
      </c>
      <c r="E3487" s="198" t="s">
        <v>58</v>
      </c>
      <c r="F3487" s="199" t="s">
        <v>4430</v>
      </c>
      <c r="G3487" s="191" t="s">
        <v>2640</v>
      </c>
      <c r="H3487" s="199" t="s">
        <v>5850</v>
      </c>
      <c r="I3487" s="93" t="s">
        <v>2802</v>
      </c>
      <c r="J3487" s="148" t="s">
        <v>63</v>
      </c>
      <c r="K3487" s="185" t="s">
        <v>64</v>
      </c>
      <c r="L3487" s="148" t="s">
        <v>65</v>
      </c>
      <c r="M3487" s="185" t="s">
        <v>66</v>
      </c>
      <c r="N3487" s="214">
        <v>46177.0</v>
      </c>
      <c r="O3487" s="148" t="s">
        <v>67</v>
      </c>
      <c r="P3487" s="103" t="s">
        <v>68</v>
      </c>
      <c r="Q3487" s="103"/>
      <c r="R3487" s="103"/>
      <c r="S3487" s="103"/>
      <c r="T3487" s="103"/>
      <c r="U3487" s="148" t="s">
        <v>28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1">
        <v>3482.0</v>
      </c>
      <c r="B3488" s="180" t="s">
        <v>5851</v>
      </c>
      <c r="C3488" s="82" t="str">
        <f>VLOOKUP($B$7:$B$5000,SUM!$L$6:$L$500,1,FALSE)</f>
        <v>#N/A</v>
      </c>
      <c r="D3488" s="216" t="s">
        <v>5770</v>
      </c>
      <c r="E3488" s="198" t="s">
        <v>58</v>
      </c>
      <c r="F3488" s="199" t="s">
        <v>4430</v>
      </c>
      <c r="G3488" s="191" t="s">
        <v>2640</v>
      </c>
      <c r="H3488" s="199" t="s">
        <v>5852</v>
      </c>
      <c r="I3488" s="93" t="s">
        <v>2802</v>
      </c>
      <c r="J3488" s="148" t="s">
        <v>63</v>
      </c>
      <c r="K3488" s="185" t="s">
        <v>64</v>
      </c>
      <c r="L3488" s="148" t="s">
        <v>65</v>
      </c>
      <c r="M3488" s="185" t="s">
        <v>66</v>
      </c>
      <c r="N3488" s="214">
        <v>46177.0</v>
      </c>
      <c r="O3488" s="148" t="s">
        <v>67</v>
      </c>
      <c r="P3488" s="103" t="s">
        <v>68</v>
      </c>
      <c r="Q3488" s="103"/>
      <c r="R3488" s="103"/>
      <c r="S3488" s="103"/>
      <c r="T3488" s="103"/>
      <c r="U3488" s="148" t="s">
        <v>28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1">
        <v>3483.0</v>
      </c>
      <c r="B3489" s="180" t="s">
        <v>5853</v>
      </c>
      <c r="C3489" s="82" t="str">
        <f>VLOOKUP($B$7:$B$5000,SUM!$L$6:$L$500,1,FALSE)</f>
        <v>#N/A</v>
      </c>
      <c r="D3489" s="216" t="s">
        <v>5770</v>
      </c>
      <c r="E3489" s="198" t="s">
        <v>58</v>
      </c>
      <c r="F3489" s="199" t="s">
        <v>4430</v>
      </c>
      <c r="G3489" s="191" t="s">
        <v>2640</v>
      </c>
      <c r="H3489" s="199" t="s">
        <v>5854</v>
      </c>
      <c r="I3489" s="93" t="s">
        <v>2802</v>
      </c>
      <c r="J3489" s="148" t="s">
        <v>63</v>
      </c>
      <c r="K3489" s="185" t="s">
        <v>64</v>
      </c>
      <c r="L3489" s="148" t="s">
        <v>65</v>
      </c>
      <c r="M3489" s="185" t="s">
        <v>66</v>
      </c>
      <c r="N3489" s="214">
        <v>46177.0</v>
      </c>
      <c r="O3489" s="148" t="s">
        <v>67</v>
      </c>
      <c r="P3489" s="103" t="s">
        <v>68</v>
      </c>
      <c r="Q3489" s="103"/>
      <c r="R3489" s="103"/>
      <c r="S3489" s="103"/>
      <c r="T3489" s="103"/>
      <c r="U3489" s="148" t="s">
        <v>28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1">
        <v>3484.0</v>
      </c>
      <c r="B3490" s="180" t="s">
        <v>5855</v>
      </c>
      <c r="C3490" s="82" t="str">
        <f>VLOOKUP($B$7:$B$5000,SUM!$L$6:$L$500,1,FALSE)</f>
        <v>#N/A</v>
      </c>
      <c r="D3490" s="216" t="s">
        <v>5770</v>
      </c>
      <c r="E3490" s="198" t="s">
        <v>58</v>
      </c>
      <c r="F3490" s="199" t="s">
        <v>4430</v>
      </c>
      <c r="G3490" s="191" t="s">
        <v>2640</v>
      </c>
      <c r="H3490" s="199" t="s">
        <v>5856</v>
      </c>
      <c r="I3490" s="93" t="s">
        <v>2802</v>
      </c>
      <c r="J3490" s="148" t="s">
        <v>63</v>
      </c>
      <c r="K3490" s="185" t="s">
        <v>64</v>
      </c>
      <c r="L3490" s="148" t="s">
        <v>65</v>
      </c>
      <c r="M3490" s="185" t="s">
        <v>66</v>
      </c>
      <c r="N3490" s="214">
        <v>46177.0</v>
      </c>
      <c r="O3490" s="148" t="s">
        <v>67</v>
      </c>
      <c r="P3490" s="103" t="s">
        <v>68</v>
      </c>
      <c r="Q3490" s="103"/>
      <c r="R3490" s="103"/>
      <c r="S3490" s="103"/>
      <c r="T3490" s="103"/>
      <c r="U3490" s="148" t="s">
        <v>28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1">
        <v>3485.0</v>
      </c>
      <c r="B3491" s="180" t="s">
        <v>5857</v>
      </c>
      <c r="C3491" s="82" t="str">
        <f>VLOOKUP($B$7:$B$5000,SUM!$L$6:$L$500,1,FALSE)</f>
        <v>#N/A</v>
      </c>
      <c r="D3491" s="216" t="s">
        <v>5770</v>
      </c>
      <c r="E3491" s="198" t="s">
        <v>58</v>
      </c>
      <c r="F3491" s="199" t="s">
        <v>4430</v>
      </c>
      <c r="G3491" s="191" t="s">
        <v>2640</v>
      </c>
      <c r="H3491" s="199" t="s">
        <v>5858</v>
      </c>
      <c r="I3491" s="93" t="s">
        <v>2802</v>
      </c>
      <c r="J3491" s="148" t="s">
        <v>63</v>
      </c>
      <c r="K3491" s="185" t="s">
        <v>64</v>
      </c>
      <c r="L3491" s="148" t="s">
        <v>65</v>
      </c>
      <c r="M3491" s="185" t="s">
        <v>66</v>
      </c>
      <c r="N3491" s="214">
        <v>46177.0</v>
      </c>
      <c r="O3491" s="148" t="s">
        <v>67</v>
      </c>
      <c r="P3491" s="103" t="s">
        <v>68</v>
      </c>
      <c r="Q3491" s="103"/>
      <c r="R3491" s="103"/>
      <c r="S3491" s="103"/>
      <c r="T3491" s="103"/>
      <c r="U3491" s="148" t="s">
        <v>28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1">
        <v>3486.0</v>
      </c>
      <c r="B3492" s="180" t="s">
        <v>5859</v>
      </c>
      <c r="C3492" s="82" t="str">
        <f>VLOOKUP($B$7:$B$5000,SUM!$L$6:$L$500,1,FALSE)</f>
        <v>#N/A</v>
      </c>
      <c r="D3492" s="216" t="s">
        <v>5770</v>
      </c>
      <c r="E3492" s="198" t="s">
        <v>58</v>
      </c>
      <c r="F3492" s="199" t="s">
        <v>4430</v>
      </c>
      <c r="G3492" s="191" t="s">
        <v>2640</v>
      </c>
      <c r="H3492" s="199" t="s">
        <v>5860</v>
      </c>
      <c r="I3492" s="93" t="s">
        <v>2802</v>
      </c>
      <c r="J3492" s="148" t="s">
        <v>63</v>
      </c>
      <c r="K3492" s="185" t="s">
        <v>64</v>
      </c>
      <c r="L3492" s="148" t="s">
        <v>65</v>
      </c>
      <c r="M3492" s="185" t="s">
        <v>66</v>
      </c>
      <c r="N3492" s="214">
        <v>46177.0</v>
      </c>
      <c r="O3492" s="148" t="s">
        <v>67</v>
      </c>
      <c r="P3492" s="103" t="s">
        <v>68</v>
      </c>
      <c r="Q3492" s="103"/>
      <c r="R3492" s="103"/>
      <c r="S3492" s="103"/>
      <c r="T3492" s="103"/>
      <c r="U3492" s="148" t="s">
        <v>28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1">
        <v>3487.0</v>
      </c>
      <c r="B3493" s="180" t="s">
        <v>5861</v>
      </c>
      <c r="C3493" s="82" t="str">
        <f>VLOOKUP($B$7:$B$5000,SUM!$L$6:$L$500,1,FALSE)</f>
        <v>#N/A</v>
      </c>
      <c r="D3493" s="216" t="s">
        <v>5770</v>
      </c>
      <c r="E3493" s="198" t="s">
        <v>58</v>
      </c>
      <c r="F3493" s="199" t="s">
        <v>4430</v>
      </c>
      <c r="G3493" s="191" t="s">
        <v>2640</v>
      </c>
      <c r="H3493" s="199" t="s">
        <v>5862</v>
      </c>
      <c r="I3493" s="93" t="s">
        <v>2802</v>
      </c>
      <c r="J3493" s="148" t="s">
        <v>63</v>
      </c>
      <c r="K3493" s="185" t="s">
        <v>64</v>
      </c>
      <c r="L3493" s="148" t="s">
        <v>65</v>
      </c>
      <c r="M3493" s="185" t="s">
        <v>66</v>
      </c>
      <c r="N3493" s="214">
        <v>46177.0</v>
      </c>
      <c r="O3493" s="148" t="s">
        <v>67</v>
      </c>
      <c r="P3493" s="103" t="s">
        <v>68</v>
      </c>
      <c r="Q3493" s="103"/>
      <c r="R3493" s="103"/>
      <c r="S3493" s="103"/>
      <c r="T3493" s="103"/>
      <c r="U3493" s="148" t="s">
        <v>28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1">
        <v>3488.0</v>
      </c>
      <c r="B3494" s="180" t="s">
        <v>5863</v>
      </c>
      <c r="C3494" s="82" t="str">
        <f>VLOOKUP($B$7:$B$5000,SUM!$L$6:$L$500,1,FALSE)</f>
        <v>#N/A</v>
      </c>
      <c r="D3494" s="216" t="s">
        <v>5770</v>
      </c>
      <c r="E3494" s="198" t="s">
        <v>58</v>
      </c>
      <c r="F3494" s="199" t="s">
        <v>4430</v>
      </c>
      <c r="G3494" s="191" t="s">
        <v>2640</v>
      </c>
      <c r="H3494" s="199" t="s">
        <v>5864</v>
      </c>
      <c r="I3494" s="93" t="s">
        <v>2802</v>
      </c>
      <c r="J3494" s="148" t="s">
        <v>63</v>
      </c>
      <c r="K3494" s="185" t="s">
        <v>64</v>
      </c>
      <c r="L3494" s="148" t="s">
        <v>65</v>
      </c>
      <c r="M3494" s="185" t="s">
        <v>66</v>
      </c>
      <c r="N3494" s="214">
        <v>46177.0</v>
      </c>
      <c r="O3494" s="148" t="s">
        <v>67</v>
      </c>
      <c r="P3494" s="103" t="s">
        <v>68</v>
      </c>
      <c r="Q3494" s="103"/>
      <c r="R3494" s="103"/>
      <c r="S3494" s="103"/>
      <c r="T3494" s="103"/>
      <c r="U3494" s="148" t="s">
        <v>28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1">
        <v>3489.0</v>
      </c>
      <c r="B3495" s="180" t="s">
        <v>5865</v>
      </c>
      <c r="C3495" s="82" t="str">
        <f>VLOOKUP($B$7:$B$5000,SUM!$L$6:$L$500,1,FALSE)</f>
        <v>#N/A</v>
      </c>
      <c r="D3495" s="216" t="s">
        <v>5770</v>
      </c>
      <c r="E3495" s="198" t="s">
        <v>58</v>
      </c>
      <c r="F3495" s="199" t="s">
        <v>4430</v>
      </c>
      <c r="G3495" s="191" t="s">
        <v>2640</v>
      </c>
      <c r="H3495" s="199" t="s">
        <v>5866</v>
      </c>
      <c r="I3495" s="93" t="s">
        <v>2802</v>
      </c>
      <c r="J3495" s="148" t="s">
        <v>63</v>
      </c>
      <c r="K3495" s="185" t="s">
        <v>64</v>
      </c>
      <c r="L3495" s="148" t="s">
        <v>65</v>
      </c>
      <c r="M3495" s="185" t="s">
        <v>66</v>
      </c>
      <c r="N3495" s="214">
        <v>46177.0</v>
      </c>
      <c r="O3495" s="148" t="s">
        <v>67</v>
      </c>
      <c r="P3495" s="103" t="s">
        <v>68</v>
      </c>
      <c r="Q3495" s="103"/>
      <c r="R3495" s="103"/>
      <c r="S3495" s="103"/>
      <c r="T3495" s="103"/>
      <c r="U3495" s="148" t="s">
        <v>28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1">
        <v>3490.0</v>
      </c>
      <c r="B3496" s="180" t="s">
        <v>5867</v>
      </c>
      <c r="C3496" s="82" t="str">
        <f>VLOOKUP($B$7:$B$5000,SUM!$L$6:$L$500,1,FALSE)</f>
        <v>#N/A</v>
      </c>
      <c r="D3496" s="216" t="s">
        <v>5770</v>
      </c>
      <c r="E3496" s="198" t="s">
        <v>58</v>
      </c>
      <c r="F3496" s="199" t="s">
        <v>4430</v>
      </c>
      <c r="G3496" s="191" t="s">
        <v>5783</v>
      </c>
      <c r="H3496" s="199" t="s">
        <v>5868</v>
      </c>
      <c r="I3496" s="93" t="s">
        <v>2802</v>
      </c>
      <c r="J3496" s="148" t="s">
        <v>63</v>
      </c>
      <c r="K3496" s="185" t="s">
        <v>64</v>
      </c>
      <c r="L3496" s="148" t="s">
        <v>65</v>
      </c>
      <c r="M3496" s="185" t="s">
        <v>66</v>
      </c>
      <c r="N3496" s="214">
        <v>46177.0</v>
      </c>
      <c r="O3496" s="148" t="s">
        <v>67</v>
      </c>
      <c r="P3496" s="103" t="s">
        <v>68</v>
      </c>
      <c r="Q3496" s="103"/>
      <c r="R3496" s="103"/>
      <c r="S3496" s="103"/>
      <c r="T3496" s="103"/>
      <c r="U3496" s="148" t="s">
        <v>28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1">
        <v>3491.0</v>
      </c>
      <c r="B3497" s="180" t="s">
        <v>5869</v>
      </c>
      <c r="C3497" s="82" t="str">
        <f>VLOOKUP($B$7:$B$5000,SUM!$L$6:$L$500,1,FALSE)</f>
        <v>#N/A</v>
      </c>
      <c r="D3497" s="216" t="s">
        <v>5770</v>
      </c>
      <c r="E3497" s="198" t="s">
        <v>58</v>
      </c>
      <c r="F3497" s="199" t="s">
        <v>4430</v>
      </c>
      <c r="G3497" s="191" t="s">
        <v>5783</v>
      </c>
      <c r="H3497" s="199" t="s">
        <v>5870</v>
      </c>
      <c r="I3497" s="93" t="s">
        <v>2802</v>
      </c>
      <c r="J3497" s="148" t="s">
        <v>63</v>
      </c>
      <c r="K3497" s="185" t="s">
        <v>64</v>
      </c>
      <c r="L3497" s="148" t="s">
        <v>65</v>
      </c>
      <c r="M3497" s="185" t="s">
        <v>66</v>
      </c>
      <c r="N3497" s="214">
        <v>46177.0</v>
      </c>
      <c r="O3497" s="148" t="s">
        <v>67</v>
      </c>
      <c r="P3497" s="103" t="s">
        <v>68</v>
      </c>
      <c r="Q3497" s="103"/>
      <c r="R3497" s="103"/>
      <c r="S3497" s="103"/>
      <c r="T3497" s="103"/>
      <c r="U3497" s="148" t="s">
        <v>28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1">
        <v>3492.0</v>
      </c>
      <c r="B3498" s="180" t="s">
        <v>5871</v>
      </c>
      <c r="C3498" s="82" t="str">
        <f>VLOOKUP($B$7:$B$5000,SUM!$L$6:$L$500,1,FALSE)</f>
        <v>#N/A</v>
      </c>
      <c r="D3498" s="216" t="s">
        <v>5770</v>
      </c>
      <c r="E3498" s="198" t="s">
        <v>58</v>
      </c>
      <c r="F3498" s="199" t="s">
        <v>4430</v>
      </c>
      <c r="G3498" s="191" t="s">
        <v>5783</v>
      </c>
      <c r="H3498" s="199" t="s">
        <v>5872</v>
      </c>
      <c r="I3498" s="93" t="s">
        <v>2802</v>
      </c>
      <c r="J3498" s="148" t="s">
        <v>63</v>
      </c>
      <c r="K3498" s="185" t="s">
        <v>64</v>
      </c>
      <c r="L3498" s="148" t="s">
        <v>65</v>
      </c>
      <c r="M3498" s="185" t="s">
        <v>66</v>
      </c>
      <c r="N3498" s="214">
        <v>46177.0</v>
      </c>
      <c r="O3498" s="148" t="s">
        <v>67</v>
      </c>
      <c r="P3498" s="103" t="s">
        <v>68</v>
      </c>
      <c r="Q3498" s="103"/>
      <c r="R3498" s="103"/>
      <c r="S3498" s="103"/>
      <c r="T3498" s="103"/>
      <c r="U3498" s="148" t="s">
        <v>28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1">
        <v>3493.0</v>
      </c>
      <c r="B3499" s="180" t="s">
        <v>5873</v>
      </c>
      <c r="C3499" s="82" t="str">
        <f>VLOOKUP($B$7:$B$5000,SUM!$L$6:$L$500,1,FALSE)</f>
        <v>#N/A</v>
      </c>
      <c r="D3499" s="216" t="s">
        <v>5770</v>
      </c>
      <c r="E3499" s="198" t="s">
        <v>58</v>
      </c>
      <c r="F3499" s="199" t="s">
        <v>4430</v>
      </c>
      <c r="G3499" s="191" t="s">
        <v>5783</v>
      </c>
      <c r="H3499" s="199" t="s">
        <v>5874</v>
      </c>
      <c r="I3499" s="93" t="s">
        <v>2802</v>
      </c>
      <c r="J3499" s="148" t="s">
        <v>63</v>
      </c>
      <c r="K3499" s="185" t="s">
        <v>64</v>
      </c>
      <c r="L3499" s="148" t="s">
        <v>65</v>
      </c>
      <c r="M3499" s="185" t="s">
        <v>66</v>
      </c>
      <c r="N3499" s="214">
        <v>46177.0</v>
      </c>
      <c r="O3499" s="148" t="s">
        <v>67</v>
      </c>
      <c r="P3499" s="103" t="s">
        <v>68</v>
      </c>
      <c r="Q3499" s="103"/>
      <c r="R3499" s="103"/>
      <c r="S3499" s="103"/>
      <c r="T3499" s="103"/>
      <c r="U3499" s="148" t="s">
        <v>28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1">
        <v>3494.0</v>
      </c>
      <c r="B3500" s="180" t="s">
        <v>5875</v>
      </c>
      <c r="C3500" s="82" t="str">
        <f>VLOOKUP($B$7:$B$5000,SUM!$L$6:$L$500,1,FALSE)</f>
        <v>#N/A</v>
      </c>
      <c r="D3500" s="216" t="s">
        <v>5770</v>
      </c>
      <c r="E3500" s="198" t="s">
        <v>58</v>
      </c>
      <c r="F3500" s="199" t="s">
        <v>4430</v>
      </c>
      <c r="G3500" s="191" t="s">
        <v>5783</v>
      </c>
      <c r="H3500" s="199" t="s">
        <v>5876</v>
      </c>
      <c r="I3500" s="93" t="s">
        <v>2802</v>
      </c>
      <c r="J3500" s="148" t="s">
        <v>63</v>
      </c>
      <c r="K3500" s="185" t="s">
        <v>64</v>
      </c>
      <c r="L3500" s="148" t="s">
        <v>65</v>
      </c>
      <c r="M3500" s="185" t="s">
        <v>66</v>
      </c>
      <c r="N3500" s="214">
        <v>46177.0</v>
      </c>
      <c r="O3500" s="148" t="s">
        <v>67</v>
      </c>
      <c r="P3500" s="103" t="s">
        <v>68</v>
      </c>
      <c r="Q3500" s="103"/>
      <c r="R3500" s="103"/>
      <c r="S3500" s="103"/>
      <c r="T3500" s="103"/>
      <c r="U3500" s="148" t="s">
        <v>28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1">
        <v>3495.0</v>
      </c>
      <c r="B3501" s="180" t="s">
        <v>5877</v>
      </c>
      <c r="C3501" s="82" t="str">
        <f>VLOOKUP($B$7:$B$5000,SUM!$L$6:$L$500,1,FALSE)</f>
        <v>#N/A</v>
      </c>
      <c r="D3501" s="216" t="s">
        <v>5770</v>
      </c>
      <c r="E3501" s="198" t="s">
        <v>58</v>
      </c>
      <c r="F3501" s="199" t="s">
        <v>4430</v>
      </c>
      <c r="G3501" s="191" t="s">
        <v>5783</v>
      </c>
      <c r="H3501" s="199" t="s">
        <v>5878</v>
      </c>
      <c r="I3501" s="93" t="s">
        <v>2802</v>
      </c>
      <c r="J3501" s="148" t="s">
        <v>63</v>
      </c>
      <c r="K3501" s="185" t="s">
        <v>64</v>
      </c>
      <c r="L3501" s="148" t="s">
        <v>65</v>
      </c>
      <c r="M3501" s="185" t="s">
        <v>66</v>
      </c>
      <c r="N3501" s="214">
        <v>46177.0</v>
      </c>
      <c r="O3501" s="148" t="s">
        <v>67</v>
      </c>
      <c r="P3501" s="103" t="s">
        <v>68</v>
      </c>
      <c r="Q3501" s="103"/>
      <c r="R3501" s="103"/>
      <c r="S3501" s="103"/>
      <c r="T3501" s="103"/>
      <c r="U3501" s="148" t="s">
        <v>28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1">
        <v>3496.0</v>
      </c>
      <c r="B3502" s="180" t="s">
        <v>5879</v>
      </c>
      <c r="C3502" s="82" t="str">
        <f>VLOOKUP($B$7:$B$5000,SUM!$L$6:$L$500,1,FALSE)</f>
        <v>#N/A</v>
      </c>
      <c r="D3502" s="216" t="s">
        <v>5770</v>
      </c>
      <c r="E3502" s="198" t="s">
        <v>58</v>
      </c>
      <c r="F3502" s="199" t="s">
        <v>4430</v>
      </c>
      <c r="G3502" s="191" t="s">
        <v>5783</v>
      </c>
      <c r="H3502" s="199" t="s">
        <v>5880</v>
      </c>
      <c r="I3502" s="93" t="s">
        <v>2802</v>
      </c>
      <c r="J3502" s="148" t="s">
        <v>63</v>
      </c>
      <c r="K3502" s="185" t="s">
        <v>64</v>
      </c>
      <c r="L3502" s="148" t="s">
        <v>65</v>
      </c>
      <c r="M3502" s="185" t="s">
        <v>66</v>
      </c>
      <c r="N3502" s="214">
        <v>46177.0</v>
      </c>
      <c r="O3502" s="148" t="s">
        <v>67</v>
      </c>
      <c r="P3502" s="103" t="s">
        <v>68</v>
      </c>
      <c r="Q3502" s="103"/>
      <c r="R3502" s="103"/>
      <c r="S3502" s="103"/>
      <c r="T3502" s="103"/>
      <c r="U3502" s="148" t="s">
        <v>28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1">
        <v>3497.0</v>
      </c>
      <c r="B3503" s="180" t="s">
        <v>5881</v>
      </c>
      <c r="C3503" s="82" t="str">
        <f>VLOOKUP($B$7:$B$5000,SUM!$L$6:$L$500,1,FALSE)</f>
        <v>#N/A</v>
      </c>
      <c r="D3503" s="216" t="s">
        <v>5770</v>
      </c>
      <c r="E3503" s="198" t="s">
        <v>58</v>
      </c>
      <c r="F3503" s="199" t="s">
        <v>4430</v>
      </c>
      <c r="G3503" s="191" t="s">
        <v>5882</v>
      </c>
      <c r="H3503" s="199" t="s">
        <v>5883</v>
      </c>
      <c r="I3503" s="93" t="s">
        <v>2802</v>
      </c>
      <c r="J3503" s="148" t="s">
        <v>63</v>
      </c>
      <c r="K3503" s="185" t="s">
        <v>64</v>
      </c>
      <c r="L3503" s="148" t="s">
        <v>65</v>
      </c>
      <c r="M3503" s="185" t="s">
        <v>66</v>
      </c>
      <c r="N3503" s="214">
        <v>46177.0</v>
      </c>
      <c r="O3503" s="148" t="s">
        <v>67</v>
      </c>
      <c r="P3503" s="103" t="s">
        <v>68</v>
      </c>
      <c r="Q3503" s="103"/>
      <c r="R3503" s="103"/>
      <c r="S3503" s="103"/>
      <c r="T3503" s="103"/>
      <c r="U3503" s="148" t="s">
        <v>28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1">
        <v>3498.0</v>
      </c>
      <c r="B3504" s="180" t="s">
        <v>5884</v>
      </c>
      <c r="C3504" s="82" t="str">
        <f>VLOOKUP($B$7:$B$5000,SUM!$L$6:$L$500,1,FALSE)</f>
        <v>#N/A</v>
      </c>
      <c r="D3504" s="216" t="s">
        <v>5770</v>
      </c>
      <c r="E3504" s="198" t="s">
        <v>58</v>
      </c>
      <c r="F3504" s="199" t="s">
        <v>4430</v>
      </c>
      <c r="G3504" s="191" t="s">
        <v>5882</v>
      </c>
      <c r="H3504" s="199" t="s">
        <v>5885</v>
      </c>
      <c r="I3504" s="93" t="s">
        <v>2802</v>
      </c>
      <c r="J3504" s="148" t="s">
        <v>63</v>
      </c>
      <c r="K3504" s="185" t="s">
        <v>64</v>
      </c>
      <c r="L3504" s="148" t="s">
        <v>65</v>
      </c>
      <c r="M3504" s="185" t="s">
        <v>66</v>
      </c>
      <c r="N3504" s="214">
        <v>46177.0</v>
      </c>
      <c r="O3504" s="148" t="s">
        <v>67</v>
      </c>
      <c r="P3504" s="103" t="s">
        <v>68</v>
      </c>
      <c r="Q3504" s="103"/>
      <c r="R3504" s="103"/>
      <c r="S3504" s="103"/>
      <c r="T3504" s="103"/>
      <c r="U3504" s="148" t="s">
        <v>28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1">
        <v>3499.0</v>
      </c>
      <c r="B3505" s="180" t="s">
        <v>5886</v>
      </c>
      <c r="C3505" s="82" t="str">
        <f>VLOOKUP($B$7:$B$5000,SUM!$L$6:$L$500,1,FALSE)</f>
        <v>#N/A</v>
      </c>
      <c r="D3505" s="216" t="s">
        <v>5770</v>
      </c>
      <c r="E3505" s="198" t="s">
        <v>58</v>
      </c>
      <c r="F3505" s="199" t="s">
        <v>4430</v>
      </c>
      <c r="G3505" s="191" t="s">
        <v>5882</v>
      </c>
      <c r="H3505" s="199" t="s">
        <v>5887</v>
      </c>
      <c r="I3505" s="93" t="s">
        <v>2802</v>
      </c>
      <c r="J3505" s="148" t="s">
        <v>63</v>
      </c>
      <c r="K3505" s="185" t="s">
        <v>64</v>
      </c>
      <c r="L3505" s="148" t="s">
        <v>65</v>
      </c>
      <c r="M3505" s="185" t="s">
        <v>66</v>
      </c>
      <c r="N3505" s="214">
        <v>46177.0</v>
      </c>
      <c r="O3505" s="148" t="s">
        <v>67</v>
      </c>
      <c r="P3505" s="103" t="s">
        <v>68</v>
      </c>
      <c r="Q3505" s="103"/>
      <c r="R3505" s="103"/>
      <c r="S3505" s="103"/>
      <c r="T3505" s="103"/>
      <c r="U3505" s="148" t="s">
        <v>28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1">
        <v>3500.0</v>
      </c>
      <c r="B3506" s="180" t="s">
        <v>5888</v>
      </c>
      <c r="C3506" s="82" t="str">
        <f>VLOOKUP($B$7:$B$5000,SUM!$L$6:$L$500,1,FALSE)</f>
        <v>#N/A</v>
      </c>
      <c r="D3506" s="216" t="s">
        <v>5770</v>
      </c>
      <c r="E3506" s="198" t="s">
        <v>58</v>
      </c>
      <c r="F3506" s="199" t="s">
        <v>4430</v>
      </c>
      <c r="G3506" s="191" t="s">
        <v>5882</v>
      </c>
      <c r="H3506" s="199" t="s">
        <v>5889</v>
      </c>
      <c r="I3506" s="93" t="s">
        <v>2802</v>
      </c>
      <c r="J3506" s="148" t="s">
        <v>63</v>
      </c>
      <c r="K3506" s="185" t="s">
        <v>64</v>
      </c>
      <c r="L3506" s="148" t="s">
        <v>65</v>
      </c>
      <c r="M3506" s="185" t="s">
        <v>66</v>
      </c>
      <c r="N3506" s="214">
        <v>46177.0</v>
      </c>
      <c r="O3506" s="148" t="s">
        <v>67</v>
      </c>
      <c r="P3506" s="103" t="s">
        <v>68</v>
      </c>
      <c r="Q3506" s="103"/>
      <c r="R3506" s="103"/>
      <c r="S3506" s="103"/>
      <c r="T3506" s="103"/>
      <c r="U3506" s="148" t="s">
        <v>28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1">
        <v>3501.0</v>
      </c>
      <c r="B3507" s="180" t="s">
        <v>5890</v>
      </c>
      <c r="C3507" s="82" t="str">
        <f>VLOOKUP($B$7:$B$5000,SUM!$L$6:$L$500,1,FALSE)</f>
        <v>#N/A</v>
      </c>
      <c r="D3507" s="219" t="s">
        <v>5891</v>
      </c>
      <c r="E3507" s="198" t="s">
        <v>58</v>
      </c>
      <c r="F3507" s="199" t="s">
        <v>4099</v>
      </c>
      <c r="G3507" s="191" t="s">
        <v>4956</v>
      </c>
      <c r="H3507" s="199" t="s">
        <v>5892</v>
      </c>
      <c r="I3507" s="220" t="s">
        <v>5893</v>
      </c>
      <c r="J3507" s="148" t="s">
        <v>63</v>
      </c>
      <c r="K3507" s="148" t="s">
        <v>64</v>
      </c>
      <c r="L3507" s="148" t="s">
        <v>65</v>
      </c>
      <c r="M3507" s="148" t="s">
        <v>66</v>
      </c>
      <c r="N3507" s="212">
        <v>46178.0</v>
      </c>
      <c r="O3507" s="148" t="s">
        <v>67</v>
      </c>
      <c r="P3507" s="148" t="s">
        <v>68</v>
      </c>
      <c r="Q3507" s="103"/>
      <c r="R3507" s="103"/>
      <c r="S3507" s="103"/>
      <c r="T3507" s="103"/>
      <c r="U3507" s="148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1">
        <v>3502.0</v>
      </c>
      <c r="B3508" s="180" t="s">
        <v>5894</v>
      </c>
      <c r="C3508" s="82" t="str">
        <f>VLOOKUP($B$7:$B$5000,SUM!$L$6:$L$500,1,FALSE)</f>
        <v>#N/A</v>
      </c>
      <c r="D3508" s="190" t="s">
        <v>5891</v>
      </c>
      <c r="E3508" s="198" t="s">
        <v>58</v>
      </c>
      <c r="F3508" s="199" t="s">
        <v>4099</v>
      </c>
      <c r="G3508" s="191" t="s">
        <v>4956</v>
      </c>
      <c r="H3508" s="199" t="s">
        <v>5895</v>
      </c>
      <c r="I3508" s="197" t="s">
        <v>5893</v>
      </c>
      <c r="J3508" s="148" t="s">
        <v>63</v>
      </c>
      <c r="K3508" s="148" t="s">
        <v>64</v>
      </c>
      <c r="L3508" s="148" t="s">
        <v>65</v>
      </c>
      <c r="M3508" s="148" t="s">
        <v>66</v>
      </c>
      <c r="N3508" s="212">
        <v>46178.0</v>
      </c>
      <c r="O3508" s="148" t="s">
        <v>67</v>
      </c>
      <c r="P3508" s="148" t="s">
        <v>68</v>
      </c>
      <c r="Q3508" s="103"/>
      <c r="R3508" s="103"/>
      <c r="S3508" s="103"/>
      <c r="T3508" s="103"/>
      <c r="U3508" s="148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1">
        <v>3503.0</v>
      </c>
      <c r="B3509" s="180" t="s">
        <v>5896</v>
      </c>
      <c r="C3509" s="82" t="str">
        <f>VLOOKUP($B$7:$B$5000,SUM!$L$6:$L$500,1,FALSE)</f>
        <v>#N/A</v>
      </c>
      <c r="D3509" s="190" t="s">
        <v>5891</v>
      </c>
      <c r="E3509" s="198" t="s">
        <v>58</v>
      </c>
      <c r="F3509" s="199" t="s">
        <v>4099</v>
      </c>
      <c r="G3509" s="191" t="s">
        <v>4956</v>
      </c>
      <c r="H3509" s="199" t="s">
        <v>5897</v>
      </c>
      <c r="I3509" s="197" t="s">
        <v>5893</v>
      </c>
      <c r="J3509" s="148" t="s">
        <v>63</v>
      </c>
      <c r="K3509" s="148" t="s">
        <v>64</v>
      </c>
      <c r="L3509" s="148" t="s">
        <v>65</v>
      </c>
      <c r="M3509" s="148" t="s">
        <v>66</v>
      </c>
      <c r="N3509" s="212">
        <v>46178.0</v>
      </c>
      <c r="O3509" s="148" t="s">
        <v>67</v>
      </c>
      <c r="P3509" s="148" t="s">
        <v>68</v>
      </c>
      <c r="Q3509" s="103"/>
      <c r="R3509" s="103"/>
      <c r="S3509" s="103"/>
      <c r="T3509" s="103"/>
      <c r="U3509" s="148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1">
        <v>3504.0</v>
      </c>
      <c r="B3510" s="180" t="s">
        <v>5898</v>
      </c>
      <c r="C3510" s="82" t="str">
        <f>VLOOKUP($B$7:$B$5000,SUM!$L$6:$L$500,1,FALSE)</f>
        <v>#N/A</v>
      </c>
      <c r="D3510" s="190" t="s">
        <v>5891</v>
      </c>
      <c r="E3510" s="198" t="s">
        <v>58</v>
      </c>
      <c r="F3510" s="199" t="s">
        <v>4099</v>
      </c>
      <c r="G3510" s="191" t="s">
        <v>4956</v>
      </c>
      <c r="H3510" s="199" t="s">
        <v>5899</v>
      </c>
      <c r="I3510" s="197" t="s">
        <v>5893</v>
      </c>
      <c r="J3510" s="148" t="s">
        <v>63</v>
      </c>
      <c r="K3510" s="148" t="s">
        <v>64</v>
      </c>
      <c r="L3510" s="148" t="s">
        <v>65</v>
      </c>
      <c r="M3510" s="148" t="s">
        <v>66</v>
      </c>
      <c r="N3510" s="212">
        <v>46178.0</v>
      </c>
      <c r="O3510" s="148" t="s">
        <v>67</v>
      </c>
      <c r="P3510" s="148" t="s">
        <v>68</v>
      </c>
      <c r="Q3510" s="103"/>
      <c r="R3510" s="103"/>
      <c r="S3510" s="103"/>
      <c r="T3510" s="103"/>
      <c r="U3510" s="148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1">
        <v>3505.0</v>
      </c>
      <c r="B3511" s="180" t="s">
        <v>5900</v>
      </c>
      <c r="C3511" s="82" t="str">
        <f>VLOOKUP($B$7:$B$5000,SUM!$L$6:$L$500,1,FALSE)</f>
        <v>#N/A</v>
      </c>
      <c r="D3511" s="190" t="s">
        <v>5891</v>
      </c>
      <c r="E3511" s="198" t="s">
        <v>58</v>
      </c>
      <c r="F3511" s="199" t="s">
        <v>4099</v>
      </c>
      <c r="G3511" s="191" t="s">
        <v>4956</v>
      </c>
      <c r="H3511" s="199" t="s">
        <v>5901</v>
      </c>
      <c r="I3511" s="197" t="s">
        <v>5893</v>
      </c>
      <c r="J3511" s="148" t="s">
        <v>63</v>
      </c>
      <c r="K3511" s="148" t="s">
        <v>64</v>
      </c>
      <c r="L3511" s="148" t="s">
        <v>65</v>
      </c>
      <c r="M3511" s="148" t="s">
        <v>66</v>
      </c>
      <c r="N3511" s="212">
        <v>46178.0</v>
      </c>
      <c r="O3511" s="148" t="s">
        <v>67</v>
      </c>
      <c r="P3511" s="148" t="s">
        <v>68</v>
      </c>
      <c r="Q3511" s="103"/>
      <c r="R3511" s="103"/>
      <c r="S3511" s="103"/>
      <c r="T3511" s="103"/>
      <c r="U3511" s="148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1">
        <v>3506.0</v>
      </c>
      <c r="B3512" s="180" t="s">
        <v>5902</v>
      </c>
      <c r="C3512" s="82" t="str">
        <f>VLOOKUP($B$7:$B$5000,SUM!$L$6:$L$500,1,FALSE)</f>
        <v>#N/A</v>
      </c>
      <c r="D3512" s="190" t="s">
        <v>5891</v>
      </c>
      <c r="E3512" s="198" t="s">
        <v>58</v>
      </c>
      <c r="F3512" s="199" t="s">
        <v>4099</v>
      </c>
      <c r="G3512" s="191" t="s">
        <v>4956</v>
      </c>
      <c r="H3512" s="199" t="s">
        <v>5903</v>
      </c>
      <c r="I3512" s="197" t="s">
        <v>5893</v>
      </c>
      <c r="J3512" s="148" t="s">
        <v>63</v>
      </c>
      <c r="K3512" s="148" t="s">
        <v>64</v>
      </c>
      <c r="L3512" s="148" t="s">
        <v>65</v>
      </c>
      <c r="M3512" s="148" t="s">
        <v>66</v>
      </c>
      <c r="N3512" s="212">
        <v>46178.0</v>
      </c>
      <c r="O3512" s="148" t="s">
        <v>67</v>
      </c>
      <c r="P3512" s="148" t="s">
        <v>68</v>
      </c>
      <c r="Q3512" s="103"/>
      <c r="R3512" s="103"/>
      <c r="S3512" s="103"/>
      <c r="T3512" s="103"/>
      <c r="U3512" s="148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1">
        <v>3507.0</v>
      </c>
      <c r="B3513" s="180" t="s">
        <v>5904</v>
      </c>
      <c r="C3513" s="82" t="str">
        <f>VLOOKUP($B$7:$B$5000,SUM!$L$6:$L$500,1,FALSE)</f>
        <v>#N/A</v>
      </c>
      <c r="D3513" s="190" t="s">
        <v>5891</v>
      </c>
      <c r="E3513" s="198" t="s">
        <v>58</v>
      </c>
      <c r="F3513" s="199" t="s">
        <v>4099</v>
      </c>
      <c r="G3513" s="191" t="s">
        <v>4956</v>
      </c>
      <c r="H3513" s="199" t="s">
        <v>5905</v>
      </c>
      <c r="I3513" s="197" t="s">
        <v>5893</v>
      </c>
      <c r="J3513" s="148" t="s">
        <v>63</v>
      </c>
      <c r="K3513" s="148" t="s">
        <v>64</v>
      </c>
      <c r="L3513" s="148" t="s">
        <v>65</v>
      </c>
      <c r="M3513" s="148" t="s">
        <v>66</v>
      </c>
      <c r="N3513" s="212">
        <v>46178.0</v>
      </c>
      <c r="O3513" s="148" t="s">
        <v>67</v>
      </c>
      <c r="P3513" s="148" t="s">
        <v>68</v>
      </c>
      <c r="Q3513" s="103"/>
      <c r="R3513" s="103"/>
      <c r="S3513" s="103"/>
      <c r="T3513" s="103"/>
      <c r="U3513" s="148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1">
        <v>3508.0</v>
      </c>
      <c r="B3514" s="180" t="s">
        <v>5906</v>
      </c>
      <c r="C3514" s="82" t="str">
        <f>VLOOKUP($B$7:$B$5000,SUM!$L$6:$L$500,1,FALSE)</f>
        <v>#N/A</v>
      </c>
      <c r="D3514" s="190" t="s">
        <v>5891</v>
      </c>
      <c r="E3514" s="198" t="s">
        <v>58</v>
      </c>
      <c r="F3514" s="199" t="s">
        <v>4099</v>
      </c>
      <c r="G3514" s="191" t="s">
        <v>4956</v>
      </c>
      <c r="H3514" s="199" t="s">
        <v>5907</v>
      </c>
      <c r="I3514" s="197" t="s">
        <v>5893</v>
      </c>
      <c r="J3514" s="148" t="s">
        <v>63</v>
      </c>
      <c r="K3514" s="148" t="s">
        <v>64</v>
      </c>
      <c r="L3514" s="148" t="s">
        <v>65</v>
      </c>
      <c r="M3514" s="148" t="s">
        <v>66</v>
      </c>
      <c r="N3514" s="212">
        <v>46178.0</v>
      </c>
      <c r="O3514" s="148" t="s">
        <v>67</v>
      </c>
      <c r="P3514" s="148" t="s">
        <v>68</v>
      </c>
      <c r="Q3514" s="103"/>
      <c r="R3514" s="103"/>
      <c r="S3514" s="103"/>
      <c r="T3514" s="103"/>
      <c r="U3514" s="148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1">
        <v>3509.0</v>
      </c>
      <c r="B3515" s="180" t="s">
        <v>5908</v>
      </c>
      <c r="C3515" s="82" t="str">
        <f>VLOOKUP($B$7:$B$5000,SUM!$L$6:$L$500,1,FALSE)</f>
        <v>#N/A</v>
      </c>
      <c r="D3515" s="190" t="s">
        <v>5891</v>
      </c>
      <c r="E3515" s="198" t="s">
        <v>58</v>
      </c>
      <c r="F3515" s="199" t="s">
        <v>4099</v>
      </c>
      <c r="G3515" s="191" t="s">
        <v>4956</v>
      </c>
      <c r="H3515" s="199" t="s">
        <v>5909</v>
      </c>
      <c r="I3515" s="197" t="s">
        <v>5893</v>
      </c>
      <c r="J3515" s="148" t="s">
        <v>63</v>
      </c>
      <c r="K3515" s="148" t="s">
        <v>64</v>
      </c>
      <c r="L3515" s="148" t="s">
        <v>65</v>
      </c>
      <c r="M3515" s="148" t="s">
        <v>66</v>
      </c>
      <c r="N3515" s="212">
        <v>46178.0</v>
      </c>
      <c r="O3515" s="148" t="s">
        <v>67</v>
      </c>
      <c r="P3515" s="148" t="s">
        <v>68</v>
      </c>
      <c r="Q3515" s="103"/>
      <c r="R3515" s="103"/>
      <c r="S3515" s="103"/>
      <c r="T3515" s="103"/>
      <c r="U3515" s="148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1">
        <v>3510.0</v>
      </c>
      <c r="B3516" s="180" t="s">
        <v>5910</v>
      </c>
      <c r="C3516" s="82" t="str">
        <f>VLOOKUP($B$7:$B$5000,SUM!$L$6:$L$500,1,FALSE)</f>
        <v>#N/A</v>
      </c>
      <c r="D3516" s="190" t="s">
        <v>5891</v>
      </c>
      <c r="E3516" s="198" t="s">
        <v>58</v>
      </c>
      <c r="F3516" s="199" t="s">
        <v>4099</v>
      </c>
      <c r="G3516" s="191" t="s">
        <v>4956</v>
      </c>
      <c r="H3516" s="199" t="s">
        <v>5911</v>
      </c>
      <c r="I3516" s="197" t="s">
        <v>5893</v>
      </c>
      <c r="J3516" s="148" t="s">
        <v>63</v>
      </c>
      <c r="K3516" s="148" t="s">
        <v>64</v>
      </c>
      <c r="L3516" s="148" t="s">
        <v>65</v>
      </c>
      <c r="M3516" s="148" t="s">
        <v>66</v>
      </c>
      <c r="N3516" s="212">
        <v>46178.0</v>
      </c>
      <c r="O3516" s="148" t="s">
        <v>67</v>
      </c>
      <c r="P3516" s="148" t="s">
        <v>68</v>
      </c>
      <c r="Q3516" s="103"/>
      <c r="R3516" s="103"/>
      <c r="S3516" s="103"/>
      <c r="T3516" s="103"/>
      <c r="U3516" s="148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1">
        <v>3511.0</v>
      </c>
      <c r="B3517" s="180" t="s">
        <v>5912</v>
      </c>
      <c r="C3517" s="82" t="str">
        <f>VLOOKUP($B$7:$B$5000,SUM!$L$6:$L$500,1,FALSE)</f>
        <v>#N/A</v>
      </c>
      <c r="D3517" s="190" t="s">
        <v>5891</v>
      </c>
      <c r="E3517" s="198" t="s">
        <v>58</v>
      </c>
      <c r="F3517" s="199" t="s">
        <v>4099</v>
      </c>
      <c r="G3517" s="191" t="s">
        <v>4956</v>
      </c>
      <c r="H3517" s="199" t="s">
        <v>5913</v>
      </c>
      <c r="I3517" s="197" t="s">
        <v>5893</v>
      </c>
      <c r="J3517" s="148" t="s">
        <v>63</v>
      </c>
      <c r="K3517" s="148" t="s">
        <v>64</v>
      </c>
      <c r="L3517" s="148" t="s">
        <v>65</v>
      </c>
      <c r="M3517" s="148" t="s">
        <v>66</v>
      </c>
      <c r="N3517" s="212">
        <v>46178.0</v>
      </c>
      <c r="O3517" s="148" t="s">
        <v>67</v>
      </c>
      <c r="P3517" s="148" t="s">
        <v>68</v>
      </c>
      <c r="Q3517" s="103"/>
      <c r="R3517" s="103"/>
      <c r="S3517" s="103"/>
      <c r="T3517" s="103"/>
      <c r="U3517" s="148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1">
        <v>3512.0</v>
      </c>
      <c r="B3518" s="180" t="s">
        <v>5914</v>
      </c>
      <c r="C3518" s="82" t="str">
        <f>VLOOKUP($B$7:$B$5000,SUM!$L$6:$L$500,1,FALSE)</f>
        <v>#N/A</v>
      </c>
      <c r="D3518" s="190" t="s">
        <v>5891</v>
      </c>
      <c r="E3518" s="198" t="s">
        <v>58</v>
      </c>
      <c r="F3518" s="199" t="s">
        <v>4099</v>
      </c>
      <c r="G3518" s="191" t="s">
        <v>4956</v>
      </c>
      <c r="H3518" s="199" t="s">
        <v>5915</v>
      </c>
      <c r="I3518" s="197" t="s">
        <v>5893</v>
      </c>
      <c r="J3518" s="148" t="s">
        <v>63</v>
      </c>
      <c r="K3518" s="148" t="s">
        <v>64</v>
      </c>
      <c r="L3518" s="148" t="s">
        <v>65</v>
      </c>
      <c r="M3518" s="148" t="s">
        <v>66</v>
      </c>
      <c r="N3518" s="212">
        <v>46178.0</v>
      </c>
      <c r="O3518" s="148" t="s">
        <v>67</v>
      </c>
      <c r="P3518" s="148" t="s">
        <v>68</v>
      </c>
      <c r="Q3518" s="103"/>
      <c r="R3518" s="103"/>
      <c r="S3518" s="103"/>
      <c r="T3518" s="103"/>
      <c r="U3518" s="148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1">
        <v>3513.0</v>
      </c>
      <c r="B3519" s="180" t="s">
        <v>5916</v>
      </c>
      <c r="C3519" s="82" t="str">
        <f>VLOOKUP($B$7:$B$5000,SUM!$L$6:$L$500,1,FALSE)</f>
        <v>#N/A</v>
      </c>
      <c r="D3519" s="190" t="s">
        <v>5891</v>
      </c>
      <c r="E3519" s="198" t="s">
        <v>58</v>
      </c>
      <c r="F3519" s="199" t="s">
        <v>4099</v>
      </c>
      <c r="G3519" s="191" t="s">
        <v>4956</v>
      </c>
      <c r="H3519" s="199" t="s">
        <v>5917</v>
      </c>
      <c r="I3519" s="197" t="s">
        <v>5893</v>
      </c>
      <c r="J3519" s="148" t="s">
        <v>63</v>
      </c>
      <c r="K3519" s="148" t="s">
        <v>64</v>
      </c>
      <c r="L3519" s="148" t="s">
        <v>65</v>
      </c>
      <c r="M3519" s="148" t="s">
        <v>66</v>
      </c>
      <c r="N3519" s="212">
        <v>46178.0</v>
      </c>
      <c r="O3519" s="148" t="s">
        <v>67</v>
      </c>
      <c r="P3519" s="148" t="s">
        <v>68</v>
      </c>
      <c r="Q3519" s="103"/>
      <c r="R3519" s="103"/>
      <c r="S3519" s="103"/>
      <c r="T3519" s="103"/>
      <c r="U3519" s="148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1">
        <v>3514.0</v>
      </c>
      <c r="B3520" s="180" t="s">
        <v>5918</v>
      </c>
      <c r="C3520" s="82" t="str">
        <f>VLOOKUP($B$7:$B$5000,SUM!$L$6:$L$500,1,FALSE)</f>
        <v>#N/A</v>
      </c>
      <c r="D3520" s="190" t="s">
        <v>5891</v>
      </c>
      <c r="E3520" s="198" t="s">
        <v>58</v>
      </c>
      <c r="F3520" s="199" t="s">
        <v>4099</v>
      </c>
      <c r="G3520" s="191" t="s">
        <v>4956</v>
      </c>
      <c r="H3520" s="199" t="s">
        <v>5919</v>
      </c>
      <c r="I3520" s="197" t="s">
        <v>5920</v>
      </c>
      <c r="J3520" s="148" t="s">
        <v>63</v>
      </c>
      <c r="K3520" s="148" t="s">
        <v>64</v>
      </c>
      <c r="L3520" s="148" t="s">
        <v>65</v>
      </c>
      <c r="M3520" s="148" t="s">
        <v>66</v>
      </c>
      <c r="N3520" s="212">
        <v>46178.0</v>
      </c>
      <c r="O3520" s="148" t="s">
        <v>67</v>
      </c>
      <c r="P3520" s="148" t="s">
        <v>68</v>
      </c>
      <c r="Q3520" s="103"/>
      <c r="R3520" s="103"/>
      <c r="S3520" s="103"/>
      <c r="T3520" s="103"/>
      <c r="U3520" s="148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1">
        <v>3515.0</v>
      </c>
      <c r="B3521" s="180" t="s">
        <v>5921</v>
      </c>
      <c r="C3521" s="82" t="str">
        <f>VLOOKUP($B$7:$B$5000,SUM!$L$6:$L$500,1,FALSE)</f>
        <v>#N/A</v>
      </c>
      <c r="D3521" s="190" t="s">
        <v>5891</v>
      </c>
      <c r="E3521" s="198" t="s">
        <v>58</v>
      </c>
      <c r="F3521" s="199" t="s">
        <v>4099</v>
      </c>
      <c r="G3521" s="191" t="s">
        <v>4956</v>
      </c>
      <c r="H3521" s="199" t="s">
        <v>5922</v>
      </c>
      <c r="I3521" s="197" t="s">
        <v>5920</v>
      </c>
      <c r="J3521" s="148" t="s">
        <v>63</v>
      </c>
      <c r="K3521" s="148" t="s">
        <v>64</v>
      </c>
      <c r="L3521" s="148" t="s">
        <v>65</v>
      </c>
      <c r="M3521" s="148" t="s">
        <v>66</v>
      </c>
      <c r="N3521" s="212">
        <v>46178.0</v>
      </c>
      <c r="O3521" s="148" t="s">
        <v>67</v>
      </c>
      <c r="P3521" s="148" t="s">
        <v>68</v>
      </c>
      <c r="Q3521" s="103"/>
      <c r="R3521" s="103"/>
      <c r="S3521" s="103"/>
      <c r="T3521" s="103"/>
      <c r="U3521" s="148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1">
        <v>3516.0</v>
      </c>
      <c r="B3522" s="180" t="s">
        <v>5923</v>
      </c>
      <c r="C3522" s="82" t="str">
        <f>VLOOKUP($B$7:$B$5000,SUM!$L$6:$L$500,1,FALSE)</f>
        <v>#N/A</v>
      </c>
      <c r="D3522" s="190" t="s">
        <v>5891</v>
      </c>
      <c r="E3522" s="198" t="s">
        <v>58</v>
      </c>
      <c r="F3522" s="199" t="s">
        <v>4099</v>
      </c>
      <c r="G3522" s="191" t="s">
        <v>4956</v>
      </c>
      <c r="H3522" s="199" t="s">
        <v>5924</v>
      </c>
      <c r="I3522" s="197" t="s">
        <v>5920</v>
      </c>
      <c r="J3522" s="148" t="s">
        <v>63</v>
      </c>
      <c r="K3522" s="148" t="s">
        <v>64</v>
      </c>
      <c r="L3522" s="148" t="s">
        <v>65</v>
      </c>
      <c r="M3522" s="148" t="s">
        <v>66</v>
      </c>
      <c r="N3522" s="212">
        <v>46178.0</v>
      </c>
      <c r="O3522" s="148" t="s">
        <v>67</v>
      </c>
      <c r="P3522" s="148" t="s">
        <v>68</v>
      </c>
      <c r="Q3522" s="103"/>
      <c r="R3522" s="103"/>
      <c r="S3522" s="103"/>
      <c r="T3522" s="103"/>
      <c r="U3522" s="148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1">
        <v>3517.0</v>
      </c>
      <c r="B3523" s="180" t="s">
        <v>5925</v>
      </c>
      <c r="C3523" s="82" t="str">
        <f>VLOOKUP($B$7:$B$5000,SUM!$L$6:$L$500,1,FALSE)</f>
        <v>#N/A</v>
      </c>
      <c r="D3523" s="190" t="s">
        <v>5891</v>
      </c>
      <c r="E3523" s="198" t="s">
        <v>58</v>
      </c>
      <c r="F3523" s="199" t="s">
        <v>4099</v>
      </c>
      <c r="G3523" s="191" t="s">
        <v>4956</v>
      </c>
      <c r="H3523" s="199" t="s">
        <v>5926</v>
      </c>
      <c r="I3523" s="197" t="s">
        <v>5920</v>
      </c>
      <c r="J3523" s="148" t="s">
        <v>63</v>
      </c>
      <c r="K3523" s="148" t="s">
        <v>64</v>
      </c>
      <c r="L3523" s="148" t="s">
        <v>65</v>
      </c>
      <c r="M3523" s="148" t="s">
        <v>66</v>
      </c>
      <c r="N3523" s="212">
        <v>46178.0</v>
      </c>
      <c r="O3523" s="148" t="s">
        <v>67</v>
      </c>
      <c r="P3523" s="148" t="s">
        <v>68</v>
      </c>
      <c r="Q3523" s="103"/>
      <c r="R3523" s="103"/>
      <c r="S3523" s="103"/>
      <c r="T3523" s="103"/>
      <c r="U3523" s="148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1">
        <v>3518.0</v>
      </c>
      <c r="B3524" s="180" t="s">
        <v>5927</v>
      </c>
      <c r="C3524" s="82" t="str">
        <f>VLOOKUP($B$7:$B$5000,SUM!$L$6:$L$500,1,FALSE)</f>
        <v>#N/A</v>
      </c>
      <c r="D3524" s="190" t="s">
        <v>5891</v>
      </c>
      <c r="E3524" s="198" t="s">
        <v>58</v>
      </c>
      <c r="F3524" s="199" t="s">
        <v>4099</v>
      </c>
      <c r="G3524" s="191" t="s">
        <v>4956</v>
      </c>
      <c r="H3524" s="199" t="s">
        <v>5928</v>
      </c>
      <c r="I3524" s="197" t="s">
        <v>5920</v>
      </c>
      <c r="J3524" s="148" t="s">
        <v>63</v>
      </c>
      <c r="K3524" s="148" t="s">
        <v>64</v>
      </c>
      <c r="L3524" s="148" t="s">
        <v>65</v>
      </c>
      <c r="M3524" s="148" t="s">
        <v>66</v>
      </c>
      <c r="N3524" s="212">
        <v>46178.0</v>
      </c>
      <c r="O3524" s="148" t="s">
        <v>67</v>
      </c>
      <c r="P3524" s="148" t="s">
        <v>68</v>
      </c>
      <c r="Q3524" s="103"/>
      <c r="R3524" s="103"/>
      <c r="S3524" s="103"/>
      <c r="T3524" s="103"/>
      <c r="U3524" s="148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1">
        <v>3519.0</v>
      </c>
      <c r="B3525" s="180" t="s">
        <v>5929</v>
      </c>
      <c r="C3525" s="82" t="str">
        <f>VLOOKUP($B$7:$B$5000,SUM!$L$6:$L$500,1,FALSE)</f>
        <v>#N/A</v>
      </c>
      <c r="D3525" s="190" t="s">
        <v>5891</v>
      </c>
      <c r="E3525" s="198" t="s">
        <v>58</v>
      </c>
      <c r="F3525" s="199" t="s">
        <v>4099</v>
      </c>
      <c r="G3525" s="191" t="s">
        <v>4956</v>
      </c>
      <c r="H3525" s="199" t="s">
        <v>5930</v>
      </c>
      <c r="I3525" s="197" t="s">
        <v>5920</v>
      </c>
      <c r="J3525" s="148" t="s">
        <v>63</v>
      </c>
      <c r="K3525" s="148" t="s">
        <v>64</v>
      </c>
      <c r="L3525" s="148" t="s">
        <v>65</v>
      </c>
      <c r="M3525" s="148" t="s">
        <v>66</v>
      </c>
      <c r="N3525" s="212">
        <v>46178.0</v>
      </c>
      <c r="O3525" s="148" t="s">
        <v>67</v>
      </c>
      <c r="P3525" s="148" t="s">
        <v>68</v>
      </c>
      <c r="Q3525" s="103"/>
      <c r="R3525" s="103"/>
      <c r="S3525" s="103"/>
      <c r="T3525" s="103"/>
      <c r="U3525" s="148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1">
        <v>3520.0</v>
      </c>
      <c r="B3526" s="180" t="s">
        <v>5931</v>
      </c>
      <c r="C3526" s="82" t="str">
        <f>VLOOKUP($B$7:$B$5000,SUM!$L$6:$L$500,1,FALSE)</f>
        <v>#N/A</v>
      </c>
      <c r="D3526" s="190" t="s">
        <v>5891</v>
      </c>
      <c r="E3526" s="198" t="s">
        <v>58</v>
      </c>
      <c r="F3526" s="199" t="s">
        <v>4099</v>
      </c>
      <c r="G3526" s="191" t="s">
        <v>4956</v>
      </c>
      <c r="H3526" s="199" t="s">
        <v>5932</v>
      </c>
      <c r="I3526" s="197" t="s">
        <v>5920</v>
      </c>
      <c r="J3526" s="148" t="s">
        <v>63</v>
      </c>
      <c r="K3526" s="148" t="s">
        <v>64</v>
      </c>
      <c r="L3526" s="148" t="s">
        <v>65</v>
      </c>
      <c r="M3526" s="148" t="s">
        <v>66</v>
      </c>
      <c r="N3526" s="212">
        <v>46178.0</v>
      </c>
      <c r="O3526" s="148" t="s">
        <v>67</v>
      </c>
      <c r="P3526" s="148" t="s">
        <v>68</v>
      </c>
      <c r="Q3526" s="103"/>
      <c r="R3526" s="103"/>
      <c r="S3526" s="103"/>
      <c r="T3526" s="103"/>
      <c r="U3526" s="148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1">
        <v>3521.0</v>
      </c>
      <c r="B3527" s="180" t="s">
        <v>5933</v>
      </c>
      <c r="C3527" s="82" t="str">
        <f>VLOOKUP($B$7:$B$5000,SUM!$L$6:$L$500,1,FALSE)</f>
        <v>#N/A</v>
      </c>
      <c r="D3527" s="190" t="s">
        <v>5891</v>
      </c>
      <c r="E3527" s="198" t="s">
        <v>58</v>
      </c>
      <c r="F3527" s="199" t="s">
        <v>4099</v>
      </c>
      <c r="G3527" s="191" t="s">
        <v>4956</v>
      </c>
      <c r="H3527" s="199" t="s">
        <v>5934</v>
      </c>
      <c r="I3527" s="197" t="s">
        <v>5920</v>
      </c>
      <c r="J3527" s="148" t="s">
        <v>63</v>
      </c>
      <c r="K3527" s="148" t="s">
        <v>64</v>
      </c>
      <c r="L3527" s="148" t="s">
        <v>65</v>
      </c>
      <c r="M3527" s="148" t="s">
        <v>66</v>
      </c>
      <c r="N3527" s="212">
        <v>46178.0</v>
      </c>
      <c r="O3527" s="148" t="s">
        <v>67</v>
      </c>
      <c r="P3527" s="148" t="s">
        <v>68</v>
      </c>
      <c r="Q3527" s="103"/>
      <c r="R3527" s="103"/>
      <c r="S3527" s="103"/>
      <c r="T3527" s="103"/>
      <c r="U3527" s="148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1">
        <v>3522.0</v>
      </c>
      <c r="B3528" s="180" t="s">
        <v>5935</v>
      </c>
      <c r="C3528" s="82" t="str">
        <f>VLOOKUP($B$7:$B$5000,SUM!$L$6:$L$500,1,FALSE)</f>
        <v>#N/A</v>
      </c>
      <c r="D3528" s="190" t="s">
        <v>5891</v>
      </c>
      <c r="E3528" s="198" t="s">
        <v>58</v>
      </c>
      <c r="F3528" s="199" t="s">
        <v>4099</v>
      </c>
      <c r="G3528" s="191" t="s">
        <v>4956</v>
      </c>
      <c r="H3528" s="199" t="s">
        <v>5936</v>
      </c>
      <c r="I3528" s="197" t="s">
        <v>5920</v>
      </c>
      <c r="J3528" s="148" t="s">
        <v>63</v>
      </c>
      <c r="K3528" s="148" t="s">
        <v>64</v>
      </c>
      <c r="L3528" s="148" t="s">
        <v>65</v>
      </c>
      <c r="M3528" s="148" t="s">
        <v>66</v>
      </c>
      <c r="N3528" s="212">
        <v>46178.0</v>
      </c>
      <c r="O3528" s="148" t="s">
        <v>67</v>
      </c>
      <c r="P3528" s="148" t="s">
        <v>68</v>
      </c>
      <c r="Q3528" s="103"/>
      <c r="R3528" s="103"/>
      <c r="S3528" s="103"/>
      <c r="T3528" s="103"/>
      <c r="U3528" s="148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1">
        <v>3523.0</v>
      </c>
      <c r="B3529" s="180" t="s">
        <v>5937</v>
      </c>
      <c r="C3529" s="82" t="str">
        <f>VLOOKUP($B$7:$B$5000,SUM!$L$6:$L$500,1,FALSE)</f>
        <v>#N/A</v>
      </c>
      <c r="D3529" s="190" t="s">
        <v>5891</v>
      </c>
      <c r="E3529" s="198" t="s">
        <v>58</v>
      </c>
      <c r="F3529" s="199" t="s">
        <v>4099</v>
      </c>
      <c r="G3529" s="191" t="s">
        <v>4956</v>
      </c>
      <c r="H3529" s="199" t="s">
        <v>5938</v>
      </c>
      <c r="I3529" s="197" t="s">
        <v>5920</v>
      </c>
      <c r="J3529" s="148" t="s">
        <v>63</v>
      </c>
      <c r="K3529" s="148" t="s">
        <v>64</v>
      </c>
      <c r="L3529" s="148" t="s">
        <v>65</v>
      </c>
      <c r="M3529" s="148" t="s">
        <v>66</v>
      </c>
      <c r="N3529" s="212">
        <v>46178.0</v>
      </c>
      <c r="O3529" s="148" t="s">
        <v>67</v>
      </c>
      <c r="P3529" s="148" t="s">
        <v>68</v>
      </c>
      <c r="Q3529" s="103"/>
      <c r="R3529" s="103"/>
      <c r="S3529" s="103"/>
      <c r="T3529" s="103"/>
      <c r="U3529" s="148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1">
        <v>3524.0</v>
      </c>
      <c r="B3530" s="180" t="s">
        <v>5939</v>
      </c>
      <c r="C3530" s="82" t="str">
        <f>VLOOKUP($B$7:$B$5000,SUM!$L$6:$L$500,1,FALSE)</f>
        <v>#N/A</v>
      </c>
      <c r="D3530" s="190" t="s">
        <v>5891</v>
      </c>
      <c r="E3530" s="198" t="s">
        <v>58</v>
      </c>
      <c r="F3530" s="199" t="s">
        <v>4099</v>
      </c>
      <c r="G3530" s="191" t="s">
        <v>4956</v>
      </c>
      <c r="H3530" s="199" t="s">
        <v>5940</v>
      </c>
      <c r="I3530" s="197" t="s">
        <v>5920</v>
      </c>
      <c r="J3530" s="148" t="s">
        <v>63</v>
      </c>
      <c r="K3530" s="148" t="s">
        <v>64</v>
      </c>
      <c r="L3530" s="148" t="s">
        <v>65</v>
      </c>
      <c r="M3530" s="148" t="s">
        <v>66</v>
      </c>
      <c r="N3530" s="212">
        <v>46178.0</v>
      </c>
      <c r="O3530" s="148" t="s">
        <v>67</v>
      </c>
      <c r="P3530" s="148" t="s">
        <v>68</v>
      </c>
      <c r="Q3530" s="103"/>
      <c r="R3530" s="103"/>
      <c r="S3530" s="103"/>
      <c r="T3530" s="103"/>
      <c r="U3530" s="148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1">
        <v>3525.0</v>
      </c>
      <c r="B3531" s="180" t="s">
        <v>5941</v>
      </c>
      <c r="C3531" s="82" t="str">
        <f>VLOOKUP($B$7:$B$5000,SUM!$L$6:$L$500,1,FALSE)</f>
        <v>#N/A</v>
      </c>
      <c r="D3531" s="190" t="s">
        <v>5891</v>
      </c>
      <c r="E3531" s="198" t="s">
        <v>58</v>
      </c>
      <c r="F3531" s="199" t="s">
        <v>4099</v>
      </c>
      <c r="G3531" s="191" t="s">
        <v>4956</v>
      </c>
      <c r="H3531" s="199" t="s">
        <v>5892</v>
      </c>
      <c r="I3531" s="197" t="s">
        <v>5942</v>
      </c>
      <c r="J3531" s="148" t="s">
        <v>63</v>
      </c>
      <c r="K3531" s="148" t="s">
        <v>64</v>
      </c>
      <c r="L3531" s="148" t="s">
        <v>65</v>
      </c>
      <c r="M3531" s="148" t="s">
        <v>66</v>
      </c>
      <c r="N3531" s="212">
        <v>46178.0</v>
      </c>
      <c r="O3531" s="148" t="s">
        <v>67</v>
      </c>
      <c r="P3531" s="148" t="s">
        <v>68</v>
      </c>
      <c r="Q3531" s="103"/>
      <c r="R3531" s="103"/>
      <c r="S3531" s="103"/>
      <c r="T3531" s="103"/>
      <c r="U3531" s="148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1">
        <v>3526.0</v>
      </c>
      <c r="B3532" s="180" t="s">
        <v>5943</v>
      </c>
      <c r="C3532" s="82" t="str">
        <f>VLOOKUP($B$7:$B$5000,SUM!$L$6:$L$500,1,FALSE)</f>
        <v>#N/A</v>
      </c>
      <c r="D3532" s="190" t="s">
        <v>5891</v>
      </c>
      <c r="E3532" s="198" t="s">
        <v>58</v>
      </c>
      <c r="F3532" s="199" t="s">
        <v>4099</v>
      </c>
      <c r="G3532" s="191" t="s">
        <v>4956</v>
      </c>
      <c r="H3532" s="199" t="s">
        <v>5895</v>
      </c>
      <c r="I3532" s="197" t="s">
        <v>5942</v>
      </c>
      <c r="J3532" s="148" t="s">
        <v>63</v>
      </c>
      <c r="K3532" s="148" t="s">
        <v>64</v>
      </c>
      <c r="L3532" s="148" t="s">
        <v>65</v>
      </c>
      <c r="M3532" s="148" t="s">
        <v>66</v>
      </c>
      <c r="N3532" s="212">
        <v>46178.0</v>
      </c>
      <c r="O3532" s="148" t="s">
        <v>67</v>
      </c>
      <c r="P3532" s="148" t="s">
        <v>68</v>
      </c>
      <c r="Q3532" s="103"/>
      <c r="R3532" s="103"/>
      <c r="S3532" s="103"/>
      <c r="T3532" s="103"/>
      <c r="U3532" s="148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1">
        <v>3527.0</v>
      </c>
      <c r="B3533" s="180" t="s">
        <v>5944</v>
      </c>
      <c r="C3533" s="82" t="str">
        <f>VLOOKUP($B$7:$B$5000,SUM!$L$6:$L$500,1,FALSE)</f>
        <v>#N/A</v>
      </c>
      <c r="D3533" s="190" t="s">
        <v>5891</v>
      </c>
      <c r="E3533" s="198" t="s">
        <v>58</v>
      </c>
      <c r="F3533" s="199" t="s">
        <v>4099</v>
      </c>
      <c r="G3533" s="191" t="s">
        <v>4956</v>
      </c>
      <c r="H3533" s="199" t="s">
        <v>5897</v>
      </c>
      <c r="I3533" s="197" t="s">
        <v>5942</v>
      </c>
      <c r="J3533" s="148" t="s">
        <v>63</v>
      </c>
      <c r="K3533" s="148" t="s">
        <v>64</v>
      </c>
      <c r="L3533" s="148" t="s">
        <v>65</v>
      </c>
      <c r="M3533" s="148" t="s">
        <v>66</v>
      </c>
      <c r="N3533" s="212">
        <v>46178.0</v>
      </c>
      <c r="O3533" s="148" t="s">
        <v>67</v>
      </c>
      <c r="P3533" s="148" t="s">
        <v>68</v>
      </c>
      <c r="Q3533" s="103"/>
      <c r="R3533" s="103"/>
      <c r="S3533" s="103"/>
      <c r="T3533" s="103"/>
      <c r="U3533" s="148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1">
        <v>3528.0</v>
      </c>
      <c r="B3534" s="180" t="s">
        <v>5945</v>
      </c>
      <c r="C3534" s="82" t="str">
        <f>VLOOKUP($B$7:$B$5000,SUM!$L$6:$L$500,1,FALSE)</f>
        <v>#N/A</v>
      </c>
      <c r="D3534" s="190" t="s">
        <v>5891</v>
      </c>
      <c r="E3534" s="198" t="s">
        <v>58</v>
      </c>
      <c r="F3534" s="199" t="s">
        <v>4099</v>
      </c>
      <c r="G3534" s="191" t="s">
        <v>4956</v>
      </c>
      <c r="H3534" s="199" t="s">
        <v>5899</v>
      </c>
      <c r="I3534" s="197" t="s">
        <v>5942</v>
      </c>
      <c r="J3534" s="148" t="s">
        <v>63</v>
      </c>
      <c r="K3534" s="148" t="s">
        <v>64</v>
      </c>
      <c r="L3534" s="148" t="s">
        <v>65</v>
      </c>
      <c r="M3534" s="148" t="s">
        <v>66</v>
      </c>
      <c r="N3534" s="212">
        <v>46178.0</v>
      </c>
      <c r="O3534" s="148" t="s">
        <v>67</v>
      </c>
      <c r="P3534" s="148" t="s">
        <v>68</v>
      </c>
      <c r="Q3534" s="103"/>
      <c r="R3534" s="103"/>
      <c r="S3534" s="103"/>
      <c r="T3534" s="103"/>
      <c r="U3534" s="148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1">
        <v>3529.0</v>
      </c>
      <c r="B3535" s="180" t="s">
        <v>5946</v>
      </c>
      <c r="C3535" s="82" t="str">
        <f>VLOOKUP($B$7:$B$5000,SUM!$L$6:$L$500,1,FALSE)</f>
        <v>#N/A</v>
      </c>
      <c r="D3535" s="190" t="s">
        <v>5891</v>
      </c>
      <c r="E3535" s="198" t="s">
        <v>58</v>
      </c>
      <c r="F3535" s="199" t="s">
        <v>4099</v>
      </c>
      <c r="G3535" s="191" t="s">
        <v>4956</v>
      </c>
      <c r="H3535" s="199" t="s">
        <v>5901</v>
      </c>
      <c r="I3535" s="197" t="s">
        <v>5942</v>
      </c>
      <c r="J3535" s="148" t="s">
        <v>63</v>
      </c>
      <c r="K3535" s="148" t="s">
        <v>64</v>
      </c>
      <c r="L3535" s="148" t="s">
        <v>65</v>
      </c>
      <c r="M3535" s="148" t="s">
        <v>66</v>
      </c>
      <c r="N3535" s="212">
        <v>46178.0</v>
      </c>
      <c r="O3535" s="148" t="s">
        <v>67</v>
      </c>
      <c r="P3535" s="148" t="s">
        <v>68</v>
      </c>
      <c r="Q3535" s="103"/>
      <c r="R3535" s="103"/>
      <c r="S3535" s="103"/>
      <c r="T3535" s="103"/>
      <c r="U3535" s="148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1">
        <v>3530.0</v>
      </c>
      <c r="B3536" s="180" t="s">
        <v>5947</v>
      </c>
      <c r="C3536" s="82" t="str">
        <f>VLOOKUP($B$7:$B$5000,SUM!$L$6:$L$500,1,FALSE)</f>
        <v>#N/A</v>
      </c>
      <c r="D3536" s="190" t="s">
        <v>5891</v>
      </c>
      <c r="E3536" s="198" t="s">
        <v>58</v>
      </c>
      <c r="F3536" s="199" t="s">
        <v>4099</v>
      </c>
      <c r="G3536" s="191" t="s">
        <v>4956</v>
      </c>
      <c r="H3536" s="199" t="s">
        <v>5903</v>
      </c>
      <c r="I3536" s="197" t="s">
        <v>5942</v>
      </c>
      <c r="J3536" s="148" t="s">
        <v>63</v>
      </c>
      <c r="K3536" s="148" t="s">
        <v>64</v>
      </c>
      <c r="L3536" s="148" t="s">
        <v>65</v>
      </c>
      <c r="M3536" s="148" t="s">
        <v>66</v>
      </c>
      <c r="N3536" s="212">
        <v>46178.0</v>
      </c>
      <c r="O3536" s="148" t="s">
        <v>67</v>
      </c>
      <c r="P3536" s="148" t="s">
        <v>68</v>
      </c>
      <c r="Q3536" s="103"/>
      <c r="R3536" s="103"/>
      <c r="S3536" s="103"/>
      <c r="T3536" s="103"/>
      <c r="U3536" s="148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1">
        <v>3531.0</v>
      </c>
      <c r="B3537" s="180" t="s">
        <v>5948</v>
      </c>
      <c r="C3537" s="82" t="str">
        <f>VLOOKUP($B$7:$B$5000,SUM!$L$6:$L$500,1,FALSE)</f>
        <v>#N/A</v>
      </c>
      <c r="D3537" s="190" t="s">
        <v>5891</v>
      </c>
      <c r="E3537" s="198" t="s">
        <v>58</v>
      </c>
      <c r="F3537" s="199" t="s">
        <v>4099</v>
      </c>
      <c r="G3537" s="191" t="s">
        <v>4956</v>
      </c>
      <c r="H3537" s="199" t="s">
        <v>5905</v>
      </c>
      <c r="I3537" s="197" t="s">
        <v>5942</v>
      </c>
      <c r="J3537" s="148" t="s">
        <v>63</v>
      </c>
      <c r="K3537" s="148" t="s">
        <v>64</v>
      </c>
      <c r="L3537" s="148" t="s">
        <v>65</v>
      </c>
      <c r="M3537" s="148" t="s">
        <v>66</v>
      </c>
      <c r="N3537" s="212">
        <v>46178.0</v>
      </c>
      <c r="O3537" s="148" t="s">
        <v>67</v>
      </c>
      <c r="P3537" s="148" t="s">
        <v>68</v>
      </c>
      <c r="Q3537" s="103"/>
      <c r="R3537" s="103"/>
      <c r="S3537" s="103"/>
      <c r="T3537" s="103"/>
      <c r="U3537" s="148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1">
        <v>3532.0</v>
      </c>
      <c r="B3538" s="180" t="s">
        <v>5949</v>
      </c>
      <c r="C3538" s="82" t="str">
        <f>VLOOKUP($B$7:$B$5000,SUM!$L$6:$L$500,1,FALSE)</f>
        <v>#N/A</v>
      </c>
      <c r="D3538" s="190" t="s">
        <v>5891</v>
      </c>
      <c r="E3538" s="198" t="s">
        <v>58</v>
      </c>
      <c r="F3538" s="199" t="s">
        <v>4099</v>
      </c>
      <c r="G3538" s="191" t="s">
        <v>4956</v>
      </c>
      <c r="H3538" s="199" t="s">
        <v>5907</v>
      </c>
      <c r="I3538" s="197" t="s">
        <v>5942</v>
      </c>
      <c r="J3538" s="148" t="s">
        <v>63</v>
      </c>
      <c r="K3538" s="148" t="s">
        <v>64</v>
      </c>
      <c r="L3538" s="148" t="s">
        <v>65</v>
      </c>
      <c r="M3538" s="148" t="s">
        <v>66</v>
      </c>
      <c r="N3538" s="212">
        <v>46178.0</v>
      </c>
      <c r="O3538" s="148" t="s">
        <v>67</v>
      </c>
      <c r="P3538" s="148" t="s">
        <v>68</v>
      </c>
      <c r="Q3538" s="103"/>
      <c r="R3538" s="103"/>
      <c r="S3538" s="103"/>
      <c r="T3538" s="103"/>
      <c r="U3538" s="148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1">
        <v>3533.0</v>
      </c>
      <c r="B3539" s="180" t="s">
        <v>5950</v>
      </c>
      <c r="C3539" s="82" t="str">
        <f>VLOOKUP($B$7:$B$5000,SUM!$L$6:$L$500,1,FALSE)</f>
        <v>#N/A</v>
      </c>
      <c r="D3539" s="190" t="s">
        <v>5891</v>
      </c>
      <c r="E3539" s="198" t="s">
        <v>58</v>
      </c>
      <c r="F3539" s="199" t="s">
        <v>4099</v>
      </c>
      <c r="G3539" s="191" t="s">
        <v>4956</v>
      </c>
      <c r="H3539" s="199" t="s">
        <v>5909</v>
      </c>
      <c r="I3539" s="197" t="s">
        <v>5942</v>
      </c>
      <c r="J3539" s="148" t="s">
        <v>63</v>
      </c>
      <c r="K3539" s="148" t="s">
        <v>64</v>
      </c>
      <c r="L3539" s="148" t="s">
        <v>65</v>
      </c>
      <c r="M3539" s="148" t="s">
        <v>66</v>
      </c>
      <c r="N3539" s="212">
        <v>46178.0</v>
      </c>
      <c r="O3539" s="148" t="s">
        <v>67</v>
      </c>
      <c r="P3539" s="148" t="s">
        <v>68</v>
      </c>
      <c r="Q3539" s="103"/>
      <c r="R3539" s="103"/>
      <c r="S3539" s="103"/>
      <c r="T3539" s="103"/>
      <c r="U3539" s="148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1">
        <v>3534.0</v>
      </c>
      <c r="B3540" s="180" t="s">
        <v>5951</v>
      </c>
      <c r="C3540" s="82" t="str">
        <f>VLOOKUP($B$7:$B$5000,SUM!$L$6:$L$500,1,FALSE)</f>
        <v>#N/A</v>
      </c>
      <c r="D3540" s="190" t="s">
        <v>5891</v>
      </c>
      <c r="E3540" s="198" t="s">
        <v>58</v>
      </c>
      <c r="F3540" s="199" t="s">
        <v>4099</v>
      </c>
      <c r="G3540" s="191" t="s">
        <v>4956</v>
      </c>
      <c r="H3540" s="199" t="s">
        <v>5911</v>
      </c>
      <c r="I3540" s="197" t="s">
        <v>5942</v>
      </c>
      <c r="J3540" s="148" t="s">
        <v>63</v>
      </c>
      <c r="K3540" s="148" t="s">
        <v>64</v>
      </c>
      <c r="L3540" s="148" t="s">
        <v>65</v>
      </c>
      <c r="M3540" s="148" t="s">
        <v>66</v>
      </c>
      <c r="N3540" s="212">
        <v>46178.0</v>
      </c>
      <c r="O3540" s="148" t="s">
        <v>67</v>
      </c>
      <c r="P3540" s="148" t="s">
        <v>68</v>
      </c>
      <c r="Q3540" s="103"/>
      <c r="R3540" s="103"/>
      <c r="S3540" s="103"/>
      <c r="T3540" s="103"/>
      <c r="U3540" s="148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1">
        <v>3535.0</v>
      </c>
      <c r="B3541" s="180" t="s">
        <v>5952</v>
      </c>
      <c r="C3541" s="82" t="str">
        <f>VLOOKUP($B$7:$B$5000,SUM!$L$6:$L$500,1,FALSE)</f>
        <v>#N/A</v>
      </c>
      <c r="D3541" s="190" t="s">
        <v>5891</v>
      </c>
      <c r="E3541" s="198" t="s">
        <v>58</v>
      </c>
      <c r="F3541" s="199" t="s">
        <v>4099</v>
      </c>
      <c r="G3541" s="191" t="s">
        <v>4956</v>
      </c>
      <c r="H3541" s="199" t="s">
        <v>5913</v>
      </c>
      <c r="I3541" s="197" t="s">
        <v>5942</v>
      </c>
      <c r="J3541" s="148" t="s">
        <v>63</v>
      </c>
      <c r="K3541" s="148" t="s">
        <v>64</v>
      </c>
      <c r="L3541" s="148" t="s">
        <v>65</v>
      </c>
      <c r="M3541" s="148" t="s">
        <v>66</v>
      </c>
      <c r="N3541" s="212">
        <v>46178.0</v>
      </c>
      <c r="O3541" s="148" t="s">
        <v>67</v>
      </c>
      <c r="P3541" s="148" t="s">
        <v>68</v>
      </c>
      <c r="Q3541" s="103"/>
      <c r="R3541" s="103"/>
      <c r="S3541" s="103"/>
      <c r="T3541" s="103"/>
      <c r="U3541" s="148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1">
        <v>3536.0</v>
      </c>
      <c r="B3542" s="180" t="s">
        <v>5953</v>
      </c>
      <c r="C3542" s="82" t="str">
        <f>VLOOKUP($B$7:$B$5000,SUM!$L$6:$L$500,1,FALSE)</f>
        <v>#N/A</v>
      </c>
      <c r="D3542" s="190" t="s">
        <v>5891</v>
      </c>
      <c r="E3542" s="198" t="s">
        <v>58</v>
      </c>
      <c r="F3542" s="199" t="s">
        <v>4099</v>
      </c>
      <c r="G3542" s="191" t="s">
        <v>4956</v>
      </c>
      <c r="H3542" s="199" t="s">
        <v>5915</v>
      </c>
      <c r="I3542" s="197" t="s">
        <v>5942</v>
      </c>
      <c r="J3542" s="148" t="s">
        <v>63</v>
      </c>
      <c r="K3542" s="148" t="s">
        <v>64</v>
      </c>
      <c r="L3542" s="148" t="s">
        <v>65</v>
      </c>
      <c r="M3542" s="148" t="s">
        <v>66</v>
      </c>
      <c r="N3542" s="212">
        <v>46178.0</v>
      </c>
      <c r="O3542" s="148" t="s">
        <v>67</v>
      </c>
      <c r="P3542" s="148" t="s">
        <v>68</v>
      </c>
      <c r="Q3542" s="103"/>
      <c r="R3542" s="103"/>
      <c r="S3542" s="103"/>
      <c r="T3542" s="103"/>
      <c r="U3542" s="148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1">
        <v>3537.0</v>
      </c>
      <c r="B3543" s="180" t="s">
        <v>5954</v>
      </c>
      <c r="C3543" s="82" t="str">
        <f>VLOOKUP($B$7:$B$5000,SUM!$L$6:$L$500,1,FALSE)</f>
        <v>#N/A</v>
      </c>
      <c r="D3543" s="190" t="s">
        <v>5891</v>
      </c>
      <c r="E3543" s="198" t="s">
        <v>58</v>
      </c>
      <c r="F3543" s="199" t="s">
        <v>4099</v>
      </c>
      <c r="G3543" s="191" t="s">
        <v>4956</v>
      </c>
      <c r="H3543" s="199" t="s">
        <v>5917</v>
      </c>
      <c r="I3543" s="197" t="s">
        <v>5942</v>
      </c>
      <c r="J3543" s="148" t="s">
        <v>63</v>
      </c>
      <c r="K3543" s="148" t="s">
        <v>64</v>
      </c>
      <c r="L3543" s="148" t="s">
        <v>65</v>
      </c>
      <c r="M3543" s="148" t="s">
        <v>66</v>
      </c>
      <c r="N3543" s="212">
        <v>46178.0</v>
      </c>
      <c r="O3543" s="148" t="s">
        <v>67</v>
      </c>
      <c r="P3543" s="148" t="s">
        <v>68</v>
      </c>
      <c r="Q3543" s="103"/>
      <c r="R3543" s="103"/>
      <c r="S3543" s="103"/>
      <c r="T3543" s="103"/>
      <c r="U3543" s="148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1">
        <v>3538.0</v>
      </c>
      <c r="B3544" s="180" t="s">
        <v>5955</v>
      </c>
      <c r="C3544" s="82" t="str">
        <f>VLOOKUP($B$7:$B$5000,SUM!$L$6:$L$500,1,FALSE)</f>
        <v>#N/A</v>
      </c>
      <c r="D3544" s="190" t="s">
        <v>5891</v>
      </c>
      <c r="E3544" s="198" t="s">
        <v>58</v>
      </c>
      <c r="F3544" s="199" t="s">
        <v>4099</v>
      </c>
      <c r="G3544" s="191" t="s">
        <v>4956</v>
      </c>
      <c r="H3544" s="199" t="s">
        <v>5919</v>
      </c>
      <c r="I3544" s="197" t="s">
        <v>5956</v>
      </c>
      <c r="J3544" s="148" t="s">
        <v>63</v>
      </c>
      <c r="K3544" s="148" t="s">
        <v>64</v>
      </c>
      <c r="L3544" s="148" t="s">
        <v>65</v>
      </c>
      <c r="M3544" s="148" t="s">
        <v>66</v>
      </c>
      <c r="N3544" s="212">
        <v>46178.0</v>
      </c>
      <c r="O3544" s="148" t="s">
        <v>67</v>
      </c>
      <c r="P3544" s="148" t="s">
        <v>68</v>
      </c>
      <c r="Q3544" s="103"/>
      <c r="R3544" s="103"/>
      <c r="S3544" s="103"/>
      <c r="T3544" s="103"/>
      <c r="U3544" s="148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1">
        <v>3539.0</v>
      </c>
      <c r="B3545" s="180" t="s">
        <v>5957</v>
      </c>
      <c r="C3545" s="82" t="str">
        <f>VLOOKUP($B$7:$B$5000,SUM!$L$6:$L$500,1,FALSE)</f>
        <v>#N/A</v>
      </c>
      <c r="D3545" s="190" t="s">
        <v>5891</v>
      </c>
      <c r="E3545" s="198" t="s">
        <v>58</v>
      </c>
      <c r="F3545" s="199" t="s">
        <v>4099</v>
      </c>
      <c r="G3545" s="191" t="s">
        <v>4956</v>
      </c>
      <c r="H3545" s="199" t="s">
        <v>5922</v>
      </c>
      <c r="I3545" s="197" t="s">
        <v>5956</v>
      </c>
      <c r="J3545" s="148" t="s">
        <v>63</v>
      </c>
      <c r="K3545" s="148" t="s">
        <v>64</v>
      </c>
      <c r="L3545" s="148" t="s">
        <v>65</v>
      </c>
      <c r="M3545" s="148" t="s">
        <v>66</v>
      </c>
      <c r="N3545" s="212">
        <v>46178.0</v>
      </c>
      <c r="O3545" s="148" t="s">
        <v>67</v>
      </c>
      <c r="P3545" s="148" t="s">
        <v>68</v>
      </c>
      <c r="Q3545" s="103"/>
      <c r="R3545" s="103"/>
      <c r="S3545" s="103"/>
      <c r="T3545" s="103"/>
      <c r="U3545" s="148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1">
        <v>3540.0</v>
      </c>
      <c r="B3546" s="180" t="s">
        <v>5958</v>
      </c>
      <c r="C3546" s="82" t="str">
        <f>VLOOKUP($B$7:$B$5000,SUM!$L$6:$L$500,1,FALSE)</f>
        <v>#N/A</v>
      </c>
      <c r="D3546" s="190" t="s">
        <v>5891</v>
      </c>
      <c r="E3546" s="198" t="s">
        <v>58</v>
      </c>
      <c r="F3546" s="199" t="s">
        <v>4099</v>
      </c>
      <c r="G3546" s="191" t="s">
        <v>4956</v>
      </c>
      <c r="H3546" s="199" t="s">
        <v>5924</v>
      </c>
      <c r="I3546" s="197" t="s">
        <v>5956</v>
      </c>
      <c r="J3546" s="148" t="s">
        <v>63</v>
      </c>
      <c r="K3546" s="148" t="s">
        <v>64</v>
      </c>
      <c r="L3546" s="148" t="s">
        <v>65</v>
      </c>
      <c r="M3546" s="148" t="s">
        <v>66</v>
      </c>
      <c r="N3546" s="212">
        <v>46178.0</v>
      </c>
      <c r="O3546" s="148" t="s">
        <v>67</v>
      </c>
      <c r="P3546" s="148" t="s">
        <v>68</v>
      </c>
      <c r="Q3546" s="103"/>
      <c r="R3546" s="103"/>
      <c r="S3546" s="103"/>
      <c r="T3546" s="103"/>
      <c r="U3546" s="148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1">
        <v>3541.0</v>
      </c>
      <c r="B3547" s="180" t="s">
        <v>5959</v>
      </c>
      <c r="C3547" s="82" t="str">
        <f>VLOOKUP($B$7:$B$5000,SUM!$L$6:$L$500,1,FALSE)</f>
        <v>#N/A</v>
      </c>
      <c r="D3547" s="190" t="s">
        <v>5891</v>
      </c>
      <c r="E3547" s="198" t="s">
        <v>58</v>
      </c>
      <c r="F3547" s="199" t="s">
        <v>4099</v>
      </c>
      <c r="G3547" s="191" t="s">
        <v>4956</v>
      </c>
      <c r="H3547" s="199" t="s">
        <v>5926</v>
      </c>
      <c r="I3547" s="197" t="s">
        <v>5956</v>
      </c>
      <c r="J3547" s="148" t="s">
        <v>63</v>
      </c>
      <c r="K3547" s="148" t="s">
        <v>64</v>
      </c>
      <c r="L3547" s="148" t="s">
        <v>65</v>
      </c>
      <c r="M3547" s="148" t="s">
        <v>66</v>
      </c>
      <c r="N3547" s="212">
        <v>46178.0</v>
      </c>
      <c r="O3547" s="148" t="s">
        <v>67</v>
      </c>
      <c r="P3547" s="148" t="s">
        <v>68</v>
      </c>
      <c r="Q3547" s="103"/>
      <c r="R3547" s="103"/>
      <c r="S3547" s="103"/>
      <c r="T3547" s="103"/>
      <c r="U3547" s="148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1">
        <v>3542.0</v>
      </c>
      <c r="B3548" s="180" t="s">
        <v>5960</v>
      </c>
      <c r="C3548" s="82" t="str">
        <f>VLOOKUP($B$7:$B$5000,SUM!$L$6:$L$500,1,FALSE)</f>
        <v>#N/A</v>
      </c>
      <c r="D3548" s="190" t="s">
        <v>5891</v>
      </c>
      <c r="E3548" s="198" t="s">
        <v>58</v>
      </c>
      <c r="F3548" s="199" t="s">
        <v>4099</v>
      </c>
      <c r="G3548" s="191" t="s">
        <v>4956</v>
      </c>
      <c r="H3548" s="199" t="s">
        <v>5928</v>
      </c>
      <c r="I3548" s="197" t="s">
        <v>5956</v>
      </c>
      <c r="J3548" s="148" t="s">
        <v>63</v>
      </c>
      <c r="K3548" s="148" t="s">
        <v>64</v>
      </c>
      <c r="L3548" s="148" t="s">
        <v>65</v>
      </c>
      <c r="M3548" s="148" t="s">
        <v>66</v>
      </c>
      <c r="N3548" s="212">
        <v>46178.0</v>
      </c>
      <c r="O3548" s="148" t="s">
        <v>67</v>
      </c>
      <c r="P3548" s="148" t="s">
        <v>68</v>
      </c>
      <c r="Q3548" s="103"/>
      <c r="R3548" s="103"/>
      <c r="S3548" s="103"/>
      <c r="T3548" s="103"/>
      <c r="U3548" s="148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1">
        <v>3543.0</v>
      </c>
      <c r="B3549" s="180" t="s">
        <v>5961</v>
      </c>
      <c r="C3549" s="82" t="str">
        <f>VLOOKUP($B$7:$B$5000,SUM!$L$6:$L$500,1,FALSE)</f>
        <v>#N/A</v>
      </c>
      <c r="D3549" s="190" t="s">
        <v>5891</v>
      </c>
      <c r="E3549" s="198" t="s">
        <v>58</v>
      </c>
      <c r="F3549" s="199" t="s">
        <v>4099</v>
      </c>
      <c r="G3549" s="191" t="s">
        <v>4956</v>
      </c>
      <c r="H3549" s="199" t="s">
        <v>5930</v>
      </c>
      <c r="I3549" s="197" t="s">
        <v>5956</v>
      </c>
      <c r="J3549" s="148" t="s">
        <v>63</v>
      </c>
      <c r="K3549" s="148" t="s">
        <v>64</v>
      </c>
      <c r="L3549" s="148" t="s">
        <v>65</v>
      </c>
      <c r="M3549" s="148" t="s">
        <v>66</v>
      </c>
      <c r="N3549" s="212">
        <v>46178.0</v>
      </c>
      <c r="O3549" s="148" t="s">
        <v>67</v>
      </c>
      <c r="P3549" s="148" t="s">
        <v>68</v>
      </c>
      <c r="Q3549" s="103"/>
      <c r="R3549" s="103"/>
      <c r="S3549" s="103"/>
      <c r="T3549" s="103"/>
      <c r="U3549" s="148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1">
        <v>3544.0</v>
      </c>
      <c r="B3550" s="180" t="s">
        <v>5962</v>
      </c>
      <c r="C3550" s="82" t="str">
        <f>VLOOKUP($B$7:$B$5000,SUM!$L$6:$L$500,1,FALSE)</f>
        <v>#N/A</v>
      </c>
      <c r="D3550" s="190" t="s">
        <v>5891</v>
      </c>
      <c r="E3550" s="198" t="s">
        <v>58</v>
      </c>
      <c r="F3550" s="199" t="s">
        <v>4099</v>
      </c>
      <c r="G3550" s="191" t="s">
        <v>4956</v>
      </c>
      <c r="H3550" s="199" t="s">
        <v>5932</v>
      </c>
      <c r="I3550" s="197" t="s">
        <v>5956</v>
      </c>
      <c r="J3550" s="148" t="s">
        <v>63</v>
      </c>
      <c r="K3550" s="148" t="s">
        <v>64</v>
      </c>
      <c r="L3550" s="148" t="s">
        <v>65</v>
      </c>
      <c r="M3550" s="148" t="s">
        <v>66</v>
      </c>
      <c r="N3550" s="212">
        <v>46178.0</v>
      </c>
      <c r="O3550" s="148" t="s">
        <v>67</v>
      </c>
      <c r="P3550" s="148" t="s">
        <v>68</v>
      </c>
      <c r="Q3550" s="103"/>
      <c r="R3550" s="103"/>
      <c r="S3550" s="103"/>
      <c r="T3550" s="103"/>
      <c r="U3550" s="148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1">
        <v>3545.0</v>
      </c>
      <c r="B3551" s="180" t="s">
        <v>5963</v>
      </c>
      <c r="C3551" s="82" t="str">
        <f>VLOOKUP($B$7:$B$5000,SUM!$L$6:$L$500,1,FALSE)</f>
        <v>#N/A</v>
      </c>
      <c r="D3551" s="190" t="s">
        <v>5891</v>
      </c>
      <c r="E3551" s="198" t="s">
        <v>58</v>
      </c>
      <c r="F3551" s="199" t="s">
        <v>4099</v>
      </c>
      <c r="G3551" s="191" t="s">
        <v>4956</v>
      </c>
      <c r="H3551" s="199" t="s">
        <v>5934</v>
      </c>
      <c r="I3551" s="197" t="s">
        <v>5956</v>
      </c>
      <c r="J3551" s="148" t="s">
        <v>63</v>
      </c>
      <c r="K3551" s="148" t="s">
        <v>64</v>
      </c>
      <c r="L3551" s="148" t="s">
        <v>65</v>
      </c>
      <c r="M3551" s="148" t="s">
        <v>66</v>
      </c>
      <c r="N3551" s="212">
        <v>46178.0</v>
      </c>
      <c r="O3551" s="148" t="s">
        <v>67</v>
      </c>
      <c r="P3551" s="148" t="s">
        <v>68</v>
      </c>
      <c r="Q3551" s="103"/>
      <c r="R3551" s="103"/>
      <c r="S3551" s="103"/>
      <c r="T3551" s="103"/>
      <c r="U3551" s="148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1">
        <v>3546.0</v>
      </c>
      <c r="B3552" s="180" t="s">
        <v>5964</v>
      </c>
      <c r="C3552" s="82" t="str">
        <f>VLOOKUP($B$7:$B$5000,SUM!$L$6:$L$500,1,FALSE)</f>
        <v>#N/A</v>
      </c>
      <c r="D3552" s="190" t="s">
        <v>5891</v>
      </c>
      <c r="E3552" s="198" t="s">
        <v>58</v>
      </c>
      <c r="F3552" s="199" t="s">
        <v>4099</v>
      </c>
      <c r="G3552" s="191" t="s">
        <v>4956</v>
      </c>
      <c r="H3552" s="199" t="s">
        <v>5936</v>
      </c>
      <c r="I3552" s="197" t="s">
        <v>5956</v>
      </c>
      <c r="J3552" s="148" t="s">
        <v>63</v>
      </c>
      <c r="K3552" s="148" t="s">
        <v>64</v>
      </c>
      <c r="L3552" s="148" t="s">
        <v>65</v>
      </c>
      <c r="M3552" s="148" t="s">
        <v>66</v>
      </c>
      <c r="N3552" s="212">
        <v>46178.0</v>
      </c>
      <c r="O3552" s="148" t="s">
        <v>67</v>
      </c>
      <c r="P3552" s="148" t="s">
        <v>68</v>
      </c>
      <c r="Q3552" s="103"/>
      <c r="R3552" s="103"/>
      <c r="S3552" s="103"/>
      <c r="T3552" s="103"/>
      <c r="U3552" s="148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1">
        <v>3547.0</v>
      </c>
      <c r="B3553" s="180" t="s">
        <v>5965</v>
      </c>
      <c r="C3553" s="82" t="str">
        <f>VLOOKUP($B$7:$B$5000,SUM!$L$6:$L$500,1,FALSE)</f>
        <v>#N/A</v>
      </c>
      <c r="D3553" s="190" t="s">
        <v>5891</v>
      </c>
      <c r="E3553" s="198" t="s">
        <v>58</v>
      </c>
      <c r="F3553" s="199" t="s">
        <v>4099</v>
      </c>
      <c r="G3553" s="191" t="s">
        <v>4956</v>
      </c>
      <c r="H3553" s="199" t="s">
        <v>5938</v>
      </c>
      <c r="I3553" s="197" t="s">
        <v>5956</v>
      </c>
      <c r="J3553" s="148" t="s">
        <v>63</v>
      </c>
      <c r="K3553" s="148" t="s">
        <v>64</v>
      </c>
      <c r="L3553" s="148" t="s">
        <v>65</v>
      </c>
      <c r="M3553" s="148" t="s">
        <v>66</v>
      </c>
      <c r="N3553" s="212">
        <v>46178.0</v>
      </c>
      <c r="O3553" s="148" t="s">
        <v>67</v>
      </c>
      <c r="P3553" s="148" t="s">
        <v>68</v>
      </c>
      <c r="Q3553" s="103"/>
      <c r="R3553" s="103"/>
      <c r="S3553" s="103"/>
      <c r="T3553" s="103"/>
      <c r="U3553" s="148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1">
        <v>3548.0</v>
      </c>
      <c r="B3554" s="180" t="s">
        <v>5966</v>
      </c>
      <c r="C3554" s="82" t="str">
        <f>VLOOKUP($B$7:$B$5000,SUM!$L$6:$L$500,1,FALSE)</f>
        <v>#N/A</v>
      </c>
      <c r="D3554" s="190" t="s">
        <v>5891</v>
      </c>
      <c r="E3554" s="198" t="s">
        <v>58</v>
      </c>
      <c r="F3554" s="199" t="s">
        <v>4099</v>
      </c>
      <c r="G3554" s="191" t="s">
        <v>4956</v>
      </c>
      <c r="H3554" s="199" t="s">
        <v>5940</v>
      </c>
      <c r="I3554" s="197" t="s">
        <v>5956</v>
      </c>
      <c r="J3554" s="148" t="s">
        <v>63</v>
      </c>
      <c r="K3554" s="148" t="s">
        <v>64</v>
      </c>
      <c r="L3554" s="148" t="s">
        <v>65</v>
      </c>
      <c r="M3554" s="148" t="s">
        <v>66</v>
      </c>
      <c r="N3554" s="212">
        <v>46178.0</v>
      </c>
      <c r="O3554" s="148" t="s">
        <v>67</v>
      </c>
      <c r="P3554" s="148" t="s">
        <v>68</v>
      </c>
      <c r="Q3554" s="103"/>
      <c r="R3554" s="103"/>
      <c r="S3554" s="103"/>
      <c r="T3554" s="103"/>
      <c r="U3554" s="148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1">
        <v>3549.0</v>
      </c>
      <c r="B3555" s="180" t="s">
        <v>5967</v>
      </c>
      <c r="C3555" s="82" t="str">
        <f>VLOOKUP($B$7:$B$5000,SUM!$L$6:$L$500,1,FALSE)</f>
        <v>#N/A</v>
      </c>
      <c r="D3555" s="190" t="s">
        <v>5891</v>
      </c>
      <c r="E3555" s="198" t="s">
        <v>58</v>
      </c>
      <c r="F3555" s="199" t="s">
        <v>4099</v>
      </c>
      <c r="G3555" s="191" t="s">
        <v>4956</v>
      </c>
      <c r="H3555" s="199" t="s">
        <v>5892</v>
      </c>
      <c r="I3555" s="197" t="s">
        <v>5968</v>
      </c>
      <c r="J3555" s="148" t="s">
        <v>63</v>
      </c>
      <c r="K3555" s="148" t="s">
        <v>64</v>
      </c>
      <c r="L3555" s="148" t="s">
        <v>65</v>
      </c>
      <c r="M3555" s="148" t="s">
        <v>66</v>
      </c>
      <c r="N3555" s="212">
        <v>46178.0</v>
      </c>
      <c r="O3555" s="148" t="s">
        <v>67</v>
      </c>
      <c r="P3555" s="148" t="s">
        <v>68</v>
      </c>
      <c r="Q3555" s="103"/>
      <c r="R3555" s="103"/>
      <c r="S3555" s="103"/>
      <c r="T3555" s="103"/>
      <c r="U3555" s="148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1">
        <v>3550.0</v>
      </c>
      <c r="B3556" s="180" t="s">
        <v>5969</v>
      </c>
      <c r="C3556" s="82" t="str">
        <f>VLOOKUP($B$7:$B$5000,SUM!$L$6:$L$500,1,FALSE)</f>
        <v>#N/A</v>
      </c>
      <c r="D3556" s="190" t="s">
        <v>5891</v>
      </c>
      <c r="E3556" s="198" t="s">
        <v>58</v>
      </c>
      <c r="F3556" s="199" t="s">
        <v>4099</v>
      </c>
      <c r="G3556" s="191" t="s">
        <v>4956</v>
      </c>
      <c r="H3556" s="199" t="s">
        <v>5895</v>
      </c>
      <c r="I3556" s="197" t="s">
        <v>5968</v>
      </c>
      <c r="J3556" s="148" t="s">
        <v>63</v>
      </c>
      <c r="K3556" s="148" t="s">
        <v>64</v>
      </c>
      <c r="L3556" s="148" t="s">
        <v>65</v>
      </c>
      <c r="M3556" s="148" t="s">
        <v>66</v>
      </c>
      <c r="N3556" s="212">
        <v>46178.0</v>
      </c>
      <c r="O3556" s="148" t="s">
        <v>67</v>
      </c>
      <c r="P3556" s="148" t="s">
        <v>68</v>
      </c>
      <c r="Q3556" s="103"/>
      <c r="R3556" s="103"/>
      <c r="S3556" s="103"/>
      <c r="T3556" s="103"/>
      <c r="U3556" s="148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1">
        <v>3551.0</v>
      </c>
      <c r="B3557" s="180" t="s">
        <v>5970</v>
      </c>
      <c r="C3557" s="82" t="str">
        <f>VLOOKUP($B$7:$B$5000,SUM!$L$6:$L$500,1,FALSE)</f>
        <v>#N/A</v>
      </c>
      <c r="D3557" s="190" t="s">
        <v>5891</v>
      </c>
      <c r="E3557" s="198" t="s">
        <v>58</v>
      </c>
      <c r="F3557" s="199" t="s">
        <v>4099</v>
      </c>
      <c r="G3557" s="191" t="s">
        <v>4956</v>
      </c>
      <c r="H3557" s="199" t="s">
        <v>5897</v>
      </c>
      <c r="I3557" s="197" t="s">
        <v>5968</v>
      </c>
      <c r="J3557" s="148" t="s">
        <v>63</v>
      </c>
      <c r="K3557" s="148" t="s">
        <v>64</v>
      </c>
      <c r="L3557" s="148" t="s">
        <v>65</v>
      </c>
      <c r="M3557" s="148" t="s">
        <v>66</v>
      </c>
      <c r="N3557" s="212">
        <v>46178.0</v>
      </c>
      <c r="O3557" s="148" t="s">
        <v>67</v>
      </c>
      <c r="P3557" s="148" t="s">
        <v>68</v>
      </c>
      <c r="Q3557" s="103"/>
      <c r="R3557" s="103"/>
      <c r="S3557" s="103"/>
      <c r="T3557" s="103"/>
      <c r="U3557" s="148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1">
        <v>3552.0</v>
      </c>
      <c r="B3558" s="180" t="s">
        <v>5971</v>
      </c>
      <c r="C3558" s="82" t="str">
        <f>VLOOKUP($B$7:$B$5000,SUM!$L$6:$L$500,1,FALSE)</f>
        <v>#N/A</v>
      </c>
      <c r="D3558" s="190" t="s">
        <v>5891</v>
      </c>
      <c r="E3558" s="198" t="s">
        <v>58</v>
      </c>
      <c r="F3558" s="199" t="s">
        <v>4099</v>
      </c>
      <c r="G3558" s="191" t="s">
        <v>4956</v>
      </c>
      <c r="H3558" s="199" t="s">
        <v>5899</v>
      </c>
      <c r="I3558" s="197" t="s">
        <v>5968</v>
      </c>
      <c r="J3558" s="148" t="s">
        <v>63</v>
      </c>
      <c r="K3558" s="148" t="s">
        <v>64</v>
      </c>
      <c r="L3558" s="148" t="s">
        <v>65</v>
      </c>
      <c r="M3558" s="148" t="s">
        <v>66</v>
      </c>
      <c r="N3558" s="212">
        <v>46178.0</v>
      </c>
      <c r="O3558" s="148" t="s">
        <v>67</v>
      </c>
      <c r="P3558" s="148" t="s">
        <v>68</v>
      </c>
      <c r="Q3558" s="103"/>
      <c r="R3558" s="103"/>
      <c r="S3558" s="103"/>
      <c r="T3558" s="103"/>
      <c r="U3558" s="148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1">
        <v>3553.0</v>
      </c>
      <c r="B3559" s="180" t="s">
        <v>5972</v>
      </c>
      <c r="C3559" s="82" t="str">
        <f>VLOOKUP($B$7:$B$5000,SUM!$L$6:$L$500,1,FALSE)</f>
        <v>#N/A</v>
      </c>
      <c r="D3559" s="190" t="s">
        <v>5891</v>
      </c>
      <c r="E3559" s="198" t="s">
        <v>58</v>
      </c>
      <c r="F3559" s="199" t="s">
        <v>4099</v>
      </c>
      <c r="G3559" s="191" t="s">
        <v>4956</v>
      </c>
      <c r="H3559" s="199" t="s">
        <v>5901</v>
      </c>
      <c r="I3559" s="197" t="s">
        <v>5968</v>
      </c>
      <c r="J3559" s="148" t="s">
        <v>63</v>
      </c>
      <c r="K3559" s="148" t="s">
        <v>64</v>
      </c>
      <c r="L3559" s="148" t="s">
        <v>65</v>
      </c>
      <c r="M3559" s="148" t="s">
        <v>66</v>
      </c>
      <c r="N3559" s="212">
        <v>46178.0</v>
      </c>
      <c r="O3559" s="148" t="s">
        <v>67</v>
      </c>
      <c r="P3559" s="148" t="s">
        <v>68</v>
      </c>
      <c r="Q3559" s="103"/>
      <c r="R3559" s="103"/>
      <c r="S3559" s="103"/>
      <c r="T3559" s="103"/>
      <c r="U3559" s="148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1">
        <v>3554.0</v>
      </c>
      <c r="B3560" s="180" t="s">
        <v>5973</v>
      </c>
      <c r="C3560" s="82" t="str">
        <f>VLOOKUP($B$7:$B$5000,SUM!$L$6:$L$500,1,FALSE)</f>
        <v>#N/A</v>
      </c>
      <c r="D3560" s="190" t="s">
        <v>5891</v>
      </c>
      <c r="E3560" s="198" t="s">
        <v>58</v>
      </c>
      <c r="F3560" s="199" t="s">
        <v>4099</v>
      </c>
      <c r="G3560" s="191" t="s">
        <v>4956</v>
      </c>
      <c r="H3560" s="199" t="s">
        <v>5903</v>
      </c>
      <c r="I3560" s="197" t="s">
        <v>5968</v>
      </c>
      <c r="J3560" s="148" t="s">
        <v>63</v>
      </c>
      <c r="K3560" s="148" t="s">
        <v>64</v>
      </c>
      <c r="L3560" s="148" t="s">
        <v>65</v>
      </c>
      <c r="M3560" s="148" t="s">
        <v>66</v>
      </c>
      <c r="N3560" s="212">
        <v>46178.0</v>
      </c>
      <c r="O3560" s="148" t="s">
        <v>67</v>
      </c>
      <c r="P3560" s="148" t="s">
        <v>68</v>
      </c>
      <c r="Q3560" s="103"/>
      <c r="R3560" s="103"/>
      <c r="S3560" s="103"/>
      <c r="T3560" s="103"/>
      <c r="U3560" s="148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1">
        <v>3555.0</v>
      </c>
      <c r="B3561" s="180" t="s">
        <v>5974</v>
      </c>
      <c r="C3561" s="82" t="str">
        <f>VLOOKUP($B$7:$B$5000,SUM!$L$6:$L$500,1,FALSE)</f>
        <v>#N/A</v>
      </c>
      <c r="D3561" s="190" t="s">
        <v>5891</v>
      </c>
      <c r="E3561" s="198" t="s">
        <v>58</v>
      </c>
      <c r="F3561" s="199" t="s">
        <v>4099</v>
      </c>
      <c r="G3561" s="191" t="s">
        <v>4956</v>
      </c>
      <c r="H3561" s="199" t="s">
        <v>5905</v>
      </c>
      <c r="I3561" s="197" t="s">
        <v>5968</v>
      </c>
      <c r="J3561" s="148" t="s">
        <v>63</v>
      </c>
      <c r="K3561" s="148" t="s">
        <v>64</v>
      </c>
      <c r="L3561" s="148" t="s">
        <v>65</v>
      </c>
      <c r="M3561" s="148" t="s">
        <v>66</v>
      </c>
      <c r="N3561" s="212">
        <v>46178.0</v>
      </c>
      <c r="O3561" s="148" t="s">
        <v>67</v>
      </c>
      <c r="P3561" s="148" t="s">
        <v>68</v>
      </c>
      <c r="Q3561" s="103"/>
      <c r="R3561" s="103"/>
      <c r="S3561" s="103"/>
      <c r="T3561" s="103"/>
      <c r="U3561" s="148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1">
        <v>3556.0</v>
      </c>
      <c r="B3562" s="180" t="s">
        <v>5975</v>
      </c>
      <c r="C3562" s="82" t="str">
        <f>VLOOKUP($B$7:$B$5000,SUM!$L$6:$L$500,1,FALSE)</f>
        <v>#N/A</v>
      </c>
      <c r="D3562" s="190" t="s">
        <v>5891</v>
      </c>
      <c r="E3562" s="198" t="s">
        <v>58</v>
      </c>
      <c r="F3562" s="199" t="s">
        <v>4099</v>
      </c>
      <c r="G3562" s="191" t="s">
        <v>4956</v>
      </c>
      <c r="H3562" s="199" t="s">
        <v>5907</v>
      </c>
      <c r="I3562" s="197" t="s">
        <v>5968</v>
      </c>
      <c r="J3562" s="148" t="s">
        <v>63</v>
      </c>
      <c r="K3562" s="148" t="s">
        <v>64</v>
      </c>
      <c r="L3562" s="148" t="s">
        <v>65</v>
      </c>
      <c r="M3562" s="148" t="s">
        <v>66</v>
      </c>
      <c r="N3562" s="212">
        <v>46178.0</v>
      </c>
      <c r="O3562" s="148" t="s">
        <v>67</v>
      </c>
      <c r="P3562" s="148" t="s">
        <v>68</v>
      </c>
      <c r="Q3562" s="103"/>
      <c r="R3562" s="103"/>
      <c r="S3562" s="103"/>
      <c r="T3562" s="103"/>
      <c r="U3562" s="148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1">
        <v>3557.0</v>
      </c>
      <c r="B3563" s="180" t="s">
        <v>5976</v>
      </c>
      <c r="C3563" s="82" t="str">
        <f>VLOOKUP($B$7:$B$5000,SUM!$L$6:$L$500,1,FALSE)</f>
        <v>#N/A</v>
      </c>
      <c r="D3563" s="190" t="s">
        <v>5891</v>
      </c>
      <c r="E3563" s="198" t="s">
        <v>58</v>
      </c>
      <c r="F3563" s="199" t="s">
        <v>4099</v>
      </c>
      <c r="G3563" s="191" t="s">
        <v>4956</v>
      </c>
      <c r="H3563" s="199" t="s">
        <v>5909</v>
      </c>
      <c r="I3563" s="197" t="s">
        <v>5968</v>
      </c>
      <c r="J3563" s="148" t="s">
        <v>63</v>
      </c>
      <c r="K3563" s="148" t="s">
        <v>64</v>
      </c>
      <c r="L3563" s="148" t="s">
        <v>65</v>
      </c>
      <c r="M3563" s="148" t="s">
        <v>66</v>
      </c>
      <c r="N3563" s="212">
        <v>46178.0</v>
      </c>
      <c r="O3563" s="148" t="s">
        <v>67</v>
      </c>
      <c r="P3563" s="148" t="s">
        <v>68</v>
      </c>
      <c r="Q3563" s="103"/>
      <c r="R3563" s="103"/>
      <c r="S3563" s="103"/>
      <c r="T3563" s="103"/>
      <c r="U3563" s="148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1">
        <v>3558.0</v>
      </c>
      <c r="B3564" s="180" t="s">
        <v>5977</v>
      </c>
      <c r="C3564" s="82" t="str">
        <f>VLOOKUP($B$7:$B$5000,SUM!$L$6:$L$500,1,FALSE)</f>
        <v>#N/A</v>
      </c>
      <c r="D3564" s="190" t="s">
        <v>5891</v>
      </c>
      <c r="E3564" s="198" t="s">
        <v>58</v>
      </c>
      <c r="F3564" s="199" t="s">
        <v>4099</v>
      </c>
      <c r="G3564" s="191" t="s">
        <v>4956</v>
      </c>
      <c r="H3564" s="199" t="s">
        <v>5911</v>
      </c>
      <c r="I3564" s="197" t="s">
        <v>5968</v>
      </c>
      <c r="J3564" s="148" t="s">
        <v>63</v>
      </c>
      <c r="K3564" s="148" t="s">
        <v>64</v>
      </c>
      <c r="L3564" s="148" t="s">
        <v>65</v>
      </c>
      <c r="M3564" s="148" t="s">
        <v>66</v>
      </c>
      <c r="N3564" s="212">
        <v>46178.0</v>
      </c>
      <c r="O3564" s="148" t="s">
        <v>67</v>
      </c>
      <c r="P3564" s="148" t="s">
        <v>68</v>
      </c>
      <c r="Q3564" s="103"/>
      <c r="R3564" s="103"/>
      <c r="S3564" s="103"/>
      <c r="T3564" s="103"/>
      <c r="U3564" s="148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1">
        <v>3559.0</v>
      </c>
      <c r="B3565" s="180" t="s">
        <v>5978</v>
      </c>
      <c r="C3565" s="82" t="str">
        <f>VLOOKUP($B$7:$B$5000,SUM!$L$6:$L$500,1,FALSE)</f>
        <v>#N/A</v>
      </c>
      <c r="D3565" s="190" t="s">
        <v>5891</v>
      </c>
      <c r="E3565" s="198" t="s">
        <v>58</v>
      </c>
      <c r="F3565" s="199" t="s">
        <v>4099</v>
      </c>
      <c r="G3565" s="191" t="s">
        <v>4956</v>
      </c>
      <c r="H3565" s="199" t="s">
        <v>5913</v>
      </c>
      <c r="I3565" s="197" t="s">
        <v>5968</v>
      </c>
      <c r="J3565" s="148" t="s">
        <v>63</v>
      </c>
      <c r="K3565" s="148" t="s">
        <v>64</v>
      </c>
      <c r="L3565" s="148" t="s">
        <v>65</v>
      </c>
      <c r="M3565" s="148" t="s">
        <v>66</v>
      </c>
      <c r="N3565" s="212">
        <v>46178.0</v>
      </c>
      <c r="O3565" s="148" t="s">
        <v>67</v>
      </c>
      <c r="P3565" s="148" t="s">
        <v>68</v>
      </c>
      <c r="Q3565" s="103"/>
      <c r="R3565" s="103"/>
      <c r="S3565" s="103"/>
      <c r="T3565" s="103"/>
      <c r="U3565" s="148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1">
        <v>3560.0</v>
      </c>
      <c r="B3566" s="180" t="s">
        <v>5979</v>
      </c>
      <c r="C3566" s="82" t="str">
        <f>VLOOKUP($B$7:$B$5000,SUM!$L$6:$L$500,1,FALSE)</f>
        <v>#N/A</v>
      </c>
      <c r="D3566" s="190" t="s">
        <v>5891</v>
      </c>
      <c r="E3566" s="198" t="s">
        <v>58</v>
      </c>
      <c r="F3566" s="199" t="s">
        <v>4099</v>
      </c>
      <c r="G3566" s="191" t="s">
        <v>4956</v>
      </c>
      <c r="H3566" s="199" t="s">
        <v>5915</v>
      </c>
      <c r="I3566" s="197" t="s">
        <v>5968</v>
      </c>
      <c r="J3566" s="148" t="s">
        <v>63</v>
      </c>
      <c r="K3566" s="148" t="s">
        <v>64</v>
      </c>
      <c r="L3566" s="148" t="s">
        <v>65</v>
      </c>
      <c r="M3566" s="148" t="s">
        <v>66</v>
      </c>
      <c r="N3566" s="212">
        <v>46178.0</v>
      </c>
      <c r="O3566" s="148" t="s">
        <v>67</v>
      </c>
      <c r="P3566" s="148" t="s">
        <v>68</v>
      </c>
      <c r="Q3566" s="103"/>
      <c r="R3566" s="103"/>
      <c r="S3566" s="103"/>
      <c r="T3566" s="103"/>
      <c r="U3566" s="148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1">
        <v>3561.0</v>
      </c>
      <c r="B3567" s="180" t="s">
        <v>5980</v>
      </c>
      <c r="C3567" s="82" t="str">
        <f>VLOOKUP($B$7:$B$5000,SUM!$L$6:$L$500,1,FALSE)</f>
        <v>#N/A</v>
      </c>
      <c r="D3567" s="190" t="s">
        <v>5891</v>
      </c>
      <c r="E3567" s="198" t="s">
        <v>58</v>
      </c>
      <c r="F3567" s="199" t="s">
        <v>4099</v>
      </c>
      <c r="G3567" s="191" t="s">
        <v>4956</v>
      </c>
      <c r="H3567" s="199" t="s">
        <v>5917</v>
      </c>
      <c r="I3567" s="197" t="s">
        <v>5968</v>
      </c>
      <c r="J3567" s="148" t="s">
        <v>63</v>
      </c>
      <c r="K3567" s="148" t="s">
        <v>64</v>
      </c>
      <c r="L3567" s="148" t="s">
        <v>65</v>
      </c>
      <c r="M3567" s="148" t="s">
        <v>66</v>
      </c>
      <c r="N3567" s="212">
        <v>46178.0</v>
      </c>
      <c r="O3567" s="148" t="s">
        <v>67</v>
      </c>
      <c r="P3567" s="148" t="s">
        <v>68</v>
      </c>
      <c r="Q3567" s="103"/>
      <c r="R3567" s="103"/>
      <c r="S3567" s="103"/>
      <c r="T3567" s="103"/>
      <c r="U3567" s="148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1">
        <v>3562.0</v>
      </c>
      <c r="B3568" s="180" t="s">
        <v>5981</v>
      </c>
      <c r="C3568" s="82" t="str">
        <f>VLOOKUP($B$7:$B$5000,SUM!$L$6:$L$500,1,FALSE)</f>
        <v>#N/A</v>
      </c>
      <c r="D3568" s="190" t="s">
        <v>5891</v>
      </c>
      <c r="E3568" s="198" t="s">
        <v>58</v>
      </c>
      <c r="F3568" s="199" t="s">
        <v>4099</v>
      </c>
      <c r="G3568" s="191" t="s">
        <v>4956</v>
      </c>
      <c r="H3568" s="199" t="s">
        <v>5919</v>
      </c>
      <c r="I3568" s="197" t="s">
        <v>5982</v>
      </c>
      <c r="J3568" s="148" t="s">
        <v>63</v>
      </c>
      <c r="K3568" s="148" t="s">
        <v>64</v>
      </c>
      <c r="L3568" s="148" t="s">
        <v>65</v>
      </c>
      <c r="M3568" s="148" t="s">
        <v>66</v>
      </c>
      <c r="N3568" s="212">
        <v>46178.0</v>
      </c>
      <c r="O3568" s="148" t="s">
        <v>67</v>
      </c>
      <c r="P3568" s="148" t="s">
        <v>68</v>
      </c>
      <c r="Q3568" s="103"/>
      <c r="R3568" s="103"/>
      <c r="S3568" s="103"/>
      <c r="T3568" s="103"/>
      <c r="U3568" s="148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1">
        <v>3563.0</v>
      </c>
      <c r="B3569" s="180" t="s">
        <v>5983</v>
      </c>
      <c r="C3569" s="82" t="str">
        <f>VLOOKUP($B$7:$B$5000,SUM!$L$6:$L$500,1,FALSE)</f>
        <v>#N/A</v>
      </c>
      <c r="D3569" s="190" t="s">
        <v>5891</v>
      </c>
      <c r="E3569" s="198" t="s">
        <v>58</v>
      </c>
      <c r="F3569" s="199" t="s">
        <v>4099</v>
      </c>
      <c r="G3569" s="191" t="s">
        <v>4956</v>
      </c>
      <c r="H3569" s="199" t="s">
        <v>5922</v>
      </c>
      <c r="I3569" s="197" t="s">
        <v>5982</v>
      </c>
      <c r="J3569" s="148" t="s">
        <v>63</v>
      </c>
      <c r="K3569" s="148" t="s">
        <v>64</v>
      </c>
      <c r="L3569" s="148" t="s">
        <v>65</v>
      </c>
      <c r="M3569" s="148" t="s">
        <v>66</v>
      </c>
      <c r="N3569" s="212">
        <v>46178.0</v>
      </c>
      <c r="O3569" s="148" t="s">
        <v>67</v>
      </c>
      <c r="P3569" s="148" t="s">
        <v>68</v>
      </c>
      <c r="Q3569" s="103"/>
      <c r="R3569" s="103"/>
      <c r="S3569" s="103"/>
      <c r="T3569" s="103"/>
      <c r="U3569" s="148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1">
        <v>3564.0</v>
      </c>
      <c r="B3570" s="180" t="s">
        <v>5984</v>
      </c>
      <c r="C3570" s="82" t="str">
        <f>VLOOKUP($B$7:$B$5000,SUM!$L$6:$L$500,1,FALSE)</f>
        <v>#N/A</v>
      </c>
      <c r="D3570" s="190" t="s">
        <v>5891</v>
      </c>
      <c r="E3570" s="198" t="s">
        <v>58</v>
      </c>
      <c r="F3570" s="199" t="s">
        <v>4099</v>
      </c>
      <c r="G3570" s="191" t="s">
        <v>4956</v>
      </c>
      <c r="H3570" s="199" t="s">
        <v>5924</v>
      </c>
      <c r="I3570" s="197" t="s">
        <v>5982</v>
      </c>
      <c r="J3570" s="148" t="s">
        <v>63</v>
      </c>
      <c r="K3570" s="148" t="s">
        <v>64</v>
      </c>
      <c r="L3570" s="148" t="s">
        <v>65</v>
      </c>
      <c r="M3570" s="148" t="s">
        <v>66</v>
      </c>
      <c r="N3570" s="212">
        <v>46178.0</v>
      </c>
      <c r="O3570" s="148" t="s">
        <v>67</v>
      </c>
      <c r="P3570" s="148" t="s">
        <v>68</v>
      </c>
      <c r="Q3570" s="103"/>
      <c r="R3570" s="103"/>
      <c r="S3570" s="103"/>
      <c r="T3570" s="103"/>
      <c r="U3570" s="148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1">
        <v>3565.0</v>
      </c>
      <c r="B3571" s="180" t="s">
        <v>5985</v>
      </c>
      <c r="C3571" s="82" t="str">
        <f>VLOOKUP($B$7:$B$5000,SUM!$L$6:$L$500,1,FALSE)</f>
        <v>#N/A</v>
      </c>
      <c r="D3571" s="190" t="s">
        <v>5891</v>
      </c>
      <c r="E3571" s="198" t="s">
        <v>58</v>
      </c>
      <c r="F3571" s="199" t="s">
        <v>4099</v>
      </c>
      <c r="G3571" s="191" t="s">
        <v>4956</v>
      </c>
      <c r="H3571" s="199" t="s">
        <v>5926</v>
      </c>
      <c r="I3571" s="197" t="s">
        <v>5982</v>
      </c>
      <c r="J3571" s="148" t="s">
        <v>63</v>
      </c>
      <c r="K3571" s="148" t="s">
        <v>64</v>
      </c>
      <c r="L3571" s="148" t="s">
        <v>65</v>
      </c>
      <c r="M3571" s="148" t="s">
        <v>66</v>
      </c>
      <c r="N3571" s="212">
        <v>46178.0</v>
      </c>
      <c r="O3571" s="148" t="s">
        <v>67</v>
      </c>
      <c r="P3571" s="148" t="s">
        <v>68</v>
      </c>
      <c r="Q3571" s="103"/>
      <c r="R3571" s="103"/>
      <c r="S3571" s="103"/>
      <c r="T3571" s="103"/>
      <c r="U3571" s="148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1">
        <v>3566.0</v>
      </c>
      <c r="B3572" s="180" t="s">
        <v>5986</v>
      </c>
      <c r="C3572" s="82" t="str">
        <f>VLOOKUP($B$7:$B$5000,SUM!$L$6:$L$500,1,FALSE)</f>
        <v>#N/A</v>
      </c>
      <c r="D3572" s="190" t="s">
        <v>5891</v>
      </c>
      <c r="E3572" s="198" t="s">
        <v>58</v>
      </c>
      <c r="F3572" s="199" t="s">
        <v>4099</v>
      </c>
      <c r="G3572" s="191" t="s">
        <v>4956</v>
      </c>
      <c r="H3572" s="199" t="s">
        <v>5928</v>
      </c>
      <c r="I3572" s="197" t="s">
        <v>5982</v>
      </c>
      <c r="J3572" s="148" t="s">
        <v>63</v>
      </c>
      <c r="K3572" s="148" t="s">
        <v>64</v>
      </c>
      <c r="L3572" s="148" t="s">
        <v>65</v>
      </c>
      <c r="M3572" s="148" t="s">
        <v>66</v>
      </c>
      <c r="N3572" s="212">
        <v>46178.0</v>
      </c>
      <c r="O3572" s="148" t="s">
        <v>67</v>
      </c>
      <c r="P3572" s="148" t="s">
        <v>68</v>
      </c>
      <c r="Q3572" s="103"/>
      <c r="R3572" s="103"/>
      <c r="S3572" s="103"/>
      <c r="T3572" s="103"/>
      <c r="U3572" s="148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1">
        <v>3567.0</v>
      </c>
      <c r="B3573" s="180" t="s">
        <v>5987</v>
      </c>
      <c r="C3573" s="82" t="str">
        <f>VLOOKUP($B$7:$B$5000,SUM!$L$6:$L$500,1,FALSE)</f>
        <v>#N/A</v>
      </c>
      <c r="D3573" s="190" t="s">
        <v>5891</v>
      </c>
      <c r="E3573" s="198" t="s">
        <v>58</v>
      </c>
      <c r="F3573" s="199" t="s">
        <v>4099</v>
      </c>
      <c r="G3573" s="191" t="s">
        <v>4956</v>
      </c>
      <c r="H3573" s="199" t="s">
        <v>5930</v>
      </c>
      <c r="I3573" s="197" t="s">
        <v>5982</v>
      </c>
      <c r="J3573" s="148" t="s">
        <v>63</v>
      </c>
      <c r="K3573" s="148" t="s">
        <v>64</v>
      </c>
      <c r="L3573" s="148" t="s">
        <v>65</v>
      </c>
      <c r="M3573" s="148" t="s">
        <v>66</v>
      </c>
      <c r="N3573" s="212">
        <v>46178.0</v>
      </c>
      <c r="O3573" s="148" t="s">
        <v>67</v>
      </c>
      <c r="P3573" s="148" t="s">
        <v>68</v>
      </c>
      <c r="Q3573" s="103"/>
      <c r="R3573" s="103"/>
      <c r="S3573" s="103"/>
      <c r="T3573" s="103"/>
      <c r="U3573" s="148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1">
        <v>3568.0</v>
      </c>
      <c r="B3574" s="180" t="s">
        <v>5988</v>
      </c>
      <c r="C3574" s="82" t="str">
        <f>VLOOKUP($B$7:$B$5000,SUM!$L$6:$L$500,1,FALSE)</f>
        <v>#N/A</v>
      </c>
      <c r="D3574" s="190" t="s">
        <v>5891</v>
      </c>
      <c r="E3574" s="198" t="s">
        <v>58</v>
      </c>
      <c r="F3574" s="199" t="s">
        <v>4099</v>
      </c>
      <c r="G3574" s="191" t="s">
        <v>4956</v>
      </c>
      <c r="H3574" s="199" t="s">
        <v>5932</v>
      </c>
      <c r="I3574" s="197" t="s">
        <v>5982</v>
      </c>
      <c r="J3574" s="148" t="s">
        <v>63</v>
      </c>
      <c r="K3574" s="148" t="s">
        <v>64</v>
      </c>
      <c r="L3574" s="148" t="s">
        <v>65</v>
      </c>
      <c r="M3574" s="148" t="s">
        <v>66</v>
      </c>
      <c r="N3574" s="212">
        <v>46178.0</v>
      </c>
      <c r="O3574" s="148" t="s">
        <v>67</v>
      </c>
      <c r="P3574" s="148" t="s">
        <v>68</v>
      </c>
      <c r="Q3574" s="103"/>
      <c r="R3574" s="103"/>
      <c r="S3574" s="103"/>
      <c r="T3574" s="103"/>
      <c r="U3574" s="148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1">
        <v>3569.0</v>
      </c>
      <c r="B3575" s="180" t="s">
        <v>5989</v>
      </c>
      <c r="C3575" s="82" t="str">
        <f>VLOOKUP($B$7:$B$5000,SUM!$L$6:$L$500,1,FALSE)</f>
        <v>#N/A</v>
      </c>
      <c r="D3575" s="190" t="s">
        <v>5891</v>
      </c>
      <c r="E3575" s="198" t="s">
        <v>58</v>
      </c>
      <c r="F3575" s="199" t="s">
        <v>4099</v>
      </c>
      <c r="G3575" s="191" t="s">
        <v>4956</v>
      </c>
      <c r="H3575" s="199" t="s">
        <v>5934</v>
      </c>
      <c r="I3575" s="197" t="s">
        <v>5982</v>
      </c>
      <c r="J3575" s="148" t="s">
        <v>63</v>
      </c>
      <c r="K3575" s="148" t="s">
        <v>64</v>
      </c>
      <c r="L3575" s="148" t="s">
        <v>65</v>
      </c>
      <c r="M3575" s="148" t="s">
        <v>66</v>
      </c>
      <c r="N3575" s="212">
        <v>46178.0</v>
      </c>
      <c r="O3575" s="148" t="s">
        <v>67</v>
      </c>
      <c r="P3575" s="148" t="s">
        <v>68</v>
      </c>
      <c r="Q3575" s="103"/>
      <c r="R3575" s="103"/>
      <c r="S3575" s="103"/>
      <c r="T3575" s="103"/>
      <c r="U3575" s="148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1">
        <v>3570.0</v>
      </c>
      <c r="B3576" s="180" t="s">
        <v>5990</v>
      </c>
      <c r="C3576" s="82" t="str">
        <f>VLOOKUP($B$7:$B$5000,SUM!$L$6:$L$500,1,FALSE)</f>
        <v>#N/A</v>
      </c>
      <c r="D3576" s="190" t="s">
        <v>5891</v>
      </c>
      <c r="E3576" s="198" t="s">
        <v>58</v>
      </c>
      <c r="F3576" s="199" t="s">
        <v>4099</v>
      </c>
      <c r="G3576" s="191" t="s">
        <v>4956</v>
      </c>
      <c r="H3576" s="199" t="s">
        <v>5936</v>
      </c>
      <c r="I3576" s="197" t="s">
        <v>5982</v>
      </c>
      <c r="J3576" s="148" t="s">
        <v>63</v>
      </c>
      <c r="K3576" s="148" t="s">
        <v>64</v>
      </c>
      <c r="L3576" s="148" t="s">
        <v>65</v>
      </c>
      <c r="M3576" s="148" t="s">
        <v>66</v>
      </c>
      <c r="N3576" s="212">
        <v>46178.0</v>
      </c>
      <c r="O3576" s="148" t="s">
        <v>67</v>
      </c>
      <c r="P3576" s="148" t="s">
        <v>68</v>
      </c>
      <c r="Q3576" s="103"/>
      <c r="R3576" s="103"/>
      <c r="S3576" s="103"/>
      <c r="T3576" s="103"/>
      <c r="U3576" s="148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1">
        <v>3571.0</v>
      </c>
      <c r="B3577" s="180" t="s">
        <v>5991</v>
      </c>
      <c r="C3577" s="82" t="str">
        <f>VLOOKUP($B$7:$B$5000,SUM!$L$6:$L$500,1,FALSE)</f>
        <v>#N/A</v>
      </c>
      <c r="D3577" s="190" t="s">
        <v>5891</v>
      </c>
      <c r="E3577" s="198" t="s">
        <v>58</v>
      </c>
      <c r="F3577" s="199" t="s">
        <v>4099</v>
      </c>
      <c r="G3577" s="191" t="s">
        <v>4956</v>
      </c>
      <c r="H3577" s="199" t="s">
        <v>5938</v>
      </c>
      <c r="I3577" s="197" t="s">
        <v>5982</v>
      </c>
      <c r="J3577" s="148" t="s">
        <v>63</v>
      </c>
      <c r="K3577" s="148" t="s">
        <v>64</v>
      </c>
      <c r="L3577" s="148" t="s">
        <v>65</v>
      </c>
      <c r="M3577" s="148" t="s">
        <v>66</v>
      </c>
      <c r="N3577" s="212">
        <v>46178.0</v>
      </c>
      <c r="O3577" s="148" t="s">
        <v>67</v>
      </c>
      <c r="P3577" s="148" t="s">
        <v>68</v>
      </c>
      <c r="Q3577" s="103"/>
      <c r="R3577" s="103"/>
      <c r="S3577" s="103"/>
      <c r="T3577" s="103"/>
      <c r="U3577" s="148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1">
        <v>3572.0</v>
      </c>
      <c r="B3578" s="180" t="s">
        <v>5992</v>
      </c>
      <c r="C3578" s="82" t="str">
        <f>VLOOKUP($B$7:$B$5000,SUM!$L$6:$L$500,1,FALSE)</f>
        <v>#N/A</v>
      </c>
      <c r="D3578" s="190" t="s">
        <v>5891</v>
      </c>
      <c r="E3578" s="198" t="s">
        <v>58</v>
      </c>
      <c r="F3578" s="199" t="s">
        <v>4099</v>
      </c>
      <c r="G3578" s="191" t="s">
        <v>4956</v>
      </c>
      <c r="H3578" s="199" t="s">
        <v>5940</v>
      </c>
      <c r="I3578" s="197" t="s">
        <v>5982</v>
      </c>
      <c r="J3578" s="148" t="s">
        <v>63</v>
      </c>
      <c r="K3578" s="148" t="s">
        <v>64</v>
      </c>
      <c r="L3578" s="148" t="s">
        <v>65</v>
      </c>
      <c r="M3578" s="148" t="s">
        <v>66</v>
      </c>
      <c r="N3578" s="212">
        <v>46178.0</v>
      </c>
      <c r="O3578" s="148" t="s">
        <v>67</v>
      </c>
      <c r="P3578" s="148" t="s">
        <v>68</v>
      </c>
      <c r="Q3578" s="103"/>
      <c r="R3578" s="103"/>
      <c r="S3578" s="103"/>
      <c r="T3578" s="103"/>
      <c r="U3578" s="148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1">
        <v>3573.0</v>
      </c>
      <c r="B3579" s="180" t="s">
        <v>5993</v>
      </c>
      <c r="C3579" s="82" t="str">
        <f>VLOOKUP($B$7:$B$5000,SUM!$L$6:$L$500,1,FALSE)</f>
        <v>#N/A</v>
      </c>
      <c r="D3579" s="190" t="s">
        <v>5994</v>
      </c>
      <c r="E3579" s="198" t="s">
        <v>58</v>
      </c>
      <c r="F3579" s="199" t="s">
        <v>5995</v>
      </c>
      <c r="G3579" s="191" t="s">
        <v>5996</v>
      </c>
      <c r="H3579" s="199" t="s">
        <v>5997</v>
      </c>
      <c r="I3579" s="197" t="s">
        <v>5998</v>
      </c>
      <c r="J3579" s="148" t="s">
        <v>63</v>
      </c>
      <c r="K3579" s="148" t="s">
        <v>64</v>
      </c>
      <c r="L3579" s="148" t="s">
        <v>65</v>
      </c>
      <c r="M3579" s="148" t="s">
        <v>66</v>
      </c>
      <c r="N3579" s="159">
        <v>46183.0</v>
      </c>
      <c r="O3579" s="148" t="s">
        <v>67</v>
      </c>
      <c r="P3579" s="148" t="s">
        <v>68</v>
      </c>
      <c r="Q3579" s="103"/>
      <c r="R3579" s="103"/>
      <c r="S3579" s="103"/>
      <c r="T3579" s="103"/>
      <c r="U3579" s="148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1">
        <v>3574.0</v>
      </c>
      <c r="B3580" s="180" t="s">
        <v>5999</v>
      </c>
      <c r="C3580" s="82" t="str">
        <f>VLOOKUP($B$7:$B$5000,SUM!$L$6:$L$500,1,FALSE)</f>
        <v>#N/A</v>
      </c>
      <c r="D3580" s="190" t="s">
        <v>5994</v>
      </c>
      <c r="E3580" s="198" t="s">
        <v>58</v>
      </c>
      <c r="F3580" s="199" t="s">
        <v>5995</v>
      </c>
      <c r="G3580" s="191" t="s">
        <v>5996</v>
      </c>
      <c r="H3580" s="199" t="s">
        <v>6000</v>
      </c>
      <c r="I3580" s="197" t="s">
        <v>6001</v>
      </c>
      <c r="J3580" s="148" t="s">
        <v>63</v>
      </c>
      <c r="K3580" s="148" t="s">
        <v>64</v>
      </c>
      <c r="L3580" s="148" t="s">
        <v>65</v>
      </c>
      <c r="M3580" s="148" t="s">
        <v>66</v>
      </c>
      <c r="N3580" s="159">
        <v>46183.0</v>
      </c>
      <c r="O3580" s="148" t="s">
        <v>67</v>
      </c>
      <c r="P3580" s="148" t="s">
        <v>68</v>
      </c>
      <c r="Q3580" s="103"/>
      <c r="R3580" s="103"/>
      <c r="S3580" s="103"/>
      <c r="T3580" s="103"/>
      <c r="U3580" s="148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1">
        <v>3575.0</v>
      </c>
      <c r="B3581" s="180" t="s">
        <v>6002</v>
      </c>
      <c r="C3581" s="82" t="str">
        <f>VLOOKUP($B$7:$B$5000,SUM!$L$6:$L$500,1,FALSE)</f>
        <v>#N/A</v>
      </c>
      <c r="D3581" s="190" t="s">
        <v>5994</v>
      </c>
      <c r="E3581" s="198" t="s">
        <v>58</v>
      </c>
      <c r="F3581" s="199" t="s">
        <v>5995</v>
      </c>
      <c r="G3581" s="191" t="s">
        <v>5996</v>
      </c>
      <c r="H3581" s="199" t="s">
        <v>6003</v>
      </c>
      <c r="I3581" s="197" t="s">
        <v>6004</v>
      </c>
      <c r="J3581" s="148" t="s">
        <v>63</v>
      </c>
      <c r="K3581" s="148" t="s">
        <v>64</v>
      </c>
      <c r="L3581" s="148" t="s">
        <v>65</v>
      </c>
      <c r="M3581" s="148" t="s">
        <v>66</v>
      </c>
      <c r="N3581" s="159">
        <v>46183.0</v>
      </c>
      <c r="O3581" s="148" t="s">
        <v>67</v>
      </c>
      <c r="P3581" s="148" t="s">
        <v>68</v>
      </c>
      <c r="Q3581" s="103"/>
      <c r="R3581" s="103"/>
      <c r="S3581" s="103"/>
      <c r="T3581" s="103"/>
      <c r="U3581" s="148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1">
        <v>3576.0</v>
      </c>
      <c r="B3582" s="180" t="s">
        <v>6005</v>
      </c>
      <c r="C3582" s="82" t="str">
        <f>VLOOKUP($B$7:$B$5000,SUM!$L$6:$L$500,1,FALSE)</f>
        <v>#N/A</v>
      </c>
      <c r="D3582" s="190" t="s">
        <v>5994</v>
      </c>
      <c r="E3582" s="198" t="s">
        <v>58</v>
      </c>
      <c r="F3582" s="199" t="s">
        <v>5995</v>
      </c>
      <c r="G3582" s="191" t="s">
        <v>5996</v>
      </c>
      <c r="H3582" s="199" t="s">
        <v>6006</v>
      </c>
      <c r="I3582" s="197" t="s">
        <v>5998</v>
      </c>
      <c r="J3582" s="148" t="s">
        <v>63</v>
      </c>
      <c r="K3582" s="148" t="s">
        <v>64</v>
      </c>
      <c r="L3582" s="148" t="s">
        <v>65</v>
      </c>
      <c r="M3582" s="148" t="s">
        <v>66</v>
      </c>
      <c r="N3582" s="159">
        <v>46183.0</v>
      </c>
      <c r="O3582" s="148" t="s">
        <v>67</v>
      </c>
      <c r="P3582" s="148" t="s">
        <v>68</v>
      </c>
      <c r="Q3582" s="103"/>
      <c r="R3582" s="103"/>
      <c r="S3582" s="103"/>
      <c r="T3582" s="103"/>
      <c r="U3582" s="148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1">
        <v>3577.0</v>
      </c>
      <c r="B3583" s="180" t="s">
        <v>6007</v>
      </c>
      <c r="C3583" s="82" t="str">
        <f>VLOOKUP($B$7:$B$5000,SUM!$L$6:$L$500,1,FALSE)</f>
        <v>#N/A</v>
      </c>
      <c r="D3583" s="190" t="s">
        <v>5994</v>
      </c>
      <c r="E3583" s="198" t="s">
        <v>58</v>
      </c>
      <c r="F3583" s="199" t="s">
        <v>5995</v>
      </c>
      <c r="G3583" s="191" t="s">
        <v>5996</v>
      </c>
      <c r="H3583" s="199" t="s">
        <v>6008</v>
      </c>
      <c r="I3583" s="197" t="s">
        <v>6001</v>
      </c>
      <c r="J3583" s="148" t="s">
        <v>63</v>
      </c>
      <c r="K3583" s="148" t="s">
        <v>64</v>
      </c>
      <c r="L3583" s="148" t="s">
        <v>65</v>
      </c>
      <c r="M3583" s="148" t="s">
        <v>66</v>
      </c>
      <c r="N3583" s="159">
        <v>46183.0</v>
      </c>
      <c r="O3583" s="148" t="s">
        <v>67</v>
      </c>
      <c r="P3583" s="148" t="s">
        <v>68</v>
      </c>
      <c r="Q3583" s="103"/>
      <c r="R3583" s="103"/>
      <c r="S3583" s="103"/>
      <c r="T3583" s="103"/>
      <c r="U3583" s="148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1">
        <v>3578.0</v>
      </c>
      <c r="B3584" s="180" t="s">
        <v>6009</v>
      </c>
      <c r="C3584" s="82" t="str">
        <f>VLOOKUP($B$7:$B$5000,SUM!$L$6:$L$500,1,FALSE)</f>
        <v>#N/A</v>
      </c>
      <c r="D3584" s="190" t="s">
        <v>5994</v>
      </c>
      <c r="E3584" s="198" t="s">
        <v>58</v>
      </c>
      <c r="F3584" s="199" t="s">
        <v>5995</v>
      </c>
      <c r="G3584" s="191" t="s">
        <v>5996</v>
      </c>
      <c r="H3584" s="199" t="s">
        <v>5997</v>
      </c>
      <c r="I3584" s="197" t="s">
        <v>6010</v>
      </c>
      <c r="J3584" s="148" t="s">
        <v>63</v>
      </c>
      <c r="K3584" s="148" t="s">
        <v>64</v>
      </c>
      <c r="L3584" s="148" t="s">
        <v>65</v>
      </c>
      <c r="M3584" s="148" t="s">
        <v>66</v>
      </c>
      <c r="N3584" s="159">
        <v>46183.0</v>
      </c>
      <c r="O3584" s="148" t="s">
        <v>67</v>
      </c>
      <c r="P3584" s="148" t="s">
        <v>68</v>
      </c>
      <c r="Q3584" s="103"/>
      <c r="R3584" s="103"/>
      <c r="S3584" s="103"/>
      <c r="T3584" s="103"/>
      <c r="U3584" s="148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1">
        <v>3579.0</v>
      </c>
      <c r="B3585" s="180" t="s">
        <v>6011</v>
      </c>
      <c r="C3585" s="82" t="str">
        <f>VLOOKUP($B$7:$B$5000,SUM!$L$6:$L$500,1,FALSE)</f>
        <v>#N/A</v>
      </c>
      <c r="D3585" s="190" t="s">
        <v>5994</v>
      </c>
      <c r="E3585" s="198" t="s">
        <v>58</v>
      </c>
      <c r="F3585" s="199" t="s">
        <v>5995</v>
      </c>
      <c r="G3585" s="191" t="s">
        <v>5996</v>
      </c>
      <c r="H3585" s="199" t="s">
        <v>6000</v>
      </c>
      <c r="I3585" s="197" t="s">
        <v>6012</v>
      </c>
      <c r="J3585" s="148" t="s">
        <v>63</v>
      </c>
      <c r="K3585" s="148" t="s">
        <v>64</v>
      </c>
      <c r="L3585" s="148" t="s">
        <v>65</v>
      </c>
      <c r="M3585" s="148" t="s">
        <v>66</v>
      </c>
      <c r="N3585" s="159">
        <v>46183.0</v>
      </c>
      <c r="O3585" s="148" t="s">
        <v>67</v>
      </c>
      <c r="P3585" s="148" t="s">
        <v>68</v>
      </c>
      <c r="Q3585" s="103"/>
      <c r="R3585" s="103"/>
      <c r="S3585" s="103"/>
      <c r="T3585" s="103"/>
      <c r="U3585" s="148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1">
        <v>3580.0</v>
      </c>
      <c r="B3586" s="180" t="s">
        <v>6013</v>
      </c>
      <c r="C3586" s="82" t="str">
        <f>VLOOKUP($B$7:$B$5000,SUM!$L$6:$L$500,1,FALSE)</f>
        <v>#N/A</v>
      </c>
      <c r="D3586" s="190" t="s">
        <v>5994</v>
      </c>
      <c r="E3586" s="198" t="s">
        <v>58</v>
      </c>
      <c r="F3586" s="199" t="s">
        <v>5995</v>
      </c>
      <c r="G3586" s="191" t="s">
        <v>5996</v>
      </c>
      <c r="H3586" s="199" t="s">
        <v>6003</v>
      </c>
      <c r="I3586" s="197" t="s">
        <v>6014</v>
      </c>
      <c r="J3586" s="148" t="s">
        <v>63</v>
      </c>
      <c r="K3586" s="148" t="s">
        <v>64</v>
      </c>
      <c r="L3586" s="148" t="s">
        <v>65</v>
      </c>
      <c r="M3586" s="148" t="s">
        <v>66</v>
      </c>
      <c r="N3586" s="159">
        <v>46183.0</v>
      </c>
      <c r="O3586" s="148" t="s">
        <v>67</v>
      </c>
      <c r="P3586" s="148" t="s">
        <v>68</v>
      </c>
      <c r="Q3586" s="103"/>
      <c r="R3586" s="103"/>
      <c r="S3586" s="103"/>
      <c r="T3586" s="103"/>
      <c r="U3586" s="148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1">
        <v>3581.0</v>
      </c>
      <c r="B3587" s="180" t="s">
        <v>6015</v>
      </c>
      <c r="C3587" s="82" t="str">
        <f>VLOOKUP($B$7:$B$5000,SUM!$L$6:$L$500,1,FALSE)</f>
        <v>#N/A</v>
      </c>
      <c r="D3587" s="190" t="s">
        <v>5994</v>
      </c>
      <c r="E3587" s="198" t="s">
        <v>58</v>
      </c>
      <c r="F3587" s="199" t="s">
        <v>5995</v>
      </c>
      <c r="G3587" s="191" t="s">
        <v>5996</v>
      </c>
      <c r="H3587" s="199" t="s">
        <v>6006</v>
      </c>
      <c r="I3587" s="197" t="s">
        <v>6010</v>
      </c>
      <c r="J3587" s="148" t="s">
        <v>63</v>
      </c>
      <c r="K3587" s="148" t="s">
        <v>64</v>
      </c>
      <c r="L3587" s="148" t="s">
        <v>65</v>
      </c>
      <c r="M3587" s="148" t="s">
        <v>66</v>
      </c>
      <c r="N3587" s="159">
        <v>46183.0</v>
      </c>
      <c r="O3587" s="148" t="s">
        <v>67</v>
      </c>
      <c r="P3587" s="148" t="s">
        <v>68</v>
      </c>
      <c r="Q3587" s="103"/>
      <c r="R3587" s="103"/>
      <c r="S3587" s="103"/>
      <c r="T3587" s="103"/>
      <c r="U3587" s="148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1">
        <v>3582.0</v>
      </c>
      <c r="B3588" s="180" t="s">
        <v>6016</v>
      </c>
      <c r="C3588" s="82" t="str">
        <f>VLOOKUP($B$7:$B$5000,SUM!$L$6:$L$500,1,FALSE)</f>
        <v>#N/A</v>
      </c>
      <c r="D3588" s="190" t="s">
        <v>5994</v>
      </c>
      <c r="E3588" s="198" t="s">
        <v>58</v>
      </c>
      <c r="F3588" s="199" t="s">
        <v>5995</v>
      </c>
      <c r="G3588" s="191" t="s">
        <v>5996</v>
      </c>
      <c r="H3588" s="199" t="s">
        <v>6008</v>
      </c>
      <c r="I3588" s="197" t="s">
        <v>6012</v>
      </c>
      <c r="J3588" s="148" t="s">
        <v>63</v>
      </c>
      <c r="K3588" s="148" t="s">
        <v>64</v>
      </c>
      <c r="L3588" s="148" t="s">
        <v>65</v>
      </c>
      <c r="M3588" s="148" t="s">
        <v>66</v>
      </c>
      <c r="N3588" s="159">
        <v>46183.0</v>
      </c>
      <c r="O3588" s="148" t="s">
        <v>67</v>
      </c>
      <c r="P3588" s="148" t="s">
        <v>68</v>
      </c>
      <c r="Q3588" s="103"/>
      <c r="R3588" s="103"/>
      <c r="S3588" s="103"/>
      <c r="T3588" s="103"/>
      <c r="U3588" s="148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1">
        <v>3583.0</v>
      </c>
      <c r="B3589" s="180" t="s">
        <v>6017</v>
      </c>
      <c r="C3589" s="82" t="str">
        <f>VLOOKUP($B$7:$B$5000,SUM!$L$6:$L$500,1,FALSE)</f>
        <v>#N/A</v>
      </c>
      <c r="D3589" s="190" t="s">
        <v>5994</v>
      </c>
      <c r="E3589" s="198" t="s">
        <v>58</v>
      </c>
      <c r="F3589" s="199" t="s">
        <v>5995</v>
      </c>
      <c r="G3589" s="191" t="s">
        <v>5996</v>
      </c>
      <c r="H3589" s="199" t="s">
        <v>5997</v>
      </c>
      <c r="I3589" s="197" t="s">
        <v>6018</v>
      </c>
      <c r="J3589" s="148" t="s">
        <v>108</v>
      </c>
      <c r="K3589" s="148" t="s">
        <v>64</v>
      </c>
      <c r="L3589" s="148" t="s">
        <v>65</v>
      </c>
      <c r="M3589" s="148" t="s">
        <v>66</v>
      </c>
      <c r="N3589" s="159">
        <v>46183.0</v>
      </c>
      <c r="O3589" s="148" t="s">
        <v>67</v>
      </c>
      <c r="P3589" s="148" t="s">
        <v>68</v>
      </c>
      <c r="Q3589" s="103"/>
      <c r="R3589" s="103"/>
      <c r="S3589" s="103"/>
      <c r="T3589" s="103"/>
      <c r="U3589" s="148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1">
        <v>3584.0</v>
      </c>
      <c r="B3590" s="180" t="s">
        <v>6019</v>
      </c>
      <c r="C3590" s="82" t="str">
        <f>VLOOKUP($B$7:$B$5000,SUM!$L$6:$L$500,1,FALSE)</f>
        <v>#N/A</v>
      </c>
      <c r="D3590" s="190" t="s">
        <v>5994</v>
      </c>
      <c r="E3590" s="198" t="s">
        <v>58</v>
      </c>
      <c r="F3590" s="199" t="s">
        <v>5995</v>
      </c>
      <c r="G3590" s="191" t="s">
        <v>5996</v>
      </c>
      <c r="H3590" s="199" t="s">
        <v>6000</v>
      </c>
      <c r="I3590" s="197" t="s">
        <v>6020</v>
      </c>
      <c r="J3590" s="148" t="s">
        <v>108</v>
      </c>
      <c r="K3590" s="148" t="s">
        <v>64</v>
      </c>
      <c r="L3590" s="148" t="s">
        <v>65</v>
      </c>
      <c r="M3590" s="148" t="s">
        <v>66</v>
      </c>
      <c r="N3590" s="159">
        <v>46183.0</v>
      </c>
      <c r="O3590" s="148" t="s">
        <v>67</v>
      </c>
      <c r="P3590" s="148" t="s">
        <v>68</v>
      </c>
      <c r="Q3590" s="103"/>
      <c r="R3590" s="103"/>
      <c r="S3590" s="103"/>
      <c r="T3590" s="103"/>
      <c r="U3590" s="148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1">
        <v>3585.0</v>
      </c>
      <c r="B3591" s="180" t="s">
        <v>6021</v>
      </c>
      <c r="C3591" s="82" t="str">
        <f>VLOOKUP($B$7:$B$5000,SUM!$L$6:$L$500,1,FALSE)</f>
        <v>#N/A</v>
      </c>
      <c r="D3591" s="190" t="s">
        <v>5994</v>
      </c>
      <c r="E3591" s="198" t="s">
        <v>58</v>
      </c>
      <c r="F3591" s="199" t="s">
        <v>5995</v>
      </c>
      <c r="G3591" s="191" t="s">
        <v>5996</v>
      </c>
      <c r="H3591" s="199" t="s">
        <v>6003</v>
      </c>
      <c r="I3591" s="197" t="s">
        <v>6022</v>
      </c>
      <c r="J3591" s="148" t="s">
        <v>108</v>
      </c>
      <c r="K3591" s="148" t="s">
        <v>64</v>
      </c>
      <c r="L3591" s="148" t="s">
        <v>65</v>
      </c>
      <c r="M3591" s="148" t="s">
        <v>66</v>
      </c>
      <c r="N3591" s="159">
        <v>46183.0</v>
      </c>
      <c r="O3591" s="148" t="s">
        <v>67</v>
      </c>
      <c r="P3591" s="148" t="s">
        <v>68</v>
      </c>
      <c r="Q3591" s="103"/>
      <c r="R3591" s="103"/>
      <c r="S3591" s="103"/>
      <c r="T3591" s="103"/>
      <c r="U3591" s="148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1">
        <v>3586.0</v>
      </c>
      <c r="B3592" s="180" t="s">
        <v>6023</v>
      </c>
      <c r="C3592" s="82" t="str">
        <f>VLOOKUP($B$7:$B$5000,SUM!$L$6:$L$500,1,FALSE)</f>
        <v>#N/A</v>
      </c>
      <c r="D3592" s="190" t="s">
        <v>5994</v>
      </c>
      <c r="E3592" s="198" t="s">
        <v>58</v>
      </c>
      <c r="F3592" s="199" t="s">
        <v>5995</v>
      </c>
      <c r="G3592" s="191" t="s">
        <v>5996</v>
      </c>
      <c r="H3592" s="199" t="s">
        <v>6006</v>
      </c>
      <c r="I3592" s="197" t="s">
        <v>6024</v>
      </c>
      <c r="J3592" s="148" t="s">
        <v>108</v>
      </c>
      <c r="K3592" s="148" t="s">
        <v>64</v>
      </c>
      <c r="L3592" s="148" t="s">
        <v>65</v>
      </c>
      <c r="M3592" s="148" t="s">
        <v>66</v>
      </c>
      <c r="N3592" s="159">
        <v>46183.0</v>
      </c>
      <c r="O3592" s="148" t="s">
        <v>67</v>
      </c>
      <c r="P3592" s="148" t="s">
        <v>68</v>
      </c>
      <c r="Q3592" s="103"/>
      <c r="R3592" s="103"/>
      <c r="S3592" s="103"/>
      <c r="T3592" s="103"/>
      <c r="U3592" s="148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1">
        <v>3587.0</v>
      </c>
      <c r="B3593" s="180" t="s">
        <v>6025</v>
      </c>
      <c r="C3593" s="82" t="str">
        <f>VLOOKUP($B$7:$B$5000,SUM!$L$6:$L$500,1,FALSE)</f>
        <v>#N/A</v>
      </c>
      <c r="D3593" s="190" t="s">
        <v>5994</v>
      </c>
      <c r="E3593" s="198" t="s">
        <v>58</v>
      </c>
      <c r="F3593" s="199" t="s">
        <v>5995</v>
      </c>
      <c r="G3593" s="191" t="s">
        <v>5996</v>
      </c>
      <c r="H3593" s="199" t="s">
        <v>6008</v>
      </c>
      <c r="I3593" s="197" t="s">
        <v>6026</v>
      </c>
      <c r="J3593" s="148" t="s">
        <v>108</v>
      </c>
      <c r="K3593" s="148" t="s">
        <v>64</v>
      </c>
      <c r="L3593" s="148" t="s">
        <v>65</v>
      </c>
      <c r="M3593" s="148" t="s">
        <v>66</v>
      </c>
      <c r="N3593" s="159">
        <v>46183.0</v>
      </c>
      <c r="O3593" s="148" t="s">
        <v>67</v>
      </c>
      <c r="P3593" s="148" t="s">
        <v>68</v>
      </c>
      <c r="Q3593" s="103"/>
      <c r="R3593" s="103"/>
      <c r="S3593" s="103"/>
      <c r="T3593" s="103"/>
      <c r="U3593" s="148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1">
        <v>3588.0</v>
      </c>
      <c r="B3594" s="180" t="s">
        <v>6027</v>
      </c>
      <c r="C3594" s="82" t="str">
        <f>VLOOKUP($B$7:$B$5000,SUM!$L$6:$L$500,1,FALSE)</f>
        <v>#N/A</v>
      </c>
      <c r="D3594" s="190" t="s">
        <v>6028</v>
      </c>
      <c r="E3594" s="198" t="s">
        <v>58</v>
      </c>
      <c r="F3594" s="218" t="s">
        <v>6029</v>
      </c>
      <c r="G3594" s="191" t="s">
        <v>6030</v>
      </c>
      <c r="H3594" s="199" t="s">
        <v>61</v>
      </c>
      <c r="I3594" s="221" t="s">
        <v>6031</v>
      </c>
      <c r="J3594" s="199" t="s">
        <v>63</v>
      </c>
      <c r="K3594" s="199" t="s">
        <v>4434</v>
      </c>
      <c r="L3594" s="199" t="s">
        <v>65</v>
      </c>
      <c r="M3594" s="199" t="s">
        <v>66</v>
      </c>
      <c r="N3594" s="222">
        <v>46184.0</v>
      </c>
      <c r="O3594" s="199" t="s">
        <v>67</v>
      </c>
      <c r="P3594" s="148" t="s">
        <v>68</v>
      </c>
      <c r="Q3594" s="103"/>
      <c r="R3594" s="103"/>
      <c r="S3594" s="103"/>
      <c r="T3594" s="103"/>
      <c r="U3594" s="148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1">
        <v>3589.0</v>
      </c>
      <c r="B3595" s="180" t="s">
        <v>6032</v>
      </c>
      <c r="C3595" s="82" t="str">
        <f>VLOOKUP($B$7:$B$5000,SUM!$L$6:$L$500,1,FALSE)</f>
        <v>#N/A</v>
      </c>
      <c r="D3595" s="219" t="s">
        <v>6028</v>
      </c>
      <c r="E3595" s="198" t="s">
        <v>58</v>
      </c>
      <c r="F3595" s="218" t="s">
        <v>6029</v>
      </c>
      <c r="G3595" s="191" t="s">
        <v>6030</v>
      </c>
      <c r="H3595" s="199" t="s">
        <v>61</v>
      </c>
      <c r="I3595" s="223" t="s">
        <v>6033</v>
      </c>
      <c r="J3595" s="199" t="s">
        <v>108</v>
      </c>
      <c r="K3595" s="199" t="s">
        <v>4434</v>
      </c>
      <c r="L3595" s="199" t="s">
        <v>65</v>
      </c>
      <c r="M3595" s="199" t="s">
        <v>66</v>
      </c>
      <c r="N3595" s="222">
        <v>46185.0</v>
      </c>
      <c r="O3595" s="199" t="s">
        <v>67</v>
      </c>
      <c r="P3595" s="148" t="s">
        <v>68</v>
      </c>
      <c r="Q3595" s="103"/>
      <c r="R3595" s="103"/>
      <c r="S3595" s="103"/>
      <c r="T3595" s="103"/>
      <c r="U3595" s="148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1">
        <v>3590.0</v>
      </c>
      <c r="B3596" s="180" t="s">
        <v>6034</v>
      </c>
      <c r="C3596" s="82" t="str">
        <f>VLOOKUP($B$7:$B$5000,SUM!$L$6:$L$500,1,FALSE)</f>
        <v>#N/A</v>
      </c>
      <c r="D3596" s="219" t="s">
        <v>6028</v>
      </c>
      <c r="E3596" s="198" t="s">
        <v>58</v>
      </c>
      <c r="F3596" s="218" t="s">
        <v>6029</v>
      </c>
      <c r="G3596" s="191" t="s">
        <v>6030</v>
      </c>
      <c r="H3596" s="199" t="s">
        <v>61</v>
      </c>
      <c r="I3596" s="223" t="s">
        <v>6035</v>
      </c>
      <c r="J3596" s="199" t="s">
        <v>74</v>
      </c>
      <c r="K3596" s="199" t="s">
        <v>4434</v>
      </c>
      <c r="L3596" s="199" t="s">
        <v>65</v>
      </c>
      <c r="M3596" s="199" t="s">
        <v>66</v>
      </c>
      <c r="N3596" s="222">
        <v>46186.0</v>
      </c>
      <c r="O3596" s="199" t="s">
        <v>67</v>
      </c>
      <c r="P3596" s="148" t="s">
        <v>68</v>
      </c>
      <c r="Q3596" s="103"/>
      <c r="R3596" s="103"/>
      <c r="S3596" s="103"/>
      <c r="T3596" s="103"/>
      <c r="U3596" s="148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1">
        <v>3591.0</v>
      </c>
      <c r="B3597" s="180" t="s">
        <v>6036</v>
      </c>
      <c r="C3597" s="82" t="str">
        <f>VLOOKUP($B$7:$B$5000,SUM!$L$6:$L$500,1,FALSE)</f>
        <v>#N/A</v>
      </c>
      <c r="D3597" s="219" t="s">
        <v>6028</v>
      </c>
      <c r="E3597" s="198" t="s">
        <v>58</v>
      </c>
      <c r="F3597" s="218" t="s">
        <v>6029</v>
      </c>
      <c r="G3597" s="191" t="s">
        <v>6030</v>
      </c>
      <c r="H3597" s="199" t="s">
        <v>61</v>
      </c>
      <c r="I3597" s="223" t="s">
        <v>6037</v>
      </c>
      <c r="J3597" s="199" t="s">
        <v>108</v>
      </c>
      <c r="K3597" s="199" t="s">
        <v>4434</v>
      </c>
      <c r="L3597" s="199" t="s">
        <v>65</v>
      </c>
      <c r="M3597" s="199" t="s">
        <v>66</v>
      </c>
      <c r="N3597" s="222">
        <v>46187.0</v>
      </c>
      <c r="O3597" s="199" t="s">
        <v>67</v>
      </c>
      <c r="P3597" s="148" t="s">
        <v>68</v>
      </c>
      <c r="Q3597" s="103"/>
      <c r="R3597" s="103"/>
      <c r="S3597" s="103"/>
      <c r="T3597" s="103"/>
      <c r="U3597" s="148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1">
        <v>3592.0</v>
      </c>
      <c r="B3598" s="180" t="s">
        <v>6038</v>
      </c>
      <c r="C3598" s="82" t="str">
        <f>VLOOKUP($B$7:$B$5000,SUM!$L$6:$L$500,1,FALSE)</f>
        <v>#N/A</v>
      </c>
      <c r="D3598" s="219" t="s">
        <v>6028</v>
      </c>
      <c r="E3598" s="198" t="s">
        <v>58</v>
      </c>
      <c r="F3598" s="218" t="s">
        <v>6029</v>
      </c>
      <c r="G3598" s="191" t="s">
        <v>6030</v>
      </c>
      <c r="H3598" s="199" t="s">
        <v>61</v>
      </c>
      <c r="I3598" s="223" t="s">
        <v>6039</v>
      </c>
      <c r="J3598" s="199" t="s">
        <v>74</v>
      </c>
      <c r="K3598" s="199" t="s">
        <v>4434</v>
      </c>
      <c r="L3598" s="199" t="s">
        <v>65</v>
      </c>
      <c r="M3598" s="199" t="s">
        <v>66</v>
      </c>
      <c r="N3598" s="222">
        <v>46188.0</v>
      </c>
      <c r="O3598" s="199" t="s">
        <v>67</v>
      </c>
      <c r="P3598" s="148" t="s">
        <v>68</v>
      </c>
      <c r="Q3598" s="103"/>
      <c r="R3598" s="103"/>
      <c r="S3598" s="103"/>
      <c r="T3598" s="103"/>
      <c r="U3598" s="148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1">
        <v>3593.0</v>
      </c>
      <c r="B3599" s="180" t="s">
        <v>6040</v>
      </c>
      <c r="C3599" s="82" t="str">
        <f>VLOOKUP($B$7:$B$5000,SUM!$L$6:$L$500,1,FALSE)</f>
        <v>#N/A</v>
      </c>
      <c r="D3599" s="190" t="s">
        <v>6041</v>
      </c>
      <c r="E3599" s="198" t="s">
        <v>58</v>
      </c>
      <c r="F3599" s="199" t="s">
        <v>6042</v>
      </c>
      <c r="G3599" s="191" t="s">
        <v>235</v>
      </c>
      <c r="H3599" s="199" t="s">
        <v>6043</v>
      </c>
      <c r="I3599" s="197" t="s">
        <v>6044</v>
      </c>
      <c r="J3599" s="199" t="s">
        <v>74</v>
      </c>
      <c r="K3599" s="199" t="s">
        <v>64</v>
      </c>
      <c r="L3599" s="199" t="s">
        <v>65</v>
      </c>
      <c r="M3599" s="199" t="s">
        <v>66</v>
      </c>
      <c r="N3599" s="222">
        <v>46188.0</v>
      </c>
      <c r="O3599" s="199" t="s">
        <v>67</v>
      </c>
      <c r="P3599" s="148" t="s">
        <v>68</v>
      </c>
      <c r="Q3599" s="103"/>
      <c r="R3599" s="103"/>
      <c r="S3599" s="103"/>
      <c r="T3599" s="103"/>
      <c r="U3599" s="148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1">
        <v>3594.0</v>
      </c>
      <c r="B3600" s="180" t="s">
        <v>6045</v>
      </c>
      <c r="C3600" s="82" t="str">
        <f>VLOOKUP($B$7:$B$5000,SUM!$L$6:$L$500,1,FALSE)</f>
        <v>#N/A</v>
      </c>
      <c r="D3600" s="190" t="s">
        <v>6041</v>
      </c>
      <c r="E3600" s="198" t="s">
        <v>58</v>
      </c>
      <c r="F3600" s="199" t="s">
        <v>6042</v>
      </c>
      <c r="G3600" s="191" t="s">
        <v>235</v>
      </c>
      <c r="H3600" s="199" t="s">
        <v>6043</v>
      </c>
      <c r="I3600" s="197" t="s">
        <v>6046</v>
      </c>
      <c r="J3600" s="148" t="s">
        <v>63</v>
      </c>
      <c r="K3600" s="148" t="s">
        <v>64</v>
      </c>
      <c r="L3600" s="148" t="s">
        <v>65</v>
      </c>
      <c r="M3600" s="148" t="s">
        <v>66</v>
      </c>
      <c r="N3600" s="159">
        <v>46188.0</v>
      </c>
      <c r="O3600" s="148" t="s">
        <v>67</v>
      </c>
      <c r="P3600" s="148" t="s">
        <v>68</v>
      </c>
      <c r="Q3600" s="103"/>
      <c r="R3600" s="103"/>
      <c r="S3600" s="103"/>
      <c r="T3600" s="103"/>
      <c r="U3600" s="148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1">
        <v>3595.0</v>
      </c>
      <c r="B3601" s="180" t="s">
        <v>6047</v>
      </c>
      <c r="C3601" s="82" t="str">
        <f>VLOOKUP($B$7:$B$5000,SUM!$L$6:$L$500,1,FALSE)</f>
        <v>#N/A</v>
      </c>
      <c r="D3601" s="204" t="s">
        <v>6048</v>
      </c>
      <c r="E3601" s="198" t="s">
        <v>58</v>
      </c>
      <c r="F3601" s="199" t="s">
        <v>105</v>
      </c>
      <c r="G3601" s="191" t="s">
        <v>6049</v>
      </c>
      <c r="H3601" s="224" t="s">
        <v>6050</v>
      </c>
      <c r="I3601" s="197" t="s">
        <v>6051</v>
      </c>
      <c r="J3601" s="148" t="s">
        <v>63</v>
      </c>
      <c r="K3601" s="148" t="s">
        <v>64</v>
      </c>
      <c r="L3601" s="148" t="s">
        <v>65</v>
      </c>
      <c r="M3601" s="148" t="s">
        <v>66</v>
      </c>
      <c r="N3601" s="159">
        <v>46183.0</v>
      </c>
      <c r="O3601" s="148" t="s">
        <v>67</v>
      </c>
      <c r="P3601" s="148" t="s">
        <v>68</v>
      </c>
      <c r="Q3601" s="103"/>
      <c r="R3601" s="103"/>
      <c r="S3601" s="103"/>
      <c r="T3601" s="103"/>
      <c r="U3601" s="148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1">
        <v>3596.0</v>
      </c>
      <c r="B3602" s="180" t="s">
        <v>6052</v>
      </c>
      <c r="C3602" s="82" t="str">
        <f>VLOOKUP($B$7:$B$5000,SUM!$L$6:$L$500,1,FALSE)</f>
        <v>#N/A</v>
      </c>
      <c r="D3602" s="190" t="s">
        <v>6048</v>
      </c>
      <c r="E3602" s="198" t="s">
        <v>58</v>
      </c>
      <c r="F3602" s="199" t="s">
        <v>105</v>
      </c>
      <c r="G3602" s="191" t="s">
        <v>6053</v>
      </c>
      <c r="H3602" s="225" t="s">
        <v>6054</v>
      </c>
      <c r="I3602" s="197" t="s">
        <v>6055</v>
      </c>
      <c r="J3602" s="148" t="s">
        <v>63</v>
      </c>
      <c r="K3602" s="148" t="s">
        <v>64</v>
      </c>
      <c r="L3602" s="148" t="s">
        <v>65</v>
      </c>
      <c r="M3602" s="148" t="s">
        <v>66</v>
      </c>
      <c r="N3602" s="159">
        <v>46183.0</v>
      </c>
      <c r="O3602" s="148" t="s">
        <v>67</v>
      </c>
      <c r="P3602" s="148" t="s">
        <v>68</v>
      </c>
      <c r="Q3602" s="103"/>
      <c r="R3602" s="103"/>
      <c r="S3602" s="103"/>
      <c r="T3602" s="103"/>
      <c r="U3602" s="148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1">
        <v>3597.0</v>
      </c>
      <c r="B3603" s="180" t="s">
        <v>6056</v>
      </c>
      <c r="C3603" s="82" t="str">
        <f>VLOOKUP($B$7:$B$5000,SUM!$L$6:$L$500,1,FALSE)</f>
        <v>#N/A</v>
      </c>
      <c r="D3603" s="226" t="s">
        <v>6048</v>
      </c>
      <c r="E3603" s="198" t="s">
        <v>58</v>
      </c>
      <c r="F3603" s="199" t="s">
        <v>105</v>
      </c>
      <c r="G3603" s="191" t="s">
        <v>6057</v>
      </c>
      <c r="H3603" s="224" t="s">
        <v>6058</v>
      </c>
      <c r="I3603" s="197" t="s">
        <v>6059</v>
      </c>
      <c r="J3603" s="148" t="s">
        <v>63</v>
      </c>
      <c r="K3603" s="148" t="s">
        <v>64</v>
      </c>
      <c r="L3603" s="148" t="s">
        <v>65</v>
      </c>
      <c r="M3603" s="148" t="s">
        <v>66</v>
      </c>
      <c r="N3603" s="159">
        <v>46183.0</v>
      </c>
      <c r="O3603" s="148" t="s">
        <v>67</v>
      </c>
      <c r="P3603" s="148" t="s">
        <v>68</v>
      </c>
      <c r="Q3603" s="103"/>
      <c r="R3603" s="103"/>
      <c r="S3603" s="103"/>
      <c r="T3603" s="103"/>
      <c r="U3603" s="148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1">
        <v>3598.0</v>
      </c>
      <c r="B3604" s="180" t="s">
        <v>6060</v>
      </c>
      <c r="C3604" s="82" t="str">
        <f>VLOOKUP($B$7:$B$5000,SUM!$L$6:$L$500,1,FALSE)</f>
        <v>#N/A</v>
      </c>
      <c r="D3604" s="190" t="s">
        <v>6048</v>
      </c>
      <c r="E3604" s="198" t="s">
        <v>58</v>
      </c>
      <c r="F3604" s="199" t="s">
        <v>105</v>
      </c>
      <c r="G3604" s="191" t="s">
        <v>6057</v>
      </c>
      <c r="H3604" s="224" t="s">
        <v>6061</v>
      </c>
      <c r="I3604" s="197" t="s">
        <v>6059</v>
      </c>
      <c r="J3604" s="148" t="s">
        <v>63</v>
      </c>
      <c r="K3604" s="148" t="s">
        <v>64</v>
      </c>
      <c r="L3604" s="148" t="s">
        <v>65</v>
      </c>
      <c r="M3604" s="148" t="s">
        <v>66</v>
      </c>
      <c r="N3604" s="159">
        <v>46183.0</v>
      </c>
      <c r="O3604" s="148" t="s">
        <v>67</v>
      </c>
      <c r="P3604" s="148" t="s">
        <v>68</v>
      </c>
      <c r="Q3604" s="103"/>
      <c r="R3604" s="103"/>
      <c r="S3604" s="103"/>
      <c r="T3604" s="103"/>
      <c r="U3604" s="148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1">
        <v>3599.0</v>
      </c>
      <c r="B3605" s="180" t="s">
        <v>6062</v>
      </c>
      <c r="C3605" s="82" t="str">
        <f>VLOOKUP($B$7:$B$5000,SUM!$L$6:$L$500,1,FALSE)</f>
        <v>#N/A</v>
      </c>
      <c r="D3605" s="226" t="s">
        <v>6048</v>
      </c>
      <c r="E3605" s="198" t="s">
        <v>58</v>
      </c>
      <c r="F3605" s="199" t="s">
        <v>105</v>
      </c>
      <c r="G3605" s="191" t="s">
        <v>6063</v>
      </c>
      <c r="H3605" s="225" t="s">
        <v>6064</v>
      </c>
      <c r="I3605" s="197" t="s">
        <v>6065</v>
      </c>
      <c r="J3605" s="148" t="s">
        <v>63</v>
      </c>
      <c r="K3605" s="148" t="s">
        <v>64</v>
      </c>
      <c r="L3605" s="148" t="s">
        <v>65</v>
      </c>
      <c r="M3605" s="148" t="s">
        <v>66</v>
      </c>
      <c r="N3605" s="159">
        <v>46183.0</v>
      </c>
      <c r="O3605" s="148" t="s">
        <v>67</v>
      </c>
      <c r="P3605" s="148" t="s">
        <v>68</v>
      </c>
      <c r="Q3605" s="103"/>
      <c r="R3605" s="103"/>
      <c r="S3605" s="103"/>
      <c r="T3605" s="103"/>
      <c r="U3605" s="148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1">
        <v>3600.0</v>
      </c>
      <c r="B3606" s="180" t="s">
        <v>6066</v>
      </c>
      <c r="C3606" s="82" t="str">
        <f>VLOOKUP($B$7:$B$5000,SUM!$L$6:$L$500,1,FALSE)</f>
        <v>#N/A</v>
      </c>
      <c r="D3606" s="190" t="s">
        <v>6048</v>
      </c>
      <c r="E3606" s="198" t="s">
        <v>58</v>
      </c>
      <c r="F3606" s="199" t="s">
        <v>105</v>
      </c>
      <c r="G3606" s="191" t="s">
        <v>6063</v>
      </c>
      <c r="H3606" s="225" t="s">
        <v>6067</v>
      </c>
      <c r="I3606" s="197" t="s">
        <v>6065</v>
      </c>
      <c r="J3606" s="148" t="s">
        <v>63</v>
      </c>
      <c r="K3606" s="148" t="s">
        <v>64</v>
      </c>
      <c r="L3606" s="148" t="s">
        <v>65</v>
      </c>
      <c r="M3606" s="148" t="s">
        <v>66</v>
      </c>
      <c r="N3606" s="159">
        <v>46183.0</v>
      </c>
      <c r="O3606" s="148" t="s">
        <v>67</v>
      </c>
      <c r="P3606" s="148" t="s">
        <v>68</v>
      </c>
      <c r="Q3606" s="103"/>
      <c r="R3606" s="103"/>
      <c r="S3606" s="103"/>
      <c r="T3606" s="103"/>
      <c r="U3606" s="148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1">
        <v>3601.0</v>
      </c>
      <c r="B3607" s="180" t="s">
        <v>6068</v>
      </c>
      <c r="C3607" s="82" t="str">
        <f>VLOOKUP($B$7:$B$5000,SUM!$L$6:$L$500,1,FALSE)</f>
        <v>#N/A</v>
      </c>
      <c r="D3607" s="226" t="s">
        <v>6048</v>
      </c>
      <c r="E3607" s="198" t="s">
        <v>58</v>
      </c>
      <c r="F3607" s="199" t="s">
        <v>105</v>
      </c>
      <c r="G3607" s="191" t="s">
        <v>6063</v>
      </c>
      <c r="H3607" s="225" t="s">
        <v>6069</v>
      </c>
      <c r="I3607" s="197" t="s">
        <v>6065</v>
      </c>
      <c r="J3607" s="148" t="s">
        <v>63</v>
      </c>
      <c r="K3607" s="148" t="s">
        <v>64</v>
      </c>
      <c r="L3607" s="148" t="s">
        <v>65</v>
      </c>
      <c r="M3607" s="148" t="s">
        <v>66</v>
      </c>
      <c r="N3607" s="159">
        <v>46183.0</v>
      </c>
      <c r="O3607" s="148" t="s">
        <v>67</v>
      </c>
      <c r="P3607" s="148" t="s">
        <v>68</v>
      </c>
      <c r="Q3607" s="103"/>
      <c r="R3607" s="103"/>
      <c r="S3607" s="103"/>
      <c r="T3607" s="103"/>
      <c r="U3607" s="148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1">
        <v>3602.0</v>
      </c>
      <c r="B3608" s="180" t="s">
        <v>6070</v>
      </c>
      <c r="C3608" s="82" t="str">
        <f>VLOOKUP($B$7:$B$5000,SUM!$L$6:$L$500,1,FALSE)</f>
        <v>#N/A</v>
      </c>
      <c r="D3608" s="190" t="s">
        <v>6048</v>
      </c>
      <c r="E3608" s="198" t="s">
        <v>58</v>
      </c>
      <c r="F3608" s="199" t="s">
        <v>105</v>
      </c>
      <c r="G3608" s="191" t="s">
        <v>6063</v>
      </c>
      <c r="H3608" s="225" t="s">
        <v>6071</v>
      </c>
      <c r="I3608" s="197" t="s">
        <v>6065</v>
      </c>
      <c r="J3608" s="148" t="s">
        <v>63</v>
      </c>
      <c r="K3608" s="148" t="s">
        <v>64</v>
      </c>
      <c r="L3608" s="148" t="s">
        <v>65</v>
      </c>
      <c r="M3608" s="148" t="s">
        <v>66</v>
      </c>
      <c r="N3608" s="159">
        <v>46183.0</v>
      </c>
      <c r="O3608" s="148" t="s">
        <v>67</v>
      </c>
      <c r="P3608" s="148" t="s">
        <v>68</v>
      </c>
      <c r="Q3608" s="103"/>
      <c r="R3608" s="103"/>
      <c r="S3608" s="103"/>
      <c r="T3608" s="103"/>
      <c r="U3608" s="148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1">
        <v>3603.0</v>
      </c>
      <c r="B3609" s="180" t="s">
        <v>6072</v>
      </c>
      <c r="C3609" s="82" t="str">
        <f>VLOOKUP($B$7:$B$5000,SUM!$L$6:$L$500,1,FALSE)</f>
        <v>#N/A</v>
      </c>
      <c r="D3609" s="226" t="s">
        <v>6048</v>
      </c>
      <c r="E3609" s="198" t="s">
        <v>58</v>
      </c>
      <c r="F3609" s="199" t="s">
        <v>105</v>
      </c>
      <c r="G3609" s="191" t="s">
        <v>6063</v>
      </c>
      <c r="H3609" s="225" t="s">
        <v>6073</v>
      </c>
      <c r="I3609" s="197" t="s">
        <v>6065</v>
      </c>
      <c r="J3609" s="148" t="s">
        <v>63</v>
      </c>
      <c r="K3609" s="148" t="s">
        <v>64</v>
      </c>
      <c r="L3609" s="148" t="s">
        <v>65</v>
      </c>
      <c r="M3609" s="148" t="s">
        <v>66</v>
      </c>
      <c r="N3609" s="159">
        <v>46183.0</v>
      </c>
      <c r="O3609" s="148" t="s">
        <v>67</v>
      </c>
      <c r="P3609" s="148" t="s">
        <v>68</v>
      </c>
      <c r="Q3609" s="103"/>
      <c r="R3609" s="103"/>
      <c r="S3609" s="103"/>
      <c r="T3609" s="103"/>
      <c r="U3609" s="148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1">
        <v>3604.0</v>
      </c>
      <c r="B3610" s="180" t="s">
        <v>6074</v>
      </c>
      <c r="C3610" s="82" t="str">
        <f>VLOOKUP($B$7:$B$5000,SUM!$L$6:$L$500,1,FALSE)</f>
        <v>#N/A</v>
      </c>
      <c r="D3610" s="190" t="s">
        <v>6048</v>
      </c>
      <c r="E3610" s="198" t="s">
        <v>58</v>
      </c>
      <c r="F3610" s="199" t="s">
        <v>105</v>
      </c>
      <c r="G3610" s="191" t="s">
        <v>6063</v>
      </c>
      <c r="H3610" s="225" t="s">
        <v>6075</v>
      </c>
      <c r="I3610" s="197" t="s">
        <v>6065</v>
      </c>
      <c r="J3610" s="148" t="s">
        <v>63</v>
      </c>
      <c r="K3610" s="148" t="s">
        <v>64</v>
      </c>
      <c r="L3610" s="148" t="s">
        <v>65</v>
      </c>
      <c r="M3610" s="148" t="s">
        <v>66</v>
      </c>
      <c r="N3610" s="159">
        <v>46183.0</v>
      </c>
      <c r="O3610" s="148" t="s">
        <v>67</v>
      </c>
      <c r="P3610" s="148" t="s">
        <v>68</v>
      </c>
      <c r="Q3610" s="103"/>
      <c r="R3610" s="103"/>
      <c r="S3610" s="103"/>
      <c r="T3610" s="103"/>
      <c r="U3610" s="148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1">
        <v>3605.0</v>
      </c>
      <c r="B3611" s="180" t="s">
        <v>6076</v>
      </c>
      <c r="C3611" s="82" t="str">
        <f>VLOOKUP($B$7:$B$5000,SUM!$L$6:$L$500,1,FALSE)</f>
        <v>#N/A</v>
      </c>
      <c r="D3611" s="226" t="s">
        <v>6048</v>
      </c>
      <c r="E3611" s="198" t="s">
        <v>58</v>
      </c>
      <c r="F3611" s="199" t="s">
        <v>105</v>
      </c>
      <c r="G3611" s="191" t="s">
        <v>6063</v>
      </c>
      <c r="H3611" s="225" t="s">
        <v>6077</v>
      </c>
      <c r="I3611" s="197" t="s">
        <v>6065</v>
      </c>
      <c r="J3611" s="148" t="s">
        <v>63</v>
      </c>
      <c r="K3611" s="148" t="s">
        <v>64</v>
      </c>
      <c r="L3611" s="148" t="s">
        <v>65</v>
      </c>
      <c r="M3611" s="148" t="s">
        <v>66</v>
      </c>
      <c r="N3611" s="159">
        <v>46183.0</v>
      </c>
      <c r="O3611" s="148" t="s">
        <v>67</v>
      </c>
      <c r="P3611" s="148" t="s">
        <v>68</v>
      </c>
      <c r="Q3611" s="103"/>
      <c r="R3611" s="103"/>
      <c r="S3611" s="103"/>
      <c r="T3611" s="103"/>
      <c r="U3611" s="148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1">
        <v>3606.0</v>
      </c>
      <c r="B3612" s="180" t="s">
        <v>6078</v>
      </c>
      <c r="C3612" s="82" t="str">
        <f>VLOOKUP($B$7:$B$5000,SUM!$L$6:$L$500,1,FALSE)</f>
        <v>#N/A</v>
      </c>
      <c r="D3612" s="190" t="s">
        <v>6048</v>
      </c>
      <c r="E3612" s="198" t="s">
        <v>58</v>
      </c>
      <c r="F3612" s="199" t="s">
        <v>105</v>
      </c>
      <c r="G3612" s="191" t="s">
        <v>6063</v>
      </c>
      <c r="H3612" s="225" t="s">
        <v>6079</v>
      </c>
      <c r="I3612" s="197" t="s">
        <v>6065</v>
      </c>
      <c r="J3612" s="148" t="s">
        <v>63</v>
      </c>
      <c r="K3612" s="148" t="s">
        <v>64</v>
      </c>
      <c r="L3612" s="148" t="s">
        <v>65</v>
      </c>
      <c r="M3612" s="148" t="s">
        <v>66</v>
      </c>
      <c r="N3612" s="159">
        <v>46183.0</v>
      </c>
      <c r="O3612" s="148" t="s">
        <v>67</v>
      </c>
      <c r="P3612" s="148" t="s">
        <v>68</v>
      </c>
      <c r="Q3612" s="103"/>
      <c r="R3612" s="103"/>
      <c r="S3612" s="103"/>
      <c r="T3612" s="103"/>
      <c r="U3612" s="148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1">
        <v>3607.0</v>
      </c>
      <c r="B3613" s="180" t="s">
        <v>6080</v>
      </c>
      <c r="C3613" s="82" t="str">
        <f>VLOOKUP($B$7:$B$5000,SUM!$L$6:$L$500,1,FALSE)</f>
        <v>#N/A</v>
      </c>
      <c r="D3613" s="226" t="s">
        <v>6048</v>
      </c>
      <c r="E3613" s="198" t="s">
        <v>58</v>
      </c>
      <c r="F3613" s="199" t="s">
        <v>105</v>
      </c>
      <c r="G3613" s="191" t="s">
        <v>6063</v>
      </c>
      <c r="H3613" s="225" t="s">
        <v>6081</v>
      </c>
      <c r="I3613" s="197" t="s">
        <v>6065</v>
      </c>
      <c r="J3613" s="148" t="s">
        <v>63</v>
      </c>
      <c r="K3613" s="148" t="s">
        <v>64</v>
      </c>
      <c r="L3613" s="148" t="s">
        <v>65</v>
      </c>
      <c r="M3613" s="148" t="s">
        <v>66</v>
      </c>
      <c r="N3613" s="159">
        <v>46183.0</v>
      </c>
      <c r="O3613" s="148" t="s">
        <v>67</v>
      </c>
      <c r="P3613" s="148" t="s">
        <v>68</v>
      </c>
      <c r="Q3613" s="103"/>
      <c r="R3613" s="103"/>
      <c r="S3613" s="103"/>
      <c r="T3613" s="103"/>
      <c r="U3613" s="148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1">
        <v>3608.0</v>
      </c>
      <c r="B3614" s="180" t="s">
        <v>6082</v>
      </c>
      <c r="C3614" s="82" t="str">
        <f>VLOOKUP($B$7:$B$5000,SUM!$L$6:$L$500,1,FALSE)</f>
        <v>#N/A</v>
      </c>
      <c r="D3614" s="190" t="s">
        <v>6048</v>
      </c>
      <c r="E3614" s="198" t="s">
        <v>58</v>
      </c>
      <c r="F3614" s="199" t="s">
        <v>105</v>
      </c>
      <c r="G3614" s="191" t="s">
        <v>6063</v>
      </c>
      <c r="H3614" s="225" t="s">
        <v>6083</v>
      </c>
      <c r="I3614" s="197" t="s">
        <v>6065</v>
      </c>
      <c r="J3614" s="148" t="s">
        <v>63</v>
      </c>
      <c r="K3614" s="148" t="s">
        <v>64</v>
      </c>
      <c r="L3614" s="148" t="s">
        <v>65</v>
      </c>
      <c r="M3614" s="148" t="s">
        <v>66</v>
      </c>
      <c r="N3614" s="159">
        <v>46183.0</v>
      </c>
      <c r="O3614" s="148" t="s">
        <v>67</v>
      </c>
      <c r="P3614" s="148" t="s">
        <v>68</v>
      </c>
      <c r="Q3614" s="103"/>
      <c r="R3614" s="103"/>
      <c r="S3614" s="103"/>
      <c r="T3614" s="103"/>
      <c r="U3614" s="148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1">
        <v>3609.0</v>
      </c>
      <c r="B3615" s="180" t="s">
        <v>6084</v>
      </c>
      <c r="C3615" s="82" t="str">
        <f>VLOOKUP($B$7:$B$5000,SUM!$L$6:$L$500,1,FALSE)</f>
        <v>#N/A</v>
      </c>
      <c r="D3615" s="226" t="s">
        <v>6048</v>
      </c>
      <c r="E3615" s="198" t="s">
        <v>58</v>
      </c>
      <c r="F3615" s="199" t="s">
        <v>105</v>
      </c>
      <c r="G3615" s="191" t="s">
        <v>6063</v>
      </c>
      <c r="H3615" s="225" t="s">
        <v>6085</v>
      </c>
      <c r="I3615" s="197" t="s">
        <v>6065</v>
      </c>
      <c r="J3615" s="148" t="s">
        <v>63</v>
      </c>
      <c r="K3615" s="148" t="s">
        <v>64</v>
      </c>
      <c r="L3615" s="148" t="s">
        <v>65</v>
      </c>
      <c r="M3615" s="148" t="s">
        <v>66</v>
      </c>
      <c r="N3615" s="159">
        <v>46183.0</v>
      </c>
      <c r="O3615" s="148" t="s">
        <v>67</v>
      </c>
      <c r="P3615" s="148" t="s">
        <v>68</v>
      </c>
      <c r="Q3615" s="103"/>
      <c r="R3615" s="103"/>
      <c r="S3615" s="103"/>
      <c r="T3615" s="103"/>
      <c r="U3615" s="148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1">
        <v>3610.0</v>
      </c>
      <c r="B3616" s="180" t="s">
        <v>6086</v>
      </c>
      <c r="C3616" s="82" t="str">
        <f>VLOOKUP($B$7:$B$5000,SUM!$L$6:$L$500,1,FALSE)</f>
        <v>#N/A</v>
      </c>
      <c r="D3616" s="190" t="s">
        <v>6048</v>
      </c>
      <c r="E3616" s="198" t="s">
        <v>58</v>
      </c>
      <c r="F3616" s="199" t="s">
        <v>105</v>
      </c>
      <c r="G3616" s="191" t="s">
        <v>6063</v>
      </c>
      <c r="H3616" s="225" t="s">
        <v>6087</v>
      </c>
      <c r="I3616" s="197" t="s">
        <v>6065</v>
      </c>
      <c r="J3616" s="148" t="s">
        <v>63</v>
      </c>
      <c r="K3616" s="148" t="s">
        <v>64</v>
      </c>
      <c r="L3616" s="148" t="s">
        <v>65</v>
      </c>
      <c r="M3616" s="148" t="s">
        <v>66</v>
      </c>
      <c r="N3616" s="159">
        <v>46183.0</v>
      </c>
      <c r="O3616" s="148" t="s">
        <v>67</v>
      </c>
      <c r="P3616" s="148" t="s">
        <v>68</v>
      </c>
      <c r="Q3616" s="103"/>
      <c r="R3616" s="103"/>
      <c r="S3616" s="103"/>
      <c r="T3616" s="103"/>
      <c r="U3616" s="148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1">
        <v>3611.0</v>
      </c>
      <c r="B3617" s="180" t="s">
        <v>6088</v>
      </c>
      <c r="C3617" s="82" t="str">
        <f>VLOOKUP($B$7:$B$5000,SUM!$L$6:$L$500,1,FALSE)</f>
        <v>#N/A</v>
      </c>
      <c r="D3617" s="226" t="s">
        <v>6048</v>
      </c>
      <c r="E3617" s="198" t="s">
        <v>58</v>
      </c>
      <c r="F3617" s="199" t="s">
        <v>105</v>
      </c>
      <c r="G3617" s="191" t="s">
        <v>6063</v>
      </c>
      <c r="H3617" s="225" t="s">
        <v>6089</v>
      </c>
      <c r="I3617" s="197" t="s">
        <v>6065</v>
      </c>
      <c r="J3617" s="148" t="s">
        <v>63</v>
      </c>
      <c r="K3617" s="148" t="s">
        <v>64</v>
      </c>
      <c r="L3617" s="148" t="s">
        <v>65</v>
      </c>
      <c r="M3617" s="148" t="s">
        <v>66</v>
      </c>
      <c r="N3617" s="159">
        <v>46183.0</v>
      </c>
      <c r="O3617" s="148" t="s">
        <v>67</v>
      </c>
      <c r="P3617" s="148" t="s">
        <v>68</v>
      </c>
      <c r="Q3617" s="103"/>
      <c r="R3617" s="103"/>
      <c r="S3617" s="103"/>
      <c r="T3617" s="103"/>
      <c r="U3617" s="148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1">
        <v>3612.0</v>
      </c>
      <c r="B3618" s="180" t="s">
        <v>6090</v>
      </c>
      <c r="C3618" s="82" t="str">
        <f>VLOOKUP($B$7:$B$5000,SUM!$L$6:$L$500,1,FALSE)</f>
        <v>#N/A</v>
      </c>
      <c r="D3618" s="190" t="s">
        <v>6048</v>
      </c>
      <c r="E3618" s="198" t="s">
        <v>58</v>
      </c>
      <c r="F3618" s="199" t="s">
        <v>105</v>
      </c>
      <c r="G3618" s="191" t="s">
        <v>6063</v>
      </c>
      <c r="H3618" s="225" t="s">
        <v>6091</v>
      </c>
      <c r="I3618" s="197" t="s">
        <v>6065</v>
      </c>
      <c r="J3618" s="148" t="s">
        <v>63</v>
      </c>
      <c r="K3618" s="148" t="s">
        <v>64</v>
      </c>
      <c r="L3618" s="148" t="s">
        <v>65</v>
      </c>
      <c r="M3618" s="148" t="s">
        <v>66</v>
      </c>
      <c r="N3618" s="159">
        <v>46183.0</v>
      </c>
      <c r="O3618" s="148" t="s">
        <v>67</v>
      </c>
      <c r="P3618" s="148" t="s">
        <v>68</v>
      </c>
      <c r="Q3618" s="103"/>
      <c r="R3618" s="103"/>
      <c r="S3618" s="103"/>
      <c r="T3618" s="103"/>
      <c r="U3618" s="148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1">
        <v>3613.0</v>
      </c>
      <c r="B3619" s="180" t="s">
        <v>6092</v>
      </c>
      <c r="C3619" s="82" t="str">
        <f>VLOOKUP($B$7:$B$5000,SUM!$L$6:$L$500,1,FALSE)</f>
        <v>#N/A</v>
      </c>
      <c r="D3619" s="226" t="s">
        <v>6048</v>
      </c>
      <c r="E3619" s="198" t="s">
        <v>58</v>
      </c>
      <c r="F3619" s="199" t="s">
        <v>105</v>
      </c>
      <c r="G3619" s="191" t="s">
        <v>6063</v>
      </c>
      <c r="H3619" s="225" t="s">
        <v>6093</v>
      </c>
      <c r="I3619" s="197" t="s">
        <v>6065</v>
      </c>
      <c r="J3619" s="148" t="s">
        <v>63</v>
      </c>
      <c r="K3619" s="148" t="s">
        <v>64</v>
      </c>
      <c r="L3619" s="148" t="s">
        <v>65</v>
      </c>
      <c r="M3619" s="148" t="s">
        <v>66</v>
      </c>
      <c r="N3619" s="159">
        <v>46183.0</v>
      </c>
      <c r="O3619" s="148" t="s">
        <v>67</v>
      </c>
      <c r="P3619" s="148" t="s">
        <v>68</v>
      </c>
      <c r="Q3619" s="103"/>
      <c r="R3619" s="103"/>
      <c r="S3619" s="103"/>
      <c r="T3619" s="103"/>
      <c r="U3619" s="148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1">
        <v>3614.0</v>
      </c>
      <c r="B3620" s="180" t="s">
        <v>6094</v>
      </c>
      <c r="C3620" s="82" t="str">
        <f>VLOOKUP($B$7:$B$5000,SUM!$L$6:$L$500,1,FALSE)</f>
        <v>#N/A</v>
      </c>
      <c r="D3620" s="190" t="s">
        <v>6048</v>
      </c>
      <c r="E3620" s="198" t="s">
        <v>58</v>
      </c>
      <c r="F3620" s="199" t="s">
        <v>105</v>
      </c>
      <c r="G3620" s="191" t="s">
        <v>6063</v>
      </c>
      <c r="H3620" s="225" t="s">
        <v>6095</v>
      </c>
      <c r="I3620" s="197" t="s">
        <v>6065</v>
      </c>
      <c r="J3620" s="148" t="s">
        <v>63</v>
      </c>
      <c r="K3620" s="148" t="s">
        <v>64</v>
      </c>
      <c r="L3620" s="148" t="s">
        <v>65</v>
      </c>
      <c r="M3620" s="148" t="s">
        <v>66</v>
      </c>
      <c r="N3620" s="159">
        <v>46183.0</v>
      </c>
      <c r="O3620" s="148" t="s">
        <v>67</v>
      </c>
      <c r="P3620" s="148" t="s">
        <v>68</v>
      </c>
      <c r="Q3620" s="103"/>
      <c r="R3620" s="103"/>
      <c r="S3620" s="103"/>
      <c r="T3620" s="103"/>
      <c r="U3620" s="148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1">
        <v>3615.0</v>
      </c>
      <c r="B3621" s="180" t="s">
        <v>6096</v>
      </c>
      <c r="C3621" s="82" t="str">
        <f>VLOOKUP($B$7:$B$5000,SUM!$L$6:$L$500,1,FALSE)</f>
        <v>#N/A</v>
      </c>
      <c r="D3621" s="226" t="s">
        <v>6048</v>
      </c>
      <c r="E3621" s="198" t="s">
        <v>58</v>
      </c>
      <c r="F3621" s="199" t="s">
        <v>105</v>
      </c>
      <c r="G3621" s="191" t="s">
        <v>6063</v>
      </c>
      <c r="H3621" s="225" t="s">
        <v>6097</v>
      </c>
      <c r="I3621" s="197" t="s">
        <v>6065</v>
      </c>
      <c r="J3621" s="148" t="s">
        <v>63</v>
      </c>
      <c r="K3621" s="148" t="s">
        <v>64</v>
      </c>
      <c r="L3621" s="148" t="s">
        <v>65</v>
      </c>
      <c r="M3621" s="148" t="s">
        <v>66</v>
      </c>
      <c r="N3621" s="159">
        <v>46183.0</v>
      </c>
      <c r="O3621" s="148" t="s">
        <v>67</v>
      </c>
      <c r="P3621" s="148" t="s">
        <v>68</v>
      </c>
      <c r="Q3621" s="103"/>
      <c r="R3621" s="103"/>
      <c r="S3621" s="103"/>
      <c r="T3621" s="103"/>
      <c r="U3621" s="148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1">
        <v>3616.0</v>
      </c>
      <c r="B3622" s="180" t="s">
        <v>6098</v>
      </c>
      <c r="C3622" s="82" t="str">
        <f>VLOOKUP($B$7:$B$5000,SUM!$L$6:$L$500,1,FALSE)</f>
        <v>#N/A</v>
      </c>
      <c r="D3622" s="190" t="s">
        <v>6048</v>
      </c>
      <c r="E3622" s="198" t="s">
        <v>58</v>
      </c>
      <c r="F3622" s="199" t="s">
        <v>105</v>
      </c>
      <c r="G3622" s="191" t="s">
        <v>6063</v>
      </c>
      <c r="H3622" s="225" t="s">
        <v>6099</v>
      </c>
      <c r="I3622" s="197" t="s">
        <v>6065</v>
      </c>
      <c r="J3622" s="148" t="s">
        <v>63</v>
      </c>
      <c r="K3622" s="148" t="s">
        <v>64</v>
      </c>
      <c r="L3622" s="148" t="s">
        <v>65</v>
      </c>
      <c r="M3622" s="148" t="s">
        <v>66</v>
      </c>
      <c r="N3622" s="159">
        <v>46183.0</v>
      </c>
      <c r="O3622" s="148" t="s">
        <v>67</v>
      </c>
      <c r="P3622" s="148" t="s">
        <v>68</v>
      </c>
      <c r="Q3622" s="103"/>
      <c r="R3622" s="103"/>
      <c r="S3622" s="103"/>
      <c r="T3622" s="103"/>
      <c r="U3622" s="148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1">
        <v>3617.0</v>
      </c>
      <c r="B3623" s="180" t="s">
        <v>6100</v>
      </c>
      <c r="C3623" s="82" t="str">
        <f>VLOOKUP($B$7:$B$5000,SUM!$L$6:$L$500,1,FALSE)</f>
        <v>#N/A</v>
      </c>
      <c r="D3623" s="226" t="s">
        <v>6048</v>
      </c>
      <c r="E3623" s="198" t="s">
        <v>58</v>
      </c>
      <c r="F3623" s="199" t="s">
        <v>105</v>
      </c>
      <c r="G3623" s="191" t="s">
        <v>6063</v>
      </c>
      <c r="H3623" s="225" t="s">
        <v>6101</v>
      </c>
      <c r="I3623" s="197" t="s">
        <v>6065</v>
      </c>
      <c r="J3623" s="148" t="s">
        <v>63</v>
      </c>
      <c r="K3623" s="148" t="s">
        <v>64</v>
      </c>
      <c r="L3623" s="148" t="s">
        <v>65</v>
      </c>
      <c r="M3623" s="148" t="s">
        <v>66</v>
      </c>
      <c r="N3623" s="159">
        <v>46183.0</v>
      </c>
      <c r="O3623" s="148" t="s">
        <v>67</v>
      </c>
      <c r="P3623" s="148" t="s">
        <v>68</v>
      </c>
      <c r="Q3623" s="103"/>
      <c r="R3623" s="103"/>
      <c r="S3623" s="103"/>
      <c r="T3623" s="103"/>
      <c r="U3623" s="148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1">
        <v>3618.0</v>
      </c>
      <c r="B3624" s="180" t="s">
        <v>6102</v>
      </c>
      <c r="C3624" s="82" t="str">
        <f>VLOOKUP($B$7:$B$5000,SUM!$L$6:$L$500,1,FALSE)</f>
        <v>#N/A</v>
      </c>
      <c r="D3624" s="190" t="s">
        <v>6048</v>
      </c>
      <c r="E3624" s="198" t="s">
        <v>58</v>
      </c>
      <c r="F3624" s="199" t="s">
        <v>105</v>
      </c>
      <c r="G3624" s="191" t="s">
        <v>6063</v>
      </c>
      <c r="H3624" s="227" t="s">
        <v>6103</v>
      </c>
      <c r="I3624" s="197" t="s">
        <v>6065</v>
      </c>
      <c r="J3624" s="148" t="s">
        <v>63</v>
      </c>
      <c r="K3624" s="148" t="s">
        <v>64</v>
      </c>
      <c r="L3624" s="148" t="s">
        <v>65</v>
      </c>
      <c r="M3624" s="148" t="s">
        <v>66</v>
      </c>
      <c r="N3624" s="159">
        <v>46183.0</v>
      </c>
      <c r="O3624" s="148" t="s">
        <v>67</v>
      </c>
      <c r="P3624" s="148" t="s">
        <v>68</v>
      </c>
      <c r="Q3624" s="103"/>
      <c r="R3624" s="103"/>
      <c r="S3624" s="103"/>
      <c r="T3624" s="103"/>
      <c r="U3624" s="148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1">
        <v>3619.0</v>
      </c>
      <c r="B3625" s="180" t="s">
        <v>6104</v>
      </c>
      <c r="C3625" s="82" t="str">
        <f>VLOOKUP($B$7:$B$5000,SUM!$L$6:$L$500,1,FALSE)</f>
        <v>#N/A</v>
      </c>
      <c r="D3625" s="226" t="s">
        <v>6048</v>
      </c>
      <c r="E3625" s="198" t="s">
        <v>58</v>
      </c>
      <c r="F3625" s="199" t="s">
        <v>105</v>
      </c>
      <c r="G3625" s="191" t="s">
        <v>6063</v>
      </c>
      <c r="H3625" s="225" t="s">
        <v>6105</v>
      </c>
      <c r="I3625" s="197" t="s">
        <v>6065</v>
      </c>
      <c r="J3625" s="148" t="s">
        <v>63</v>
      </c>
      <c r="K3625" s="148" t="s">
        <v>64</v>
      </c>
      <c r="L3625" s="148" t="s">
        <v>65</v>
      </c>
      <c r="M3625" s="148" t="s">
        <v>66</v>
      </c>
      <c r="N3625" s="159">
        <v>46183.0</v>
      </c>
      <c r="O3625" s="148" t="s">
        <v>67</v>
      </c>
      <c r="P3625" s="148" t="s">
        <v>68</v>
      </c>
      <c r="Q3625" s="103"/>
      <c r="R3625" s="103"/>
      <c r="S3625" s="103"/>
      <c r="T3625" s="103"/>
      <c r="U3625" s="148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1">
        <v>3620.0</v>
      </c>
      <c r="B3626" s="180" t="s">
        <v>6106</v>
      </c>
      <c r="C3626" s="82" t="str">
        <f>VLOOKUP($B$7:$B$5000,SUM!$L$6:$L$500,1,FALSE)</f>
        <v>#N/A</v>
      </c>
      <c r="D3626" s="190" t="s">
        <v>6048</v>
      </c>
      <c r="E3626" s="198" t="s">
        <v>58</v>
      </c>
      <c r="F3626" s="199" t="s">
        <v>105</v>
      </c>
      <c r="G3626" s="191" t="s">
        <v>6063</v>
      </c>
      <c r="H3626" s="225" t="s">
        <v>6107</v>
      </c>
      <c r="I3626" s="197" t="s">
        <v>6065</v>
      </c>
      <c r="J3626" s="148" t="s">
        <v>63</v>
      </c>
      <c r="K3626" s="148" t="s">
        <v>64</v>
      </c>
      <c r="L3626" s="148" t="s">
        <v>65</v>
      </c>
      <c r="M3626" s="148" t="s">
        <v>66</v>
      </c>
      <c r="N3626" s="159">
        <v>46183.0</v>
      </c>
      <c r="O3626" s="148" t="s">
        <v>67</v>
      </c>
      <c r="P3626" s="148" t="s">
        <v>68</v>
      </c>
      <c r="Q3626" s="103"/>
      <c r="R3626" s="103"/>
      <c r="S3626" s="103"/>
      <c r="T3626" s="103"/>
      <c r="U3626" s="148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1">
        <v>3621.0</v>
      </c>
      <c r="B3627" s="180" t="s">
        <v>6108</v>
      </c>
      <c r="C3627" s="82" t="str">
        <f>VLOOKUP($B$7:$B$5000,SUM!$L$6:$L$500,1,FALSE)</f>
        <v>#N/A</v>
      </c>
      <c r="D3627" s="226" t="s">
        <v>6048</v>
      </c>
      <c r="E3627" s="198" t="s">
        <v>58</v>
      </c>
      <c r="F3627" s="199" t="s">
        <v>105</v>
      </c>
      <c r="G3627" s="191" t="s">
        <v>6063</v>
      </c>
      <c r="H3627" s="225" t="s">
        <v>6109</v>
      </c>
      <c r="I3627" s="197" t="s">
        <v>6065</v>
      </c>
      <c r="J3627" s="148" t="s">
        <v>63</v>
      </c>
      <c r="K3627" s="148" t="s">
        <v>64</v>
      </c>
      <c r="L3627" s="148" t="s">
        <v>65</v>
      </c>
      <c r="M3627" s="148" t="s">
        <v>66</v>
      </c>
      <c r="N3627" s="159">
        <v>46183.0</v>
      </c>
      <c r="O3627" s="148" t="s">
        <v>67</v>
      </c>
      <c r="P3627" s="148" t="s">
        <v>68</v>
      </c>
      <c r="Q3627" s="103"/>
      <c r="R3627" s="103"/>
      <c r="S3627" s="103"/>
      <c r="T3627" s="103"/>
      <c r="U3627" s="148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1">
        <v>3622.0</v>
      </c>
      <c r="B3628" s="180" t="s">
        <v>6110</v>
      </c>
      <c r="C3628" s="82" t="str">
        <f>VLOOKUP($B$7:$B$5000,SUM!$L$6:$L$500,1,FALSE)</f>
        <v>#N/A</v>
      </c>
      <c r="D3628" s="190" t="s">
        <v>6048</v>
      </c>
      <c r="E3628" s="198" t="s">
        <v>58</v>
      </c>
      <c r="F3628" s="199" t="s">
        <v>105</v>
      </c>
      <c r="G3628" s="191" t="s">
        <v>6063</v>
      </c>
      <c r="H3628" s="225" t="s">
        <v>6111</v>
      </c>
      <c r="I3628" s="197" t="s">
        <v>6065</v>
      </c>
      <c r="J3628" s="148" t="s">
        <v>63</v>
      </c>
      <c r="K3628" s="148" t="s">
        <v>64</v>
      </c>
      <c r="L3628" s="148" t="s">
        <v>65</v>
      </c>
      <c r="M3628" s="148" t="s">
        <v>66</v>
      </c>
      <c r="N3628" s="159">
        <v>46183.0</v>
      </c>
      <c r="O3628" s="148" t="s">
        <v>67</v>
      </c>
      <c r="P3628" s="148" t="s">
        <v>68</v>
      </c>
      <c r="Q3628" s="103"/>
      <c r="R3628" s="103"/>
      <c r="S3628" s="103"/>
      <c r="T3628" s="103"/>
      <c r="U3628" s="148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1">
        <v>3623.0</v>
      </c>
      <c r="B3629" s="180" t="s">
        <v>6112</v>
      </c>
      <c r="C3629" s="82" t="str">
        <f>VLOOKUP($B$7:$B$5000,SUM!$L$6:$L$500,1,FALSE)</f>
        <v>#N/A</v>
      </c>
      <c r="D3629" s="226" t="s">
        <v>6048</v>
      </c>
      <c r="E3629" s="198" t="s">
        <v>58</v>
      </c>
      <c r="F3629" s="199" t="s">
        <v>105</v>
      </c>
      <c r="G3629" s="191" t="s">
        <v>6063</v>
      </c>
      <c r="H3629" s="225" t="s">
        <v>6113</v>
      </c>
      <c r="I3629" s="197" t="s">
        <v>6065</v>
      </c>
      <c r="J3629" s="148" t="s">
        <v>63</v>
      </c>
      <c r="K3629" s="148" t="s">
        <v>64</v>
      </c>
      <c r="L3629" s="148" t="s">
        <v>65</v>
      </c>
      <c r="M3629" s="148" t="s">
        <v>66</v>
      </c>
      <c r="N3629" s="159">
        <v>46183.0</v>
      </c>
      <c r="O3629" s="148" t="s">
        <v>67</v>
      </c>
      <c r="P3629" s="148" t="s">
        <v>68</v>
      </c>
      <c r="Q3629" s="103"/>
      <c r="R3629" s="103"/>
      <c r="S3629" s="103"/>
      <c r="T3629" s="103"/>
      <c r="U3629" s="148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1">
        <v>3624.0</v>
      </c>
      <c r="B3630" s="180" t="s">
        <v>6114</v>
      </c>
      <c r="C3630" s="82" t="str">
        <f>VLOOKUP($B$7:$B$5000,SUM!$L$6:$L$500,1,FALSE)</f>
        <v>#N/A</v>
      </c>
      <c r="D3630" s="190" t="s">
        <v>6048</v>
      </c>
      <c r="E3630" s="198" t="s">
        <v>58</v>
      </c>
      <c r="F3630" s="199" t="s">
        <v>105</v>
      </c>
      <c r="G3630" s="191" t="s">
        <v>6063</v>
      </c>
      <c r="H3630" s="225" t="s">
        <v>6115</v>
      </c>
      <c r="I3630" s="197" t="s">
        <v>6065</v>
      </c>
      <c r="J3630" s="148" t="s">
        <v>63</v>
      </c>
      <c r="K3630" s="148" t="s">
        <v>64</v>
      </c>
      <c r="L3630" s="148" t="s">
        <v>65</v>
      </c>
      <c r="M3630" s="148" t="s">
        <v>66</v>
      </c>
      <c r="N3630" s="159">
        <v>46183.0</v>
      </c>
      <c r="O3630" s="148" t="s">
        <v>67</v>
      </c>
      <c r="P3630" s="148" t="s">
        <v>68</v>
      </c>
      <c r="Q3630" s="103"/>
      <c r="R3630" s="103"/>
      <c r="S3630" s="103"/>
      <c r="T3630" s="103"/>
      <c r="U3630" s="148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1">
        <v>3625.0</v>
      </c>
      <c r="B3631" s="180" t="s">
        <v>6116</v>
      </c>
      <c r="C3631" s="82" t="str">
        <f>VLOOKUP($B$7:$B$5000,SUM!$L$6:$L$500,1,FALSE)</f>
        <v>#N/A</v>
      </c>
      <c r="D3631" s="226" t="s">
        <v>6048</v>
      </c>
      <c r="E3631" s="198" t="s">
        <v>58</v>
      </c>
      <c r="F3631" s="199" t="s">
        <v>105</v>
      </c>
      <c r="G3631" s="191" t="s">
        <v>6063</v>
      </c>
      <c r="H3631" s="225" t="s">
        <v>6117</v>
      </c>
      <c r="I3631" s="197" t="s">
        <v>6065</v>
      </c>
      <c r="J3631" s="148" t="s">
        <v>63</v>
      </c>
      <c r="K3631" s="148" t="s">
        <v>64</v>
      </c>
      <c r="L3631" s="148" t="s">
        <v>65</v>
      </c>
      <c r="M3631" s="148" t="s">
        <v>66</v>
      </c>
      <c r="N3631" s="159">
        <v>46183.0</v>
      </c>
      <c r="O3631" s="148" t="s">
        <v>67</v>
      </c>
      <c r="P3631" s="148" t="s">
        <v>68</v>
      </c>
      <c r="Q3631" s="103"/>
      <c r="R3631" s="103"/>
      <c r="S3631" s="103"/>
      <c r="T3631" s="103"/>
      <c r="U3631" s="148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1">
        <v>3626.0</v>
      </c>
      <c r="B3632" s="180" t="s">
        <v>6118</v>
      </c>
      <c r="C3632" s="82" t="str">
        <f>VLOOKUP($B$7:$B$5000,SUM!$L$6:$L$500,1,FALSE)</f>
        <v>#N/A</v>
      </c>
      <c r="D3632" s="190" t="s">
        <v>6048</v>
      </c>
      <c r="E3632" s="198" t="s">
        <v>58</v>
      </c>
      <c r="F3632" s="199" t="s">
        <v>105</v>
      </c>
      <c r="G3632" s="191" t="s">
        <v>6063</v>
      </c>
      <c r="H3632" s="225" t="s">
        <v>6119</v>
      </c>
      <c r="I3632" s="197" t="s">
        <v>6065</v>
      </c>
      <c r="J3632" s="148" t="s">
        <v>63</v>
      </c>
      <c r="K3632" s="148" t="s">
        <v>64</v>
      </c>
      <c r="L3632" s="148" t="s">
        <v>65</v>
      </c>
      <c r="M3632" s="148" t="s">
        <v>66</v>
      </c>
      <c r="N3632" s="159">
        <v>46183.0</v>
      </c>
      <c r="O3632" s="148" t="s">
        <v>67</v>
      </c>
      <c r="P3632" s="148" t="s">
        <v>68</v>
      </c>
      <c r="Q3632" s="103"/>
      <c r="R3632" s="103"/>
      <c r="S3632" s="103"/>
      <c r="T3632" s="103"/>
      <c r="U3632" s="148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1">
        <v>3627.0</v>
      </c>
      <c r="B3633" s="180" t="s">
        <v>6120</v>
      </c>
      <c r="C3633" s="82" t="str">
        <f>VLOOKUP($B$7:$B$5000,SUM!$L$6:$L$500,1,FALSE)</f>
        <v>#N/A</v>
      </c>
      <c r="D3633" s="226" t="s">
        <v>6048</v>
      </c>
      <c r="E3633" s="198" t="s">
        <v>58</v>
      </c>
      <c r="F3633" s="199" t="s">
        <v>105</v>
      </c>
      <c r="G3633" s="191" t="s">
        <v>6063</v>
      </c>
      <c r="H3633" s="225" t="s">
        <v>6121</v>
      </c>
      <c r="I3633" s="197" t="s">
        <v>6065</v>
      </c>
      <c r="J3633" s="148" t="s">
        <v>63</v>
      </c>
      <c r="K3633" s="148" t="s">
        <v>64</v>
      </c>
      <c r="L3633" s="148" t="s">
        <v>65</v>
      </c>
      <c r="M3633" s="148" t="s">
        <v>66</v>
      </c>
      <c r="N3633" s="159">
        <v>46183.0</v>
      </c>
      <c r="O3633" s="148" t="s">
        <v>67</v>
      </c>
      <c r="P3633" s="148" t="s">
        <v>68</v>
      </c>
      <c r="Q3633" s="103"/>
      <c r="R3633" s="103"/>
      <c r="S3633" s="103"/>
      <c r="T3633" s="103"/>
      <c r="U3633" s="148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1">
        <v>3628.0</v>
      </c>
      <c r="B3634" s="180" t="s">
        <v>6122</v>
      </c>
      <c r="C3634" s="82" t="str">
        <f>VLOOKUP($B$7:$B$5000,SUM!$L$6:$L$500,1,FALSE)</f>
        <v>#N/A</v>
      </c>
      <c r="D3634" s="190" t="s">
        <v>6048</v>
      </c>
      <c r="E3634" s="198" t="s">
        <v>58</v>
      </c>
      <c r="F3634" s="199" t="s">
        <v>105</v>
      </c>
      <c r="G3634" s="191" t="s">
        <v>6063</v>
      </c>
      <c r="H3634" s="225" t="s">
        <v>6123</v>
      </c>
      <c r="I3634" s="197" t="s">
        <v>6065</v>
      </c>
      <c r="J3634" s="148" t="s">
        <v>63</v>
      </c>
      <c r="K3634" s="148" t="s">
        <v>64</v>
      </c>
      <c r="L3634" s="148" t="s">
        <v>65</v>
      </c>
      <c r="M3634" s="148" t="s">
        <v>66</v>
      </c>
      <c r="N3634" s="159">
        <v>46183.0</v>
      </c>
      <c r="O3634" s="148" t="s">
        <v>67</v>
      </c>
      <c r="P3634" s="148" t="s">
        <v>68</v>
      </c>
      <c r="Q3634" s="103"/>
      <c r="R3634" s="103"/>
      <c r="S3634" s="103"/>
      <c r="T3634" s="103"/>
      <c r="U3634" s="148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1">
        <v>3629.0</v>
      </c>
      <c r="B3635" s="180" t="s">
        <v>6124</v>
      </c>
      <c r="C3635" s="82" t="str">
        <f>VLOOKUP($B$7:$B$5000,SUM!$L$6:$L$500,1,FALSE)</f>
        <v>#N/A</v>
      </c>
      <c r="D3635" s="226" t="s">
        <v>6048</v>
      </c>
      <c r="E3635" s="198" t="s">
        <v>58</v>
      </c>
      <c r="F3635" s="199" t="s">
        <v>105</v>
      </c>
      <c r="G3635" s="191" t="s">
        <v>6063</v>
      </c>
      <c r="H3635" s="225" t="s">
        <v>6125</v>
      </c>
      <c r="I3635" s="197" t="s">
        <v>6065</v>
      </c>
      <c r="J3635" s="148" t="s">
        <v>63</v>
      </c>
      <c r="K3635" s="148" t="s">
        <v>64</v>
      </c>
      <c r="L3635" s="148" t="s">
        <v>65</v>
      </c>
      <c r="M3635" s="148" t="s">
        <v>66</v>
      </c>
      <c r="N3635" s="159">
        <v>46183.0</v>
      </c>
      <c r="O3635" s="148" t="s">
        <v>67</v>
      </c>
      <c r="P3635" s="148" t="s">
        <v>68</v>
      </c>
      <c r="Q3635" s="103"/>
      <c r="R3635" s="103"/>
      <c r="S3635" s="103"/>
      <c r="T3635" s="103"/>
      <c r="U3635" s="148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1">
        <v>3630.0</v>
      </c>
      <c r="B3636" s="180" t="s">
        <v>6126</v>
      </c>
      <c r="C3636" s="82" t="str">
        <f>VLOOKUP($B$7:$B$5000,SUM!$L$6:$L$500,1,FALSE)</f>
        <v>#N/A</v>
      </c>
      <c r="D3636" s="190" t="s">
        <v>6048</v>
      </c>
      <c r="E3636" s="198" t="s">
        <v>58</v>
      </c>
      <c r="F3636" s="199" t="s">
        <v>105</v>
      </c>
      <c r="G3636" s="191" t="s">
        <v>6063</v>
      </c>
      <c r="H3636" s="225" t="s">
        <v>6127</v>
      </c>
      <c r="I3636" s="197" t="s">
        <v>6065</v>
      </c>
      <c r="J3636" s="148" t="s">
        <v>63</v>
      </c>
      <c r="K3636" s="148" t="s">
        <v>64</v>
      </c>
      <c r="L3636" s="148" t="s">
        <v>65</v>
      </c>
      <c r="M3636" s="148" t="s">
        <v>66</v>
      </c>
      <c r="N3636" s="159">
        <v>46183.0</v>
      </c>
      <c r="O3636" s="148" t="s">
        <v>67</v>
      </c>
      <c r="P3636" s="148" t="s">
        <v>68</v>
      </c>
      <c r="Q3636" s="103"/>
      <c r="R3636" s="103"/>
      <c r="S3636" s="103"/>
      <c r="T3636" s="103"/>
      <c r="U3636" s="148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1">
        <v>3631.0</v>
      </c>
      <c r="B3637" s="180" t="s">
        <v>6128</v>
      </c>
      <c r="C3637" s="82" t="str">
        <f>VLOOKUP($B$7:$B$5000,SUM!$L$6:$L$500,1,FALSE)</f>
        <v>#N/A</v>
      </c>
      <c r="D3637" s="226" t="s">
        <v>6048</v>
      </c>
      <c r="E3637" s="198" t="s">
        <v>58</v>
      </c>
      <c r="F3637" s="199" t="s">
        <v>105</v>
      </c>
      <c r="G3637" s="191" t="s">
        <v>235</v>
      </c>
      <c r="H3637" s="225" t="s">
        <v>6129</v>
      </c>
      <c r="I3637" s="197" t="s">
        <v>6130</v>
      </c>
      <c r="J3637" s="148" t="s">
        <v>63</v>
      </c>
      <c r="K3637" s="148" t="s">
        <v>64</v>
      </c>
      <c r="L3637" s="148" t="s">
        <v>65</v>
      </c>
      <c r="M3637" s="148" t="s">
        <v>66</v>
      </c>
      <c r="N3637" s="159">
        <v>46183.0</v>
      </c>
      <c r="O3637" s="148" t="s">
        <v>67</v>
      </c>
      <c r="P3637" s="148" t="s">
        <v>68</v>
      </c>
      <c r="Q3637" s="103"/>
      <c r="R3637" s="103"/>
      <c r="S3637" s="103"/>
      <c r="T3637" s="103"/>
      <c r="U3637" s="148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1">
        <v>3632.0</v>
      </c>
      <c r="B3638" s="180" t="s">
        <v>6131</v>
      </c>
      <c r="C3638" s="82" t="str">
        <f>VLOOKUP($B$7:$B$5000,SUM!$L$6:$L$500,1,FALSE)</f>
        <v>#N/A</v>
      </c>
      <c r="D3638" s="190" t="s">
        <v>6048</v>
      </c>
      <c r="E3638" s="198" t="s">
        <v>58</v>
      </c>
      <c r="F3638" s="199" t="s">
        <v>105</v>
      </c>
      <c r="G3638" s="191" t="s">
        <v>6049</v>
      </c>
      <c r="H3638" s="228" t="s">
        <v>6050</v>
      </c>
      <c r="I3638" s="197" t="s">
        <v>6132</v>
      </c>
      <c r="J3638" s="148" t="s">
        <v>63</v>
      </c>
      <c r="K3638" s="148" t="s">
        <v>64</v>
      </c>
      <c r="L3638" s="148" t="s">
        <v>65</v>
      </c>
      <c r="M3638" s="148" t="s">
        <v>66</v>
      </c>
      <c r="N3638" s="159">
        <v>46183.0</v>
      </c>
      <c r="O3638" s="148" t="s">
        <v>67</v>
      </c>
      <c r="P3638" s="148" t="s">
        <v>68</v>
      </c>
      <c r="Q3638" s="103"/>
      <c r="R3638" s="103"/>
      <c r="S3638" s="103"/>
      <c r="T3638" s="103"/>
      <c r="U3638" s="148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1">
        <v>3633.0</v>
      </c>
      <c r="B3639" s="180" t="s">
        <v>6133</v>
      </c>
      <c r="C3639" s="82" t="str">
        <f>VLOOKUP($B$7:$B$5000,SUM!$L$6:$L$500,1,FALSE)</f>
        <v>#N/A</v>
      </c>
      <c r="D3639" s="226" t="s">
        <v>6048</v>
      </c>
      <c r="E3639" s="198" t="s">
        <v>58</v>
      </c>
      <c r="F3639" s="199" t="s">
        <v>105</v>
      </c>
      <c r="G3639" s="191" t="s">
        <v>6053</v>
      </c>
      <c r="H3639" s="225" t="s">
        <v>6054</v>
      </c>
      <c r="I3639" s="197" t="s">
        <v>6134</v>
      </c>
      <c r="J3639" s="148" t="s">
        <v>63</v>
      </c>
      <c r="K3639" s="148" t="s">
        <v>64</v>
      </c>
      <c r="L3639" s="148" t="s">
        <v>65</v>
      </c>
      <c r="M3639" s="148" t="s">
        <v>66</v>
      </c>
      <c r="N3639" s="159">
        <v>46183.0</v>
      </c>
      <c r="O3639" s="148" t="s">
        <v>67</v>
      </c>
      <c r="P3639" s="148" t="s">
        <v>68</v>
      </c>
      <c r="Q3639" s="103"/>
      <c r="R3639" s="103"/>
      <c r="S3639" s="103"/>
      <c r="T3639" s="103"/>
      <c r="U3639" s="148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1">
        <v>3634.0</v>
      </c>
      <c r="B3640" s="180" t="s">
        <v>6135</v>
      </c>
      <c r="C3640" s="82" t="str">
        <f>VLOOKUP($B$7:$B$5000,SUM!$L$6:$L$500,1,FALSE)</f>
        <v>#N/A</v>
      </c>
      <c r="D3640" s="190" t="s">
        <v>6048</v>
      </c>
      <c r="E3640" s="198" t="s">
        <v>58</v>
      </c>
      <c r="F3640" s="199" t="s">
        <v>105</v>
      </c>
      <c r="G3640" s="191" t="s">
        <v>6057</v>
      </c>
      <c r="H3640" s="224" t="s">
        <v>6058</v>
      </c>
      <c r="I3640" s="197" t="s">
        <v>6136</v>
      </c>
      <c r="J3640" s="148" t="s">
        <v>63</v>
      </c>
      <c r="K3640" s="148" t="s">
        <v>64</v>
      </c>
      <c r="L3640" s="148" t="s">
        <v>65</v>
      </c>
      <c r="M3640" s="148" t="s">
        <v>66</v>
      </c>
      <c r="N3640" s="159">
        <v>46183.0</v>
      </c>
      <c r="O3640" s="148" t="s">
        <v>67</v>
      </c>
      <c r="P3640" s="148" t="s">
        <v>68</v>
      </c>
      <c r="Q3640" s="103"/>
      <c r="R3640" s="103"/>
      <c r="S3640" s="103"/>
      <c r="T3640" s="103"/>
      <c r="U3640" s="148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1">
        <v>3635.0</v>
      </c>
      <c r="B3641" s="180" t="s">
        <v>6137</v>
      </c>
      <c r="C3641" s="82" t="str">
        <f>VLOOKUP($B$7:$B$5000,SUM!$L$6:$L$500,1,FALSE)</f>
        <v>#N/A</v>
      </c>
      <c r="D3641" s="226" t="s">
        <v>6048</v>
      </c>
      <c r="E3641" s="198" t="s">
        <v>58</v>
      </c>
      <c r="F3641" s="199" t="s">
        <v>105</v>
      </c>
      <c r="G3641" s="191" t="s">
        <v>6057</v>
      </c>
      <c r="H3641" s="224" t="s">
        <v>6061</v>
      </c>
      <c r="I3641" s="197" t="s">
        <v>6138</v>
      </c>
      <c r="J3641" s="148" t="s">
        <v>63</v>
      </c>
      <c r="K3641" s="148" t="s">
        <v>64</v>
      </c>
      <c r="L3641" s="148" t="s">
        <v>65</v>
      </c>
      <c r="M3641" s="148" t="s">
        <v>66</v>
      </c>
      <c r="N3641" s="159">
        <v>46183.0</v>
      </c>
      <c r="O3641" s="148" t="s">
        <v>67</v>
      </c>
      <c r="P3641" s="148" t="s">
        <v>68</v>
      </c>
      <c r="Q3641" s="103"/>
      <c r="R3641" s="103"/>
      <c r="S3641" s="103"/>
      <c r="T3641" s="103"/>
      <c r="U3641" s="148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1">
        <v>3636.0</v>
      </c>
      <c r="B3642" s="180" t="s">
        <v>6139</v>
      </c>
      <c r="C3642" s="82" t="str">
        <f>VLOOKUP($B$7:$B$5000,SUM!$L$6:$L$500,1,FALSE)</f>
        <v>#N/A</v>
      </c>
      <c r="D3642" s="190" t="s">
        <v>6048</v>
      </c>
      <c r="E3642" s="198" t="s">
        <v>58</v>
      </c>
      <c r="F3642" s="199" t="s">
        <v>105</v>
      </c>
      <c r="G3642" s="191" t="s">
        <v>6063</v>
      </c>
      <c r="H3642" s="225" t="s">
        <v>6064</v>
      </c>
      <c r="I3642" s="197" t="s">
        <v>6140</v>
      </c>
      <c r="J3642" s="148" t="s">
        <v>63</v>
      </c>
      <c r="K3642" s="148" t="s">
        <v>64</v>
      </c>
      <c r="L3642" s="148" t="s">
        <v>65</v>
      </c>
      <c r="M3642" s="148" t="s">
        <v>66</v>
      </c>
      <c r="N3642" s="159">
        <v>46183.0</v>
      </c>
      <c r="O3642" s="148" t="s">
        <v>67</v>
      </c>
      <c r="P3642" s="148" t="s">
        <v>68</v>
      </c>
      <c r="Q3642" s="103"/>
      <c r="R3642" s="103"/>
      <c r="S3642" s="103"/>
      <c r="T3642" s="103"/>
      <c r="U3642" s="148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1">
        <v>3637.0</v>
      </c>
      <c r="B3643" s="180" t="s">
        <v>6141</v>
      </c>
      <c r="C3643" s="82" t="str">
        <f>VLOOKUP($B$7:$B$5000,SUM!$L$6:$L$500,1,FALSE)</f>
        <v>#N/A</v>
      </c>
      <c r="D3643" s="226" t="s">
        <v>6048</v>
      </c>
      <c r="E3643" s="198" t="s">
        <v>58</v>
      </c>
      <c r="F3643" s="199" t="s">
        <v>105</v>
      </c>
      <c r="G3643" s="191" t="s">
        <v>6063</v>
      </c>
      <c r="H3643" s="225" t="s">
        <v>6067</v>
      </c>
      <c r="I3643" s="197" t="s">
        <v>6140</v>
      </c>
      <c r="J3643" s="148" t="s">
        <v>63</v>
      </c>
      <c r="K3643" s="148" t="s">
        <v>64</v>
      </c>
      <c r="L3643" s="148" t="s">
        <v>65</v>
      </c>
      <c r="M3643" s="148" t="s">
        <v>66</v>
      </c>
      <c r="N3643" s="159">
        <v>46183.0</v>
      </c>
      <c r="O3643" s="148" t="s">
        <v>67</v>
      </c>
      <c r="P3643" s="148" t="s">
        <v>68</v>
      </c>
      <c r="Q3643" s="103"/>
      <c r="R3643" s="103"/>
      <c r="S3643" s="103"/>
      <c r="T3643" s="103"/>
      <c r="U3643" s="148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1">
        <v>3638.0</v>
      </c>
      <c r="B3644" s="180" t="s">
        <v>6142</v>
      </c>
      <c r="C3644" s="82" t="str">
        <f>VLOOKUP($B$7:$B$5000,SUM!$L$6:$L$500,1,FALSE)</f>
        <v>#N/A</v>
      </c>
      <c r="D3644" s="190" t="s">
        <v>6048</v>
      </c>
      <c r="E3644" s="198" t="s">
        <v>58</v>
      </c>
      <c r="F3644" s="199" t="s">
        <v>105</v>
      </c>
      <c r="G3644" s="191" t="s">
        <v>6063</v>
      </c>
      <c r="H3644" s="225" t="s">
        <v>6069</v>
      </c>
      <c r="I3644" s="197" t="s">
        <v>6140</v>
      </c>
      <c r="J3644" s="148" t="s">
        <v>63</v>
      </c>
      <c r="K3644" s="148" t="s">
        <v>64</v>
      </c>
      <c r="L3644" s="148" t="s">
        <v>65</v>
      </c>
      <c r="M3644" s="148" t="s">
        <v>66</v>
      </c>
      <c r="N3644" s="159">
        <v>46183.0</v>
      </c>
      <c r="O3644" s="148" t="s">
        <v>67</v>
      </c>
      <c r="P3644" s="148" t="s">
        <v>68</v>
      </c>
      <c r="Q3644" s="103"/>
      <c r="R3644" s="103"/>
      <c r="S3644" s="103"/>
      <c r="T3644" s="103"/>
      <c r="U3644" s="148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1">
        <v>3639.0</v>
      </c>
      <c r="B3645" s="180" t="s">
        <v>6143</v>
      </c>
      <c r="C3645" s="82" t="str">
        <f>VLOOKUP($B$7:$B$5000,SUM!$L$6:$L$500,1,FALSE)</f>
        <v>#N/A</v>
      </c>
      <c r="D3645" s="226" t="s">
        <v>6048</v>
      </c>
      <c r="E3645" s="198" t="s">
        <v>58</v>
      </c>
      <c r="F3645" s="199" t="s">
        <v>105</v>
      </c>
      <c r="G3645" s="191" t="s">
        <v>6063</v>
      </c>
      <c r="H3645" s="225" t="s">
        <v>6071</v>
      </c>
      <c r="I3645" s="197" t="s">
        <v>6140</v>
      </c>
      <c r="J3645" s="148" t="s">
        <v>63</v>
      </c>
      <c r="K3645" s="148" t="s">
        <v>64</v>
      </c>
      <c r="L3645" s="148" t="s">
        <v>65</v>
      </c>
      <c r="M3645" s="148" t="s">
        <v>66</v>
      </c>
      <c r="N3645" s="159">
        <v>46183.0</v>
      </c>
      <c r="O3645" s="148" t="s">
        <v>67</v>
      </c>
      <c r="P3645" s="148" t="s">
        <v>68</v>
      </c>
      <c r="Q3645" s="103"/>
      <c r="R3645" s="103"/>
      <c r="S3645" s="103"/>
      <c r="T3645" s="103"/>
      <c r="U3645" s="148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1">
        <v>3640.0</v>
      </c>
      <c r="B3646" s="180" t="s">
        <v>6144</v>
      </c>
      <c r="C3646" s="82" t="str">
        <f>VLOOKUP($B$7:$B$5000,SUM!$L$6:$L$500,1,FALSE)</f>
        <v>#N/A</v>
      </c>
      <c r="D3646" s="190" t="s">
        <v>6048</v>
      </c>
      <c r="E3646" s="198" t="s">
        <v>58</v>
      </c>
      <c r="F3646" s="199" t="s">
        <v>105</v>
      </c>
      <c r="G3646" s="191" t="s">
        <v>6063</v>
      </c>
      <c r="H3646" s="225" t="s">
        <v>6073</v>
      </c>
      <c r="I3646" s="197" t="s">
        <v>6140</v>
      </c>
      <c r="J3646" s="148" t="s">
        <v>63</v>
      </c>
      <c r="K3646" s="148" t="s">
        <v>64</v>
      </c>
      <c r="L3646" s="148" t="s">
        <v>65</v>
      </c>
      <c r="M3646" s="148" t="s">
        <v>66</v>
      </c>
      <c r="N3646" s="159">
        <v>46183.0</v>
      </c>
      <c r="O3646" s="148" t="s">
        <v>67</v>
      </c>
      <c r="P3646" s="148" t="s">
        <v>68</v>
      </c>
      <c r="Q3646" s="103"/>
      <c r="R3646" s="103"/>
      <c r="S3646" s="103"/>
      <c r="T3646" s="103"/>
      <c r="U3646" s="148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1">
        <v>3641.0</v>
      </c>
      <c r="B3647" s="180" t="s">
        <v>6145</v>
      </c>
      <c r="C3647" s="82" t="str">
        <f>VLOOKUP($B$7:$B$5000,SUM!$L$6:$L$500,1,FALSE)</f>
        <v>#N/A</v>
      </c>
      <c r="D3647" s="226" t="s">
        <v>6048</v>
      </c>
      <c r="E3647" s="198" t="s">
        <v>58</v>
      </c>
      <c r="F3647" s="199" t="s">
        <v>105</v>
      </c>
      <c r="G3647" s="191" t="s">
        <v>6063</v>
      </c>
      <c r="H3647" s="225" t="s">
        <v>6075</v>
      </c>
      <c r="I3647" s="197" t="s">
        <v>6140</v>
      </c>
      <c r="J3647" s="148" t="s">
        <v>63</v>
      </c>
      <c r="K3647" s="148" t="s">
        <v>64</v>
      </c>
      <c r="L3647" s="148" t="s">
        <v>65</v>
      </c>
      <c r="M3647" s="148" t="s">
        <v>66</v>
      </c>
      <c r="N3647" s="159">
        <v>46183.0</v>
      </c>
      <c r="O3647" s="148" t="s">
        <v>67</v>
      </c>
      <c r="P3647" s="148" t="s">
        <v>68</v>
      </c>
      <c r="Q3647" s="103"/>
      <c r="R3647" s="103"/>
      <c r="S3647" s="103"/>
      <c r="T3647" s="103"/>
      <c r="U3647" s="148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1">
        <v>3642.0</v>
      </c>
      <c r="B3648" s="180" t="s">
        <v>6146</v>
      </c>
      <c r="C3648" s="82" t="str">
        <f>VLOOKUP($B$7:$B$5000,SUM!$L$6:$L$500,1,FALSE)</f>
        <v>#N/A</v>
      </c>
      <c r="D3648" s="190" t="s">
        <v>6048</v>
      </c>
      <c r="E3648" s="198" t="s">
        <v>58</v>
      </c>
      <c r="F3648" s="199" t="s">
        <v>105</v>
      </c>
      <c r="G3648" s="191" t="s">
        <v>6063</v>
      </c>
      <c r="H3648" s="225" t="s">
        <v>6077</v>
      </c>
      <c r="I3648" s="197" t="s">
        <v>6140</v>
      </c>
      <c r="J3648" s="148" t="s">
        <v>63</v>
      </c>
      <c r="K3648" s="148" t="s">
        <v>64</v>
      </c>
      <c r="L3648" s="148" t="s">
        <v>65</v>
      </c>
      <c r="M3648" s="148" t="s">
        <v>66</v>
      </c>
      <c r="N3648" s="159">
        <v>46183.0</v>
      </c>
      <c r="O3648" s="148" t="s">
        <v>67</v>
      </c>
      <c r="P3648" s="148" t="s">
        <v>68</v>
      </c>
      <c r="Q3648" s="103"/>
      <c r="R3648" s="103"/>
      <c r="S3648" s="103"/>
      <c r="T3648" s="103"/>
      <c r="U3648" s="148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1">
        <v>3643.0</v>
      </c>
      <c r="B3649" s="180" t="s">
        <v>6147</v>
      </c>
      <c r="C3649" s="82" t="str">
        <f>VLOOKUP($B$7:$B$5000,SUM!$L$6:$L$500,1,FALSE)</f>
        <v>#N/A</v>
      </c>
      <c r="D3649" s="226" t="s">
        <v>6048</v>
      </c>
      <c r="E3649" s="198" t="s">
        <v>58</v>
      </c>
      <c r="F3649" s="199" t="s">
        <v>105</v>
      </c>
      <c r="G3649" s="191" t="s">
        <v>6063</v>
      </c>
      <c r="H3649" s="225" t="s">
        <v>6079</v>
      </c>
      <c r="I3649" s="197" t="s">
        <v>6140</v>
      </c>
      <c r="J3649" s="148" t="s">
        <v>63</v>
      </c>
      <c r="K3649" s="148" t="s">
        <v>64</v>
      </c>
      <c r="L3649" s="148" t="s">
        <v>65</v>
      </c>
      <c r="M3649" s="148" t="s">
        <v>66</v>
      </c>
      <c r="N3649" s="159">
        <v>46183.0</v>
      </c>
      <c r="O3649" s="148" t="s">
        <v>67</v>
      </c>
      <c r="P3649" s="148" t="s">
        <v>68</v>
      </c>
      <c r="Q3649" s="103"/>
      <c r="R3649" s="103"/>
      <c r="S3649" s="103"/>
      <c r="T3649" s="103"/>
      <c r="U3649" s="148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1">
        <v>3644.0</v>
      </c>
      <c r="B3650" s="180" t="s">
        <v>6148</v>
      </c>
      <c r="C3650" s="82" t="str">
        <f>VLOOKUP($B$7:$B$5000,SUM!$L$6:$L$500,1,FALSE)</f>
        <v>#N/A</v>
      </c>
      <c r="D3650" s="190" t="s">
        <v>6048</v>
      </c>
      <c r="E3650" s="198" t="s">
        <v>58</v>
      </c>
      <c r="F3650" s="199" t="s">
        <v>105</v>
      </c>
      <c r="G3650" s="191" t="s">
        <v>6063</v>
      </c>
      <c r="H3650" s="225" t="s">
        <v>6081</v>
      </c>
      <c r="I3650" s="197" t="s">
        <v>6140</v>
      </c>
      <c r="J3650" s="148" t="s">
        <v>63</v>
      </c>
      <c r="K3650" s="148" t="s">
        <v>64</v>
      </c>
      <c r="L3650" s="148" t="s">
        <v>65</v>
      </c>
      <c r="M3650" s="148" t="s">
        <v>66</v>
      </c>
      <c r="N3650" s="159">
        <v>46183.0</v>
      </c>
      <c r="O3650" s="148" t="s">
        <v>67</v>
      </c>
      <c r="P3650" s="148" t="s">
        <v>68</v>
      </c>
      <c r="Q3650" s="103"/>
      <c r="R3650" s="103"/>
      <c r="S3650" s="103"/>
      <c r="T3650" s="103"/>
      <c r="U3650" s="148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1">
        <v>3645.0</v>
      </c>
      <c r="B3651" s="180" t="s">
        <v>6149</v>
      </c>
      <c r="C3651" s="82" t="str">
        <f>VLOOKUP($B$7:$B$5000,SUM!$L$6:$L$500,1,FALSE)</f>
        <v>#N/A</v>
      </c>
      <c r="D3651" s="226" t="s">
        <v>6048</v>
      </c>
      <c r="E3651" s="198" t="s">
        <v>58</v>
      </c>
      <c r="F3651" s="199" t="s">
        <v>105</v>
      </c>
      <c r="G3651" s="191" t="s">
        <v>6063</v>
      </c>
      <c r="H3651" s="225" t="s">
        <v>6083</v>
      </c>
      <c r="I3651" s="197" t="s">
        <v>6140</v>
      </c>
      <c r="J3651" s="148" t="s">
        <v>63</v>
      </c>
      <c r="K3651" s="148" t="s">
        <v>64</v>
      </c>
      <c r="L3651" s="148" t="s">
        <v>65</v>
      </c>
      <c r="M3651" s="148" t="s">
        <v>66</v>
      </c>
      <c r="N3651" s="159">
        <v>46183.0</v>
      </c>
      <c r="O3651" s="148" t="s">
        <v>67</v>
      </c>
      <c r="P3651" s="148" t="s">
        <v>68</v>
      </c>
      <c r="Q3651" s="103"/>
      <c r="R3651" s="103"/>
      <c r="S3651" s="103"/>
      <c r="T3651" s="103"/>
      <c r="U3651" s="148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1">
        <v>3646.0</v>
      </c>
      <c r="B3652" s="180" t="s">
        <v>6150</v>
      </c>
      <c r="C3652" s="82" t="str">
        <f>VLOOKUP($B$7:$B$5000,SUM!$L$6:$L$500,1,FALSE)</f>
        <v>#N/A</v>
      </c>
      <c r="D3652" s="190" t="s">
        <v>6048</v>
      </c>
      <c r="E3652" s="198" t="s">
        <v>58</v>
      </c>
      <c r="F3652" s="199" t="s">
        <v>105</v>
      </c>
      <c r="G3652" s="191" t="s">
        <v>6063</v>
      </c>
      <c r="H3652" s="225" t="s">
        <v>6085</v>
      </c>
      <c r="I3652" s="197" t="s">
        <v>6140</v>
      </c>
      <c r="J3652" s="148" t="s">
        <v>63</v>
      </c>
      <c r="K3652" s="148" t="s">
        <v>64</v>
      </c>
      <c r="L3652" s="148" t="s">
        <v>65</v>
      </c>
      <c r="M3652" s="148" t="s">
        <v>66</v>
      </c>
      <c r="N3652" s="159">
        <v>46183.0</v>
      </c>
      <c r="O3652" s="148" t="s">
        <v>67</v>
      </c>
      <c r="P3652" s="148" t="s">
        <v>68</v>
      </c>
      <c r="Q3652" s="103"/>
      <c r="R3652" s="103"/>
      <c r="S3652" s="103"/>
      <c r="T3652" s="103"/>
      <c r="U3652" s="148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1">
        <v>3647.0</v>
      </c>
      <c r="B3653" s="180" t="s">
        <v>6151</v>
      </c>
      <c r="C3653" s="82" t="str">
        <f>VLOOKUP($B$7:$B$5000,SUM!$L$6:$L$500,1,FALSE)</f>
        <v>#N/A</v>
      </c>
      <c r="D3653" s="226" t="s">
        <v>6048</v>
      </c>
      <c r="E3653" s="198" t="s">
        <v>58</v>
      </c>
      <c r="F3653" s="199" t="s">
        <v>105</v>
      </c>
      <c r="G3653" s="191" t="s">
        <v>6063</v>
      </c>
      <c r="H3653" s="225" t="s">
        <v>6087</v>
      </c>
      <c r="I3653" s="197" t="s">
        <v>6140</v>
      </c>
      <c r="J3653" s="148" t="s">
        <v>63</v>
      </c>
      <c r="K3653" s="148" t="s">
        <v>64</v>
      </c>
      <c r="L3653" s="148" t="s">
        <v>65</v>
      </c>
      <c r="M3653" s="148" t="s">
        <v>66</v>
      </c>
      <c r="N3653" s="159">
        <v>46183.0</v>
      </c>
      <c r="O3653" s="148" t="s">
        <v>67</v>
      </c>
      <c r="P3653" s="148" t="s">
        <v>68</v>
      </c>
      <c r="Q3653" s="103"/>
      <c r="R3653" s="103"/>
      <c r="S3653" s="103"/>
      <c r="T3653" s="103"/>
      <c r="U3653" s="148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1">
        <v>3648.0</v>
      </c>
      <c r="B3654" s="180" t="s">
        <v>6152</v>
      </c>
      <c r="C3654" s="82" t="str">
        <f>VLOOKUP($B$7:$B$5000,SUM!$L$6:$L$500,1,FALSE)</f>
        <v>#N/A</v>
      </c>
      <c r="D3654" s="190" t="s">
        <v>6048</v>
      </c>
      <c r="E3654" s="198" t="s">
        <v>58</v>
      </c>
      <c r="F3654" s="199" t="s">
        <v>105</v>
      </c>
      <c r="G3654" s="191" t="s">
        <v>6063</v>
      </c>
      <c r="H3654" s="225" t="s">
        <v>6089</v>
      </c>
      <c r="I3654" s="197" t="s">
        <v>6140</v>
      </c>
      <c r="J3654" s="148" t="s">
        <v>63</v>
      </c>
      <c r="K3654" s="148" t="s">
        <v>64</v>
      </c>
      <c r="L3654" s="148" t="s">
        <v>65</v>
      </c>
      <c r="M3654" s="148" t="s">
        <v>66</v>
      </c>
      <c r="N3654" s="159">
        <v>46183.0</v>
      </c>
      <c r="O3654" s="148" t="s">
        <v>67</v>
      </c>
      <c r="P3654" s="148" t="s">
        <v>68</v>
      </c>
      <c r="Q3654" s="103"/>
      <c r="R3654" s="103"/>
      <c r="S3654" s="103"/>
      <c r="T3654" s="103"/>
      <c r="U3654" s="148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1">
        <v>3649.0</v>
      </c>
      <c r="B3655" s="180" t="s">
        <v>6153</v>
      </c>
      <c r="C3655" s="82" t="str">
        <f>VLOOKUP($B$7:$B$5000,SUM!$L$6:$L$500,1,FALSE)</f>
        <v>#N/A</v>
      </c>
      <c r="D3655" s="226" t="s">
        <v>6048</v>
      </c>
      <c r="E3655" s="198" t="s">
        <v>58</v>
      </c>
      <c r="F3655" s="199" t="s">
        <v>105</v>
      </c>
      <c r="G3655" s="191" t="s">
        <v>6063</v>
      </c>
      <c r="H3655" s="225" t="s">
        <v>6091</v>
      </c>
      <c r="I3655" s="197" t="s">
        <v>6140</v>
      </c>
      <c r="J3655" s="148" t="s">
        <v>63</v>
      </c>
      <c r="K3655" s="148" t="s">
        <v>64</v>
      </c>
      <c r="L3655" s="148" t="s">
        <v>65</v>
      </c>
      <c r="M3655" s="148" t="s">
        <v>66</v>
      </c>
      <c r="N3655" s="159">
        <v>46183.0</v>
      </c>
      <c r="O3655" s="148" t="s">
        <v>67</v>
      </c>
      <c r="P3655" s="148" t="s">
        <v>68</v>
      </c>
      <c r="Q3655" s="103"/>
      <c r="R3655" s="103"/>
      <c r="S3655" s="103"/>
      <c r="T3655" s="103"/>
      <c r="U3655" s="148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1">
        <v>3650.0</v>
      </c>
      <c r="B3656" s="180" t="s">
        <v>6154</v>
      </c>
      <c r="C3656" s="82" t="str">
        <f>VLOOKUP($B$7:$B$5000,SUM!$L$6:$L$500,1,FALSE)</f>
        <v>#N/A</v>
      </c>
      <c r="D3656" s="190" t="s">
        <v>6048</v>
      </c>
      <c r="E3656" s="198" t="s">
        <v>58</v>
      </c>
      <c r="F3656" s="199" t="s">
        <v>105</v>
      </c>
      <c r="G3656" s="191" t="s">
        <v>6063</v>
      </c>
      <c r="H3656" s="225" t="s">
        <v>6093</v>
      </c>
      <c r="I3656" s="197" t="s">
        <v>6140</v>
      </c>
      <c r="J3656" s="148" t="s">
        <v>63</v>
      </c>
      <c r="K3656" s="148" t="s">
        <v>64</v>
      </c>
      <c r="L3656" s="148" t="s">
        <v>65</v>
      </c>
      <c r="M3656" s="148" t="s">
        <v>66</v>
      </c>
      <c r="N3656" s="159">
        <v>46183.0</v>
      </c>
      <c r="O3656" s="148" t="s">
        <v>67</v>
      </c>
      <c r="P3656" s="148" t="s">
        <v>68</v>
      </c>
      <c r="Q3656" s="103"/>
      <c r="R3656" s="103"/>
      <c r="S3656" s="103"/>
      <c r="T3656" s="103"/>
      <c r="U3656" s="148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1">
        <v>3651.0</v>
      </c>
      <c r="B3657" s="180" t="s">
        <v>6155</v>
      </c>
      <c r="C3657" s="82" t="str">
        <f>VLOOKUP($B$7:$B$5000,SUM!$L$6:$L$500,1,FALSE)</f>
        <v>#N/A</v>
      </c>
      <c r="D3657" s="226" t="s">
        <v>6048</v>
      </c>
      <c r="E3657" s="198" t="s">
        <v>58</v>
      </c>
      <c r="F3657" s="199" t="s">
        <v>105</v>
      </c>
      <c r="G3657" s="191" t="s">
        <v>6063</v>
      </c>
      <c r="H3657" s="225" t="s">
        <v>6095</v>
      </c>
      <c r="I3657" s="197" t="s">
        <v>6140</v>
      </c>
      <c r="J3657" s="148" t="s">
        <v>63</v>
      </c>
      <c r="K3657" s="148" t="s">
        <v>64</v>
      </c>
      <c r="L3657" s="148" t="s">
        <v>65</v>
      </c>
      <c r="M3657" s="148" t="s">
        <v>66</v>
      </c>
      <c r="N3657" s="159">
        <v>46183.0</v>
      </c>
      <c r="O3657" s="148" t="s">
        <v>67</v>
      </c>
      <c r="P3657" s="148" t="s">
        <v>68</v>
      </c>
      <c r="Q3657" s="103"/>
      <c r="R3657" s="103"/>
      <c r="S3657" s="103"/>
      <c r="T3657" s="103"/>
      <c r="U3657" s="148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1">
        <v>3652.0</v>
      </c>
      <c r="B3658" s="180" t="s">
        <v>6156</v>
      </c>
      <c r="C3658" s="82" t="str">
        <f>VLOOKUP($B$7:$B$5000,SUM!$L$6:$L$500,1,FALSE)</f>
        <v>#N/A</v>
      </c>
      <c r="D3658" s="190" t="s">
        <v>6048</v>
      </c>
      <c r="E3658" s="198" t="s">
        <v>58</v>
      </c>
      <c r="F3658" s="199" t="s">
        <v>105</v>
      </c>
      <c r="G3658" s="191" t="s">
        <v>6063</v>
      </c>
      <c r="H3658" s="225" t="s">
        <v>6097</v>
      </c>
      <c r="I3658" s="197" t="s">
        <v>6140</v>
      </c>
      <c r="J3658" s="148" t="s">
        <v>63</v>
      </c>
      <c r="K3658" s="148" t="s">
        <v>64</v>
      </c>
      <c r="L3658" s="148" t="s">
        <v>65</v>
      </c>
      <c r="M3658" s="148" t="s">
        <v>66</v>
      </c>
      <c r="N3658" s="159">
        <v>46183.0</v>
      </c>
      <c r="O3658" s="148" t="s">
        <v>67</v>
      </c>
      <c r="P3658" s="148" t="s">
        <v>68</v>
      </c>
      <c r="Q3658" s="103"/>
      <c r="R3658" s="103"/>
      <c r="S3658" s="103"/>
      <c r="T3658" s="103"/>
      <c r="U3658" s="148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1">
        <v>3653.0</v>
      </c>
      <c r="B3659" s="180" t="s">
        <v>6157</v>
      </c>
      <c r="C3659" s="82" t="str">
        <f>VLOOKUP($B$7:$B$5000,SUM!$L$6:$L$500,1,FALSE)</f>
        <v>#N/A</v>
      </c>
      <c r="D3659" s="226" t="s">
        <v>6048</v>
      </c>
      <c r="E3659" s="198" t="s">
        <v>58</v>
      </c>
      <c r="F3659" s="199" t="s">
        <v>105</v>
      </c>
      <c r="G3659" s="191" t="s">
        <v>6063</v>
      </c>
      <c r="H3659" s="225" t="s">
        <v>6099</v>
      </c>
      <c r="I3659" s="197" t="s">
        <v>6140</v>
      </c>
      <c r="J3659" s="148" t="s">
        <v>63</v>
      </c>
      <c r="K3659" s="148" t="s">
        <v>64</v>
      </c>
      <c r="L3659" s="148" t="s">
        <v>65</v>
      </c>
      <c r="M3659" s="148" t="s">
        <v>66</v>
      </c>
      <c r="N3659" s="159">
        <v>46183.0</v>
      </c>
      <c r="O3659" s="148" t="s">
        <v>67</v>
      </c>
      <c r="P3659" s="148" t="s">
        <v>68</v>
      </c>
      <c r="Q3659" s="103"/>
      <c r="R3659" s="103"/>
      <c r="S3659" s="103"/>
      <c r="T3659" s="103"/>
      <c r="U3659" s="148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1">
        <v>3654.0</v>
      </c>
      <c r="B3660" s="180" t="s">
        <v>6158</v>
      </c>
      <c r="C3660" s="82" t="str">
        <f>VLOOKUP($B$7:$B$5000,SUM!$L$6:$L$500,1,FALSE)</f>
        <v>#N/A</v>
      </c>
      <c r="D3660" s="190" t="s">
        <v>6048</v>
      </c>
      <c r="E3660" s="198" t="s">
        <v>58</v>
      </c>
      <c r="F3660" s="199" t="s">
        <v>105</v>
      </c>
      <c r="G3660" s="191" t="s">
        <v>6063</v>
      </c>
      <c r="H3660" s="225" t="s">
        <v>6101</v>
      </c>
      <c r="I3660" s="197" t="s">
        <v>6140</v>
      </c>
      <c r="J3660" s="148" t="s">
        <v>63</v>
      </c>
      <c r="K3660" s="148" t="s">
        <v>64</v>
      </c>
      <c r="L3660" s="148" t="s">
        <v>65</v>
      </c>
      <c r="M3660" s="148" t="s">
        <v>66</v>
      </c>
      <c r="N3660" s="159">
        <v>46183.0</v>
      </c>
      <c r="O3660" s="148" t="s">
        <v>67</v>
      </c>
      <c r="P3660" s="148" t="s">
        <v>68</v>
      </c>
      <c r="Q3660" s="103"/>
      <c r="R3660" s="103"/>
      <c r="S3660" s="103"/>
      <c r="T3660" s="103"/>
      <c r="U3660" s="148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1">
        <v>3655.0</v>
      </c>
      <c r="B3661" s="180" t="s">
        <v>6159</v>
      </c>
      <c r="C3661" s="82" t="str">
        <f>VLOOKUP($B$7:$B$5000,SUM!$L$6:$L$500,1,FALSE)</f>
        <v>#N/A</v>
      </c>
      <c r="D3661" s="226" t="s">
        <v>6048</v>
      </c>
      <c r="E3661" s="198" t="s">
        <v>58</v>
      </c>
      <c r="F3661" s="199" t="s">
        <v>105</v>
      </c>
      <c r="G3661" s="191" t="s">
        <v>6063</v>
      </c>
      <c r="H3661" s="227" t="s">
        <v>6103</v>
      </c>
      <c r="I3661" s="197" t="s">
        <v>6140</v>
      </c>
      <c r="J3661" s="148" t="s">
        <v>63</v>
      </c>
      <c r="K3661" s="148" t="s">
        <v>64</v>
      </c>
      <c r="L3661" s="148" t="s">
        <v>65</v>
      </c>
      <c r="M3661" s="148" t="s">
        <v>66</v>
      </c>
      <c r="N3661" s="159">
        <v>46183.0</v>
      </c>
      <c r="O3661" s="148" t="s">
        <v>67</v>
      </c>
      <c r="P3661" s="148" t="s">
        <v>68</v>
      </c>
      <c r="Q3661" s="103"/>
      <c r="R3661" s="103"/>
      <c r="S3661" s="103"/>
      <c r="T3661" s="103"/>
      <c r="U3661" s="148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1">
        <v>3656.0</v>
      </c>
      <c r="B3662" s="180" t="s">
        <v>6160</v>
      </c>
      <c r="C3662" s="82" t="str">
        <f>VLOOKUP($B$7:$B$5000,SUM!$L$6:$L$500,1,FALSE)</f>
        <v>#N/A</v>
      </c>
      <c r="D3662" s="190" t="s">
        <v>6048</v>
      </c>
      <c r="E3662" s="198" t="s">
        <v>58</v>
      </c>
      <c r="F3662" s="199" t="s">
        <v>105</v>
      </c>
      <c r="G3662" s="191" t="s">
        <v>6063</v>
      </c>
      <c r="H3662" s="225" t="s">
        <v>6105</v>
      </c>
      <c r="I3662" s="197" t="s">
        <v>6140</v>
      </c>
      <c r="J3662" s="148" t="s">
        <v>63</v>
      </c>
      <c r="K3662" s="148" t="s">
        <v>64</v>
      </c>
      <c r="L3662" s="148" t="s">
        <v>65</v>
      </c>
      <c r="M3662" s="148" t="s">
        <v>66</v>
      </c>
      <c r="N3662" s="159">
        <v>46183.0</v>
      </c>
      <c r="O3662" s="148" t="s">
        <v>67</v>
      </c>
      <c r="P3662" s="148" t="s">
        <v>68</v>
      </c>
      <c r="Q3662" s="103"/>
      <c r="R3662" s="103"/>
      <c r="S3662" s="103"/>
      <c r="T3662" s="103"/>
      <c r="U3662" s="148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1">
        <v>3657.0</v>
      </c>
      <c r="B3663" s="180" t="s">
        <v>6161</v>
      </c>
      <c r="C3663" s="82" t="str">
        <f>VLOOKUP($B$7:$B$5000,SUM!$L$6:$L$500,1,FALSE)</f>
        <v>#N/A</v>
      </c>
      <c r="D3663" s="226" t="s">
        <v>6048</v>
      </c>
      <c r="E3663" s="198" t="s">
        <v>58</v>
      </c>
      <c r="F3663" s="199" t="s">
        <v>105</v>
      </c>
      <c r="G3663" s="191" t="s">
        <v>6063</v>
      </c>
      <c r="H3663" s="225" t="s">
        <v>6107</v>
      </c>
      <c r="I3663" s="197" t="s">
        <v>6140</v>
      </c>
      <c r="J3663" s="148" t="s">
        <v>63</v>
      </c>
      <c r="K3663" s="148" t="s">
        <v>64</v>
      </c>
      <c r="L3663" s="148" t="s">
        <v>65</v>
      </c>
      <c r="M3663" s="148" t="s">
        <v>66</v>
      </c>
      <c r="N3663" s="159">
        <v>46183.0</v>
      </c>
      <c r="O3663" s="148" t="s">
        <v>67</v>
      </c>
      <c r="P3663" s="148" t="s">
        <v>68</v>
      </c>
      <c r="Q3663" s="103"/>
      <c r="R3663" s="103"/>
      <c r="S3663" s="103"/>
      <c r="T3663" s="103"/>
      <c r="U3663" s="148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1">
        <v>3658.0</v>
      </c>
      <c r="B3664" s="180" t="s">
        <v>6162</v>
      </c>
      <c r="C3664" s="82" t="str">
        <f>VLOOKUP($B$7:$B$5000,SUM!$L$6:$L$500,1,FALSE)</f>
        <v>#N/A</v>
      </c>
      <c r="D3664" s="190" t="s">
        <v>6048</v>
      </c>
      <c r="E3664" s="198" t="s">
        <v>58</v>
      </c>
      <c r="F3664" s="199" t="s">
        <v>105</v>
      </c>
      <c r="G3664" s="191" t="s">
        <v>6063</v>
      </c>
      <c r="H3664" s="225" t="s">
        <v>6109</v>
      </c>
      <c r="I3664" s="197" t="s">
        <v>6140</v>
      </c>
      <c r="J3664" s="148" t="s">
        <v>63</v>
      </c>
      <c r="K3664" s="148" t="s">
        <v>64</v>
      </c>
      <c r="L3664" s="148" t="s">
        <v>65</v>
      </c>
      <c r="M3664" s="148" t="s">
        <v>66</v>
      </c>
      <c r="N3664" s="159">
        <v>46183.0</v>
      </c>
      <c r="O3664" s="148" t="s">
        <v>67</v>
      </c>
      <c r="P3664" s="148" t="s">
        <v>68</v>
      </c>
      <c r="Q3664" s="103"/>
      <c r="R3664" s="103"/>
      <c r="S3664" s="103"/>
      <c r="T3664" s="103"/>
      <c r="U3664" s="148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1">
        <v>3659.0</v>
      </c>
      <c r="B3665" s="180" t="s">
        <v>6163</v>
      </c>
      <c r="C3665" s="82" t="str">
        <f>VLOOKUP($B$7:$B$5000,SUM!$L$6:$L$500,1,FALSE)</f>
        <v>#N/A</v>
      </c>
      <c r="D3665" s="226" t="s">
        <v>6048</v>
      </c>
      <c r="E3665" s="198" t="s">
        <v>58</v>
      </c>
      <c r="F3665" s="199" t="s">
        <v>105</v>
      </c>
      <c r="G3665" s="191" t="s">
        <v>6063</v>
      </c>
      <c r="H3665" s="225" t="s">
        <v>6111</v>
      </c>
      <c r="I3665" s="197" t="s">
        <v>6140</v>
      </c>
      <c r="J3665" s="148" t="s">
        <v>63</v>
      </c>
      <c r="K3665" s="148" t="s">
        <v>64</v>
      </c>
      <c r="L3665" s="148" t="s">
        <v>65</v>
      </c>
      <c r="M3665" s="148" t="s">
        <v>66</v>
      </c>
      <c r="N3665" s="159">
        <v>46183.0</v>
      </c>
      <c r="O3665" s="148" t="s">
        <v>67</v>
      </c>
      <c r="P3665" s="148" t="s">
        <v>68</v>
      </c>
      <c r="Q3665" s="103"/>
      <c r="R3665" s="103"/>
      <c r="S3665" s="103"/>
      <c r="T3665" s="103"/>
      <c r="U3665" s="148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1">
        <v>3660.0</v>
      </c>
      <c r="B3666" s="180" t="s">
        <v>6164</v>
      </c>
      <c r="C3666" s="82" t="str">
        <f>VLOOKUP($B$7:$B$5000,SUM!$L$6:$L$500,1,FALSE)</f>
        <v>#N/A</v>
      </c>
      <c r="D3666" s="190" t="s">
        <v>6048</v>
      </c>
      <c r="E3666" s="198" t="s">
        <v>58</v>
      </c>
      <c r="F3666" s="199" t="s">
        <v>105</v>
      </c>
      <c r="G3666" s="191" t="s">
        <v>6063</v>
      </c>
      <c r="H3666" s="225" t="s">
        <v>6113</v>
      </c>
      <c r="I3666" s="197" t="s">
        <v>6140</v>
      </c>
      <c r="J3666" s="148" t="s">
        <v>63</v>
      </c>
      <c r="K3666" s="148" t="s">
        <v>64</v>
      </c>
      <c r="L3666" s="148" t="s">
        <v>65</v>
      </c>
      <c r="M3666" s="148" t="s">
        <v>66</v>
      </c>
      <c r="N3666" s="159">
        <v>46183.0</v>
      </c>
      <c r="O3666" s="148" t="s">
        <v>67</v>
      </c>
      <c r="P3666" s="148" t="s">
        <v>68</v>
      </c>
      <c r="Q3666" s="103"/>
      <c r="R3666" s="103"/>
      <c r="S3666" s="103"/>
      <c r="T3666" s="103"/>
      <c r="U3666" s="148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1">
        <v>3661.0</v>
      </c>
      <c r="B3667" s="180" t="s">
        <v>6165</v>
      </c>
      <c r="C3667" s="82" t="str">
        <f>VLOOKUP($B$7:$B$5000,SUM!$L$6:$L$500,1,FALSE)</f>
        <v>#N/A</v>
      </c>
      <c r="D3667" s="226" t="s">
        <v>6048</v>
      </c>
      <c r="E3667" s="198" t="s">
        <v>58</v>
      </c>
      <c r="F3667" s="199" t="s">
        <v>105</v>
      </c>
      <c r="G3667" s="191" t="s">
        <v>6063</v>
      </c>
      <c r="H3667" s="225" t="s">
        <v>6115</v>
      </c>
      <c r="I3667" s="197" t="s">
        <v>6140</v>
      </c>
      <c r="J3667" s="148" t="s">
        <v>63</v>
      </c>
      <c r="K3667" s="148" t="s">
        <v>64</v>
      </c>
      <c r="L3667" s="148" t="s">
        <v>65</v>
      </c>
      <c r="M3667" s="148" t="s">
        <v>66</v>
      </c>
      <c r="N3667" s="159">
        <v>46183.0</v>
      </c>
      <c r="O3667" s="148" t="s">
        <v>67</v>
      </c>
      <c r="P3667" s="148" t="s">
        <v>68</v>
      </c>
      <c r="Q3667" s="103"/>
      <c r="R3667" s="103"/>
      <c r="S3667" s="103"/>
      <c r="T3667" s="103"/>
      <c r="U3667" s="148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1">
        <v>3662.0</v>
      </c>
      <c r="B3668" s="180" t="s">
        <v>6166</v>
      </c>
      <c r="C3668" s="82" t="str">
        <f>VLOOKUP($B$7:$B$5000,SUM!$L$6:$L$500,1,FALSE)</f>
        <v>#N/A</v>
      </c>
      <c r="D3668" s="190" t="s">
        <v>6048</v>
      </c>
      <c r="E3668" s="198" t="s">
        <v>58</v>
      </c>
      <c r="F3668" s="199" t="s">
        <v>105</v>
      </c>
      <c r="G3668" s="191" t="s">
        <v>6063</v>
      </c>
      <c r="H3668" s="225" t="s">
        <v>6117</v>
      </c>
      <c r="I3668" s="197" t="s">
        <v>6140</v>
      </c>
      <c r="J3668" s="148" t="s">
        <v>63</v>
      </c>
      <c r="K3668" s="148" t="s">
        <v>64</v>
      </c>
      <c r="L3668" s="148" t="s">
        <v>65</v>
      </c>
      <c r="M3668" s="148" t="s">
        <v>66</v>
      </c>
      <c r="N3668" s="159">
        <v>46183.0</v>
      </c>
      <c r="O3668" s="148" t="s">
        <v>67</v>
      </c>
      <c r="P3668" s="148" t="s">
        <v>68</v>
      </c>
      <c r="Q3668" s="103"/>
      <c r="R3668" s="103"/>
      <c r="S3668" s="103"/>
      <c r="T3668" s="103"/>
      <c r="U3668" s="148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1">
        <v>3663.0</v>
      </c>
      <c r="B3669" s="180" t="s">
        <v>6167</v>
      </c>
      <c r="C3669" s="82" t="str">
        <f>VLOOKUP($B$7:$B$5000,SUM!$L$6:$L$500,1,FALSE)</f>
        <v>#N/A</v>
      </c>
      <c r="D3669" s="226" t="s">
        <v>6048</v>
      </c>
      <c r="E3669" s="198" t="s">
        <v>58</v>
      </c>
      <c r="F3669" s="199" t="s">
        <v>105</v>
      </c>
      <c r="G3669" s="191" t="s">
        <v>6063</v>
      </c>
      <c r="H3669" s="225" t="s">
        <v>6119</v>
      </c>
      <c r="I3669" s="197" t="s">
        <v>6140</v>
      </c>
      <c r="J3669" s="148" t="s">
        <v>63</v>
      </c>
      <c r="K3669" s="148" t="s">
        <v>64</v>
      </c>
      <c r="L3669" s="148" t="s">
        <v>65</v>
      </c>
      <c r="M3669" s="148" t="s">
        <v>66</v>
      </c>
      <c r="N3669" s="159">
        <v>46183.0</v>
      </c>
      <c r="O3669" s="148" t="s">
        <v>67</v>
      </c>
      <c r="P3669" s="148" t="s">
        <v>68</v>
      </c>
      <c r="Q3669" s="103"/>
      <c r="R3669" s="103"/>
      <c r="S3669" s="103"/>
      <c r="T3669" s="103"/>
      <c r="U3669" s="148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1">
        <v>3664.0</v>
      </c>
      <c r="B3670" s="180" t="s">
        <v>6168</v>
      </c>
      <c r="C3670" s="82" t="str">
        <f>VLOOKUP($B$7:$B$5000,SUM!$L$6:$L$500,1,FALSE)</f>
        <v>#N/A</v>
      </c>
      <c r="D3670" s="190" t="s">
        <v>6048</v>
      </c>
      <c r="E3670" s="198" t="s">
        <v>58</v>
      </c>
      <c r="F3670" s="199" t="s">
        <v>105</v>
      </c>
      <c r="G3670" s="191" t="s">
        <v>6063</v>
      </c>
      <c r="H3670" s="225" t="s">
        <v>6121</v>
      </c>
      <c r="I3670" s="197" t="s">
        <v>6140</v>
      </c>
      <c r="J3670" s="148" t="s">
        <v>63</v>
      </c>
      <c r="K3670" s="148" t="s">
        <v>64</v>
      </c>
      <c r="L3670" s="148" t="s">
        <v>65</v>
      </c>
      <c r="M3670" s="148" t="s">
        <v>66</v>
      </c>
      <c r="N3670" s="159">
        <v>46183.0</v>
      </c>
      <c r="O3670" s="148" t="s">
        <v>67</v>
      </c>
      <c r="P3670" s="148" t="s">
        <v>68</v>
      </c>
      <c r="Q3670" s="103"/>
      <c r="R3670" s="103"/>
      <c r="S3670" s="103"/>
      <c r="T3670" s="103"/>
      <c r="U3670" s="148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1">
        <v>3665.0</v>
      </c>
      <c r="B3671" s="180" t="s">
        <v>6169</v>
      </c>
      <c r="C3671" s="82" t="str">
        <f>VLOOKUP($B$7:$B$5000,SUM!$L$6:$L$500,1,FALSE)</f>
        <v>#N/A</v>
      </c>
      <c r="D3671" s="226" t="s">
        <v>6048</v>
      </c>
      <c r="E3671" s="198" t="s">
        <v>58</v>
      </c>
      <c r="F3671" s="199" t="s">
        <v>105</v>
      </c>
      <c r="G3671" s="191" t="s">
        <v>6063</v>
      </c>
      <c r="H3671" s="225" t="s">
        <v>6123</v>
      </c>
      <c r="I3671" s="197" t="s">
        <v>6140</v>
      </c>
      <c r="J3671" s="148" t="s">
        <v>63</v>
      </c>
      <c r="K3671" s="148" t="s">
        <v>64</v>
      </c>
      <c r="L3671" s="148" t="s">
        <v>65</v>
      </c>
      <c r="M3671" s="148" t="s">
        <v>66</v>
      </c>
      <c r="N3671" s="159">
        <v>46183.0</v>
      </c>
      <c r="O3671" s="148" t="s">
        <v>67</v>
      </c>
      <c r="P3671" s="148" t="s">
        <v>68</v>
      </c>
      <c r="Q3671" s="103"/>
      <c r="R3671" s="103"/>
      <c r="S3671" s="103"/>
      <c r="T3671" s="103"/>
      <c r="U3671" s="148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1">
        <v>3666.0</v>
      </c>
      <c r="B3672" s="180" t="s">
        <v>6170</v>
      </c>
      <c r="C3672" s="82" t="str">
        <f>VLOOKUP($B$7:$B$5000,SUM!$L$6:$L$500,1,FALSE)</f>
        <v>#N/A</v>
      </c>
      <c r="D3672" s="190" t="s">
        <v>6048</v>
      </c>
      <c r="E3672" s="198" t="s">
        <v>58</v>
      </c>
      <c r="F3672" s="199" t="s">
        <v>105</v>
      </c>
      <c r="G3672" s="191" t="s">
        <v>6063</v>
      </c>
      <c r="H3672" s="225" t="s">
        <v>6125</v>
      </c>
      <c r="I3672" s="197" t="s">
        <v>6140</v>
      </c>
      <c r="J3672" s="148" t="s">
        <v>63</v>
      </c>
      <c r="K3672" s="148" t="s">
        <v>64</v>
      </c>
      <c r="L3672" s="148" t="s">
        <v>65</v>
      </c>
      <c r="M3672" s="148" t="s">
        <v>66</v>
      </c>
      <c r="N3672" s="159">
        <v>46183.0</v>
      </c>
      <c r="O3672" s="148" t="s">
        <v>67</v>
      </c>
      <c r="P3672" s="148" t="s">
        <v>68</v>
      </c>
      <c r="Q3672" s="103"/>
      <c r="R3672" s="103"/>
      <c r="S3672" s="103"/>
      <c r="T3672" s="103"/>
      <c r="U3672" s="148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1">
        <v>3667.0</v>
      </c>
      <c r="B3673" s="180" t="s">
        <v>6171</v>
      </c>
      <c r="C3673" s="82" t="str">
        <f>VLOOKUP($B$7:$B$5000,SUM!$L$6:$L$500,1,FALSE)</f>
        <v>#N/A</v>
      </c>
      <c r="D3673" s="226" t="s">
        <v>6048</v>
      </c>
      <c r="E3673" s="198" t="s">
        <v>58</v>
      </c>
      <c r="F3673" s="199" t="s">
        <v>105</v>
      </c>
      <c r="G3673" s="191" t="s">
        <v>6063</v>
      </c>
      <c r="H3673" s="225" t="s">
        <v>6127</v>
      </c>
      <c r="I3673" s="197" t="s">
        <v>6140</v>
      </c>
      <c r="J3673" s="148" t="s">
        <v>63</v>
      </c>
      <c r="K3673" s="148" t="s">
        <v>64</v>
      </c>
      <c r="L3673" s="148" t="s">
        <v>65</v>
      </c>
      <c r="M3673" s="148" t="s">
        <v>66</v>
      </c>
      <c r="N3673" s="159">
        <v>46183.0</v>
      </c>
      <c r="O3673" s="148" t="s">
        <v>67</v>
      </c>
      <c r="P3673" s="148" t="s">
        <v>68</v>
      </c>
      <c r="Q3673" s="103"/>
      <c r="R3673" s="103"/>
      <c r="S3673" s="103"/>
      <c r="T3673" s="103"/>
      <c r="U3673" s="148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1">
        <v>3668.0</v>
      </c>
      <c r="B3674" s="180" t="s">
        <v>6172</v>
      </c>
      <c r="C3674" s="82" t="str">
        <f>VLOOKUP($B$7:$B$5000,SUM!$L$6:$L$500,1,FALSE)</f>
        <v>#N/A</v>
      </c>
      <c r="D3674" s="190" t="s">
        <v>6048</v>
      </c>
      <c r="E3674" s="198" t="s">
        <v>58</v>
      </c>
      <c r="F3674" s="199" t="s">
        <v>105</v>
      </c>
      <c r="G3674" s="191" t="s">
        <v>235</v>
      </c>
      <c r="H3674" s="225" t="s">
        <v>6129</v>
      </c>
      <c r="I3674" s="197" t="s">
        <v>6173</v>
      </c>
      <c r="J3674" s="148" t="s">
        <v>63</v>
      </c>
      <c r="K3674" s="148" t="s">
        <v>64</v>
      </c>
      <c r="L3674" s="148" t="s">
        <v>65</v>
      </c>
      <c r="M3674" s="148" t="s">
        <v>66</v>
      </c>
      <c r="N3674" s="159">
        <v>46183.0</v>
      </c>
      <c r="O3674" s="148" t="s">
        <v>67</v>
      </c>
      <c r="P3674" s="148" t="s">
        <v>68</v>
      </c>
      <c r="Q3674" s="103"/>
      <c r="R3674" s="103"/>
      <c r="S3674" s="103"/>
      <c r="T3674" s="103"/>
      <c r="U3674" s="148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1">
        <v>3669.0</v>
      </c>
      <c r="B3675" s="180" t="s">
        <v>6174</v>
      </c>
      <c r="C3675" s="82" t="str">
        <f>VLOOKUP($B$7:$B$5000,SUM!$L$6:$L$500,1,FALSE)</f>
        <v>#N/A</v>
      </c>
      <c r="D3675" s="226" t="s">
        <v>6048</v>
      </c>
      <c r="E3675" s="198" t="s">
        <v>58</v>
      </c>
      <c r="F3675" s="199" t="s">
        <v>105</v>
      </c>
      <c r="G3675" s="191" t="s">
        <v>6049</v>
      </c>
      <c r="H3675" s="229" t="s">
        <v>6050</v>
      </c>
      <c r="I3675" s="197" t="s">
        <v>6175</v>
      </c>
      <c r="J3675" s="148" t="s">
        <v>108</v>
      </c>
      <c r="K3675" s="148" t="s">
        <v>64</v>
      </c>
      <c r="L3675" s="148" t="s">
        <v>65</v>
      </c>
      <c r="M3675" s="148" t="s">
        <v>66</v>
      </c>
      <c r="N3675" s="159">
        <v>46183.0</v>
      </c>
      <c r="O3675" s="148" t="s">
        <v>67</v>
      </c>
      <c r="P3675" s="148" t="s">
        <v>68</v>
      </c>
      <c r="Q3675" s="103"/>
      <c r="R3675" s="103"/>
      <c r="S3675" s="103"/>
      <c r="T3675" s="103"/>
      <c r="U3675" s="148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1">
        <v>3670.0</v>
      </c>
      <c r="B3676" s="180" t="s">
        <v>6176</v>
      </c>
      <c r="C3676" s="82" t="str">
        <f>VLOOKUP($B$7:$B$5000,SUM!$L$6:$L$500,1,FALSE)</f>
        <v>#N/A</v>
      </c>
      <c r="D3676" s="190" t="s">
        <v>6048</v>
      </c>
      <c r="E3676" s="198" t="s">
        <v>58</v>
      </c>
      <c r="F3676" s="199" t="s">
        <v>105</v>
      </c>
      <c r="G3676" s="191" t="s">
        <v>6053</v>
      </c>
      <c r="H3676" s="225" t="s">
        <v>6054</v>
      </c>
      <c r="I3676" s="197" t="s">
        <v>6177</v>
      </c>
      <c r="J3676" s="148" t="s">
        <v>108</v>
      </c>
      <c r="K3676" s="148" t="s">
        <v>64</v>
      </c>
      <c r="L3676" s="148" t="s">
        <v>65</v>
      </c>
      <c r="M3676" s="148" t="s">
        <v>66</v>
      </c>
      <c r="N3676" s="159">
        <v>46183.0</v>
      </c>
      <c r="O3676" s="148" t="s">
        <v>67</v>
      </c>
      <c r="P3676" s="148" t="s">
        <v>68</v>
      </c>
      <c r="Q3676" s="103"/>
      <c r="R3676" s="103"/>
      <c r="S3676" s="103"/>
      <c r="T3676" s="103"/>
      <c r="U3676" s="148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1">
        <v>3671.0</v>
      </c>
      <c r="B3677" s="180" t="s">
        <v>6178</v>
      </c>
      <c r="C3677" s="82" t="str">
        <f>VLOOKUP($B$7:$B$5000,SUM!$L$6:$L$500,1,FALSE)</f>
        <v>#N/A</v>
      </c>
      <c r="D3677" s="226" t="s">
        <v>6048</v>
      </c>
      <c r="E3677" s="198" t="s">
        <v>58</v>
      </c>
      <c r="F3677" s="199" t="s">
        <v>105</v>
      </c>
      <c r="G3677" s="191" t="s">
        <v>6057</v>
      </c>
      <c r="H3677" s="224" t="s">
        <v>6058</v>
      </c>
      <c r="I3677" s="197" t="s">
        <v>6179</v>
      </c>
      <c r="J3677" s="148" t="s">
        <v>108</v>
      </c>
      <c r="K3677" s="148" t="s">
        <v>64</v>
      </c>
      <c r="L3677" s="148" t="s">
        <v>65</v>
      </c>
      <c r="M3677" s="148" t="s">
        <v>66</v>
      </c>
      <c r="N3677" s="159">
        <v>46183.0</v>
      </c>
      <c r="O3677" s="148" t="s">
        <v>67</v>
      </c>
      <c r="P3677" s="148" t="s">
        <v>68</v>
      </c>
      <c r="Q3677" s="103"/>
      <c r="R3677" s="103"/>
      <c r="S3677" s="103"/>
      <c r="T3677" s="103"/>
      <c r="U3677" s="148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1">
        <v>3672.0</v>
      </c>
      <c r="B3678" s="180" t="s">
        <v>6180</v>
      </c>
      <c r="C3678" s="82" t="str">
        <f>VLOOKUP($B$7:$B$5000,SUM!$L$6:$L$500,1,FALSE)</f>
        <v>#N/A</v>
      </c>
      <c r="D3678" s="190" t="s">
        <v>6048</v>
      </c>
      <c r="E3678" s="198" t="s">
        <v>58</v>
      </c>
      <c r="F3678" s="199" t="s">
        <v>105</v>
      </c>
      <c r="G3678" s="191" t="s">
        <v>6057</v>
      </c>
      <c r="H3678" s="224" t="s">
        <v>6061</v>
      </c>
      <c r="I3678" s="197" t="s">
        <v>6179</v>
      </c>
      <c r="J3678" s="148" t="s">
        <v>108</v>
      </c>
      <c r="K3678" s="148" t="s">
        <v>64</v>
      </c>
      <c r="L3678" s="148" t="s">
        <v>65</v>
      </c>
      <c r="M3678" s="148" t="s">
        <v>66</v>
      </c>
      <c r="N3678" s="159">
        <v>46183.0</v>
      </c>
      <c r="O3678" s="148" t="s">
        <v>67</v>
      </c>
      <c r="P3678" s="148" t="s">
        <v>68</v>
      </c>
      <c r="Q3678" s="103"/>
      <c r="R3678" s="103"/>
      <c r="S3678" s="103"/>
      <c r="T3678" s="103"/>
      <c r="U3678" s="148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1">
        <v>3673.0</v>
      </c>
      <c r="B3679" s="180" t="s">
        <v>34</v>
      </c>
      <c r="C3679" s="82" t="str">
        <f>VLOOKUP($B$7:$B$5000,SUM!$L$6:$L$500,1,FALSE)</f>
        <v>PL-PS5-03673</v>
      </c>
      <c r="D3679" s="226" t="s">
        <v>6048</v>
      </c>
      <c r="E3679" s="198" t="s">
        <v>58</v>
      </c>
      <c r="F3679" s="199" t="s">
        <v>105</v>
      </c>
      <c r="G3679" s="191" t="s">
        <v>6063</v>
      </c>
      <c r="H3679" s="225" t="s">
        <v>6064</v>
      </c>
      <c r="I3679" s="197" t="s">
        <v>6181</v>
      </c>
      <c r="J3679" s="148" t="s">
        <v>108</v>
      </c>
      <c r="K3679" s="148" t="s">
        <v>64</v>
      </c>
      <c r="L3679" s="148" t="s">
        <v>65</v>
      </c>
      <c r="M3679" s="148" t="s">
        <v>66</v>
      </c>
      <c r="N3679" s="159">
        <v>46183.0</v>
      </c>
      <c r="O3679" s="148" t="s">
        <v>67</v>
      </c>
      <c r="P3679" s="148" t="s">
        <v>68</v>
      </c>
      <c r="Q3679" s="230">
        <v>46119.0</v>
      </c>
      <c r="R3679" s="107" t="s">
        <v>6182</v>
      </c>
      <c r="S3679" s="230">
        <v>46333.0</v>
      </c>
      <c r="T3679" s="108"/>
      <c r="U3679" s="107" t="s">
        <v>31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1">
        <v>3674.0</v>
      </c>
      <c r="B3680" s="180" t="s">
        <v>35</v>
      </c>
      <c r="C3680" s="82" t="str">
        <f>VLOOKUP($B$7:$B$5000,SUM!$L$6:$L$500,1,FALSE)</f>
        <v>PL-PS5-03674</v>
      </c>
      <c r="D3680" s="190" t="s">
        <v>6048</v>
      </c>
      <c r="E3680" s="198" t="s">
        <v>58</v>
      </c>
      <c r="F3680" s="199" t="s">
        <v>105</v>
      </c>
      <c r="G3680" s="191" t="s">
        <v>6063</v>
      </c>
      <c r="H3680" s="225" t="s">
        <v>6067</v>
      </c>
      <c r="I3680" s="197" t="s">
        <v>6181</v>
      </c>
      <c r="J3680" s="148" t="s">
        <v>108</v>
      </c>
      <c r="K3680" s="148" t="s">
        <v>64</v>
      </c>
      <c r="L3680" s="148" t="s">
        <v>65</v>
      </c>
      <c r="M3680" s="148" t="s">
        <v>66</v>
      </c>
      <c r="N3680" s="159">
        <v>46183.0</v>
      </c>
      <c r="O3680" s="148" t="s">
        <v>67</v>
      </c>
      <c r="P3680" s="148" t="s">
        <v>68</v>
      </c>
      <c r="Q3680" s="230">
        <v>46119.0</v>
      </c>
      <c r="R3680" s="107" t="s">
        <v>6182</v>
      </c>
      <c r="S3680" s="230">
        <v>46333.0</v>
      </c>
      <c r="T3680" s="108"/>
      <c r="U3680" s="107" t="s">
        <v>31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1">
        <v>3675.0</v>
      </c>
      <c r="B3681" s="180" t="s">
        <v>36</v>
      </c>
      <c r="C3681" s="82" t="str">
        <f>VLOOKUP($B$7:$B$5000,SUM!$L$6:$L$500,1,FALSE)</f>
        <v>PL-PS5-03675</v>
      </c>
      <c r="D3681" s="226" t="s">
        <v>6048</v>
      </c>
      <c r="E3681" s="198" t="s">
        <v>58</v>
      </c>
      <c r="F3681" s="199" t="s">
        <v>105</v>
      </c>
      <c r="G3681" s="191" t="s">
        <v>6063</v>
      </c>
      <c r="H3681" s="225" t="s">
        <v>6069</v>
      </c>
      <c r="I3681" s="197" t="s">
        <v>6181</v>
      </c>
      <c r="J3681" s="148" t="s">
        <v>108</v>
      </c>
      <c r="K3681" s="148" t="s">
        <v>64</v>
      </c>
      <c r="L3681" s="148" t="s">
        <v>65</v>
      </c>
      <c r="M3681" s="148" t="s">
        <v>66</v>
      </c>
      <c r="N3681" s="159">
        <v>46183.0</v>
      </c>
      <c r="O3681" s="148" t="s">
        <v>67</v>
      </c>
      <c r="P3681" s="148" t="s">
        <v>68</v>
      </c>
      <c r="Q3681" s="230">
        <v>46119.0</v>
      </c>
      <c r="R3681" s="107" t="s">
        <v>6182</v>
      </c>
      <c r="S3681" s="230">
        <v>46333.0</v>
      </c>
      <c r="T3681" s="108"/>
      <c r="U3681" s="107" t="s">
        <v>31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1">
        <v>3676.0</v>
      </c>
      <c r="B3682" s="180" t="s">
        <v>37</v>
      </c>
      <c r="C3682" s="82" t="str">
        <f>VLOOKUP($B$7:$B$5000,SUM!$L$6:$L$500,1,FALSE)</f>
        <v>PL-PS5-03676</v>
      </c>
      <c r="D3682" s="190" t="s">
        <v>6048</v>
      </c>
      <c r="E3682" s="198" t="s">
        <v>58</v>
      </c>
      <c r="F3682" s="199" t="s">
        <v>105</v>
      </c>
      <c r="G3682" s="191" t="s">
        <v>6063</v>
      </c>
      <c r="H3682" s="225" t="s">
        <v>6071</v>
      </c>
      <c r="I3682" s="197" t="s">
        <v>6181</v>
      </c>
      <c r="J3682" s="148" t="s">
        <v>108</v>
      </c>
      <c r="K3682" s="148" t="s">
        <v>64</v>
      </c>
      <c r="L3682" s="148" t="s">
        <v>65</v>
      </c>
      <c r="M3682" s="148" t="s">
        <v>66</v>
      </c>
      <c r="N3682" s="159">
        <v>46183.0</v>
      </c>
      <c r="O3682" s="148" t="s">
        <v>67</v>
      </c>
      <c r="P3682" s="148" t="s">
        <v>68</v>
      </c>
      <c r="Q3682" s="230">
        <v>46119.0</v>
      </c>
      <c r="R3682" s="107" t="s">
        <v>6182</v>
      </c>
      <c r="S3682" s="230">
        <v>46333.0</v>
      </c>
      <c r="T3682" s="108"/>
      <c r="U3682" s="107" t="s">
        <v>31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1">
        <v>3677.0</v>
      </c>
      <c r="B3683" s="180" t="s">
        <v>38</v>
      </c>
      <c r="C3683" s="82" t="str">
        <f>VLOOKUP($B$7:$B$5000,SUM!$L$6:$L$500,1,FALSE)</f>
        <v>PL-PS5-03677</v>
      </c>
      <c r="D3683" s="226" t="s">
        <v>6048</v>
      </c>
      <c r="E3683" s="198" t="s">
        <v>58</v>
      </c>
      <c r="F3683" s="199" t="s">
        <v>105</v>
      </c>
      <c r="G3683" s="191" t="s">
        <v>6063</v>
      </c>
      <c r="H3683" s="225" t="s">
        <v>6073</v>
      </c>
      <c r="I3683" s="197" t="s">
        <v>6181</v>
      </c>
      <c r="J3683" s="148" t="s">
        <v>108</v>
      </c>
      <c r="K3683" s="148" t="s">
        <v>64</v>
      </c>
      <c r="L3683" s="148" t="s">
        <v>65</v>
      </c>
      <c r="M3683" s="148" t="s">
        <v>66</v>
      </c>
      <c r="N3683" s="159">
        <v>46183.0</v>
      </c>
      <c r="O3683" s="148" t="s">
        <v>67</v>
      </c>
      <c r="P3683" s="148" t="s">
        <v>68</v>
      </c>
      <c r="Q3683" s="230">
        <v>46119.0</v>
      </c>
      <c r="R3683" s="107" t="s">
        <v>6182</v>
      </c>
      <c r="S3683" s="230">
        <v>46333.0</v>
      </c>
      <c r="T3683" s="108"/>
      <c r="U3683" s="107" t="s">
        <v>31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1">
        <v>3678.0</v>
      </c>
      <c r="B3684" s="180" t="s">
        <v>39</v>
      </c>
      <c r="C3684" s="82" t="str">
        <f>VLOOKUP($B$7:$B$5000,SUM!$L$6:$L$500,1,FALSE)</f>
        <v>PL-PS5-03678</v>
      </c>
      <c r="D3684" s="190" t="s">
        <v>6048</v>
      </c>
      <c r="E3684" s="198" t="s">
        <v>58</v>
      </c>
      <c r="F3684" s="199" t="s">
        <v>105</v>
      </c>
      <c r="G3684" s="191" t="s">
        <v>6063</v>
      </c>
      <c r="H3684" s="225" t="s">
        <v>6075</v>
      </c>
      <c r="I3684" s="197" t="s">
        <v>6181</v>
      </c>
      <c r="J3684" s="148" t="s">
        <v>108</v>
      </c>
      <c r="K3684" s="148" t="s">
        <v>64</v>
      </c>
      <c r="L3684" s="148" t="s">
        <v>65</v>
      </c>
      <c r="M3684" s="148" t="s">
        <v>66</v>
      </c>
      <c r="N3684" s="159">
        <v>46183.0</v>
      </c>
      <c r="O3684" s="148" t="s">
        <v>67</v>
      </c>
      <c r="P3684" s="148" t="s">
        <v>68</v>
      </c>
      <c r="Q3684" s="230">
        <v>46119.0</v>
      </c>
      <c r="R3684" s="107" t="s">
        <v>6182</v>
      </c>
      <c r="S3684" s="230">
        <v>46333.0</v>
      </c>
      <c r="T3684" s="108"/>
      <c r="U3684" s="107" t="s">
        <v>31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1">
        <v>3679.0</v>
      </c>
      <c r="B3685" s="180" t="s">
        <v>40</v>
      </c>
      <c r="C3685" s="82" t="str">
        <f>VLOOKUP($B$7:$B$5000,SUM!$L$6:$L$500,1,FALSE)</f>
        <v>PL-PS5-03679</v>
      </c>
      <c r="D3685" s="226" t="s">
        <v>6048</v>
      </c>
      <c r="E3685" s="198" t="s">
        <v>58</v>
      </c>
      <c r="F3685" s="199" t="s">
        <v>105</v>
      </c>
      <c r="G3685" s="191" t="s">
        <v>6063</v>
      </c>
      <c r="H3685" s="225" t="s">
        <v>6077</v>
      </c>
      <c r="I3685" s="197" t="s">
        <v>6181</v>
      </c>
      <c r="J3685" s="148" t="s">
        <v>108</v>
      </c>
      <c r="K3685" s="148" t="s">
        <v>64</v>
      </c>
      <c r="L3685" s="148" t="s">
        <v>65</v>
      </c>
      <c r="M3685" s="148" t="s">
        <v>66</v>
      </c>
      <c r="N3685" s="159">
        <v>46183.0</v>
      </c>
      <c r="O3685" s="148" t="s">
        <v>67</v>
      </c>
      <c r="P3685" s="148" t="s">
        <v>68</v>
      </c>
      <c r="Q3685" s="230">
        <v>46119.0</v>
      </c>
      <c r="R3685" s="107" t="s">
        <v>6182</v>
      </c>
      <c r="S3685" s="230">
        <v>46333.0</v>
      </c>
      <c r="T3685" s="108"/>
      <c r="U3685" s="107" t="s">
        <v>31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1">
        <v>3680.0</v>
      </c>
      <c r="B3686" s="180" t="s">
        <v>41</v>
      </c>
      <c r="C3686" s="82" t="str">
        <f>VLOOKUP($B$7:$B$5000,SUM!$L$6:$L$500,1,FALSE)</f>
        <v>PL-PS5-03680</v>
      </c>
      <c r="D3686" s="190" t="s">
        <v>6048</v>
      </c>
      <c r="E3686" s="198" t="s">
        <v>58</v>
      </c>
      <c r="F3686" s="199" t="s">
        <v>105</v>
      </c>
      <c r="G3686" s="191" t="s">
        <v>6063</v>
      </c>
      <c r="H3686" s="225" t="s">
        <v>6079</v>
      </c>
      <c r="I3686" s="197" t="s">
        <v>6181</v>
      </c>
      <c r="J3686" s="148" t="s">
        <v>108</v>
      </c>
      <c r="K3686" s="148" t="s">
        <v>64</v>
      </c>
      <c r="L3686" s="148" t="s">
        <v>65</v>
      </c>
      <c r="M3686" s="148" t="s">
        <v>66</v>
      </c>
      <c r="N3686" s="159">
        <v>46183.0</v>
      </c>
      <c r="O3686" s="148" t="s">
        <v>67</v>
      </c>
      <c r="P3686" s="148" t="s">
        <v>68</v>
      </c>
      <c r="Q3686" s="230">
        <v>46119.0</v>
      </c>
      <c r="R3686" s="107" t="s">
        <v>6182</v>
      </c>
      <c r="S3686" s="230">
        <v>46333.0</v>
      </c>
      <c r="T3686" s="108"/>
      <c r="U3686" s="107" t="s">
        <v>31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1">
        <v>3681.0</v>
      </c>
      <c r="B3687" s="180" t="s">
        <v>42</v>
      </c>
      <c r="C3687" s="82" t="str">
        <f>VLOOKUP($B$7:$B$5000,SUM!$L$6:$L$500,1,FALSE)</f>
        <v>PL-PS5-03681</v>
      </c>
      <c r="D3687" s="226" t="s">
        <v>6048</v>
      </c>
      <c r="E3687" s="198" t="s">
        <v>58</v>
      </c>
      <c r="F3687" s="199" t="s">
        <v>105</v>
      </c>
      <c r="G3687" s="191" t="s">
        <v>6063</v>
      </c>
      <c r="H3687" s="225" t="s">
        <v>6081</v>
      </c>
      <c r="I3687" s="197" t="s">
        <v>6181</v>
      </c>
      <c r="J3687" s="148" t="s">
        <v>108</v>
      </c>
      <c r="K3687" s="148" t="s">
        <v>64</v>
      </c>
      <c r="L3687" s="148" t="s">
        <v>65</v>
      </c>
      <c r="M3687" s="148" t="s">
        <v>66</v>
      </c>
      <c r="N3687" s="159">
        <v>46183.0</v>
      </c>
      <c r="O3687" s="148" t="s">
        <v>67</v>
      </c>
      <c r="P3687" s="148" t="s">
        <v>68</v>
      </c>
      <c r="Q3687" s="230">
        <v>46119.0</v>
      </c>
      <c r="R3687" s="107" t="s">
        <v>6182</v>
      </c>
      <c r="S3687" s="230">
        <v>46333.0</v>
      </c>
      <c r="T3687" s="108"/>
      <c r="U3687" s="107" t="s">
        <v>31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1">
        <v>3682.0</v>
      </c>
      <c r="B3688" s="180" t="s">
        <v>43</v>
      </c>
      <c r="C3688" s="82" t="str">
        <f>VLOOKUP($B$7:$B$5000,SUM!$L$6:$L$500,1,FALSE)</f>
        <v>PL-PS5-03682</v>
      </c>
      <c r="D3688" s="190" t="s">
        <v>6048</v>
      </c>
      <c r="E3688" s="198" t="s">
        <v>58</v>
      </c>
      <c r="F3688" s="199" t="s">
        <v>105</v>
      </c>
      <c r="G3688" s="191" t="s">
        <v>6063</v>
      </c>
      <c r="H3688" s="225" t="s">
        <v>6083</v>
      </c>
      <c r="I3688" s="197" t="s">
        <v>6181</v>
      </c>
      <c r="J3688" s="148" t="s">
        <v>108</v>
      </c>
      <c r="K3688" s="148" t="s">
        <v>64</v>
      </c>
      <c r="L3688" s="148" t="s">
        <v>65</v>
      </c>
      <c r="M3688" s="148" t="s">
        <v>66</v>
      </c>
      <c r="N3688" s="159">
        <v>46183.0</v>
      </c>
      <c r="O3688" s="148" t="s">
        <v>67</v>
      </c>
      <c r="P3688" s="148" t="s">
        <v>68</v>
      </c>
      <c r="Q3688" s="230">
        <v>46119.0</v>
      </c>
      <c r="R3688" s="107" t="s">
        <v>6182</v>
      </c>
      <c r="S3688" s="230">
        <v>46333.0</v>
      </c>
      <c r="T3688" s="108"/>
      <c r="U3688" s="107" t="s">
        <v>31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1">
        <v>3683.0</v>
      </c>
      <c r="B3689" s="180" t="s">
        <v>44</v>
      </c>
      <c r="C3689" s="82" t="str">
        <f>VLOOKUP($B$7:$B$5000,SUM!$L$6:$L$500,1,FALSE)</f>
        <v>PL-PS5-03683</v>
      </c>
      <c r="D3689" s="226" t="s">
        <v>6048</v>
      </c>
      <c r="E3689" s="198" t="s">
        <v>58</v>
      </c>
      <c r="F3689" s="199" t="s">
        <v>105</v>
      </c>
      <c r="G3689" s="191" t="s">
        <v>6063</v>
      </c>
      <c r="H3689" s="225" t="s">
        <v>6085</v>
      </c>
      <c r="I3689" s="197" t="s">
        <v>6181</v>
      </c>
      <c r="J3689" s="148" t="s">
        <v>108</v>
      </c>
      <c r="K3689" s="148" t="s">
        <v>64</v>
      </c>
      <c r="L3689" s="148" t="s">
        <v>65</v>
      </c>
      <c r="M3689" s="148" t="s">
        <v>66</v>
      </c>
      <c r="N3689" s="159">
        <v>46183.0</v>
      </c>
      <c r="O3689" s="148" t="s">
        <v>67</v>
      </c>
      <c r="P3689" s="148" t="s">
        <v>68</v>
      </c>
      <c r="Q3689" s="230">
        <v>46119.0</v>
      </c>
      <c r="R3689" s="107" t="s">
        <v>6182</v>
      </c>
      <c r="S3689" s="230">
        <v>46333.0</v>
      </c>
      <c r="T3689" s="108"/>
      <c r="U3689" s="107" t="s">
        <v>31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1">
        <v>3684.0</v>
      </c>
      <c r="B3690" s="180" t="s">
        <v>45</v>
      </c>
      <c r="C3690" s="82" t="str">
        <f>VLOOKUP($B$7:$B$5000,SUM!$L$6:$L$500,1,FALSE)</f>
        <v>PL-PS5-03684</v>
      </c>
      <c r="D3690" s="190" t="s">
        <v>6048</v>
      </c>
      <c r="E3690" s="198" t="s">
        <v>58</v>
      </c>
      <c r="F3690" s="199" t="s">
        <v>105</v>
      </c>
      <c r="G3690" s="191" t="s">
        <v>6063</v>
      </c>
      <c r="H3690" s="225" t="s">
        <v>6087</v>
      </c>
      <c r="I3690" s="197" t="s">
        <v>6181</v>
      </c>
      <c r="J3690" s="148" t="s">
        <v>108</v>
      </c>
      <c r="K3690" s="148" t="s">
        <v>64</v>
      </c>
      <c r="L3690" s="148" t="s">
        <v>65</v>
      </c>
      <c r="M3690" s="148" t="s">
        <v>66</v>
      </c>
      <c r="N3690" s="159">
        <v>46183.0</v>
      </c>
      <c r="O3690" s="148" t="s">
        <v>67</v>
      </c>
      <c r="P3690" s="148" t="s">
        <v>68</v>
      </c>
      <c r="Q3690" s="230">
        <v>46119.0</v>
      </c>
      <c r="R3690" s="107" t="s">
        <v>6182</v>
      </c>
      <c r="S3690" s="230">
        <v>46333.0</v>
      </c>
      <c r="T3690" s="108"/>
      <c r="U3690" s="107" t="s">
        <v>31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1">
        <v>3685.0</v>
      </c>
      <c r="B3691" s="180" t="s">
        <v>46</v>
      </c>
      <c r="C3691" s="82" t="str">
        <f>VLOOKUP($B$7:$B$5000,SUM!$L$6:$L$500,1,FALSE)</f>
        <v>PL-PS5-03685</v>
      </c>
      <c r="D3691" s="226" t="s">
        <v>6048</v>
      </c>
      <c r="E3691" s="198" t="s">
        <v>58</v>
      </c>
      <c r="F3691" s="199" t="s">
        <v>105</v>
      </c>
      <c r="G3691" s="191" t="s">
        <v>6063</v>
      </c>
      <c r="H3691" s="225" t="s">
        <v>6089</v>
      </c>
      <c r="I3691" s="197" t="s">
        <v>6181</v>
      </c>
      <c r="J3691" s="148" t="s">
        <v>108</v>
      </c>
      <c r="K3691" s="148" t="s">
        <v>64</v>
      </c>
      <c r="L3691" s="148" t="s">
        <v>65</v>
      </c>
      <c r="M3691" s="148" t="s">
        <v>66</v>
      </c>
      <c r="N3691" s="159">
        <v>46183.0</v>
      </c>
      <c r="O3691" s="148" t="s">
        <v>67</v>
      </c>
      <c r="P3691" s="148" t="s">
        <v>68</v>
      </c>
      <c r="Q3691" s="230">
        <v>46119.0</v>
      </c>
      <c r="R3691" s="107" t="s">
        <v>6182</v>
      </c>
      <c r="S3691" s="230">
        <v>46333.0</v>
      </c>
      <c r="T3691" s="108"/>
      <c r="U3691" s="107" t="s">
        <v>31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1">
        <v>3686.0</v>
      </c>
      <c r="B3692" s="180" t="s">
        <v>48</v>
      </c>
      <c r="C3692" s="82" t="str">
        <f>VLOOKUP($B$7:$B$5000,SUM!$L$6:$L$500,1,FALSE)</f>
        <v>PL-PS5-03686</v>
      </c>
      <c r="D3692" s="190" t="s">
        <v>6048</v>
      </c>
      <c r="E3692" s="198" t="s">
        <v>58</v>
      </c>
      <c r="F3692" s="199" t="s">
        <v>105</v>
      </c>
      <c r="G3692" s="191" t="s">
        <v>6063</v>
      </c>
      <c r="H3692" s="225" t="s">
        <v>6091</v>
      </c>
      <c r="I3692" s="197" t="s">
        <v>6181</v>
      </c>
      <c r="J3692" s="148" t="s">
        <v>108</v>
      </c>
      <c r="K3692" s="148" t="s">
        <v>64</v>
      </c>
      <c r="L3692" s="148" t="s">
        <v>65</v>
      </c>
      <c r="M3692" s="148" t="s">
        <v>66</v>
      </c>
      <c r="N3692" s="159">
        <v>46183.0</v>
      </c>
      <c r="O3692" s="148" t="s">
        <v>67</v>
      </c>
      <c r="P3692" s="148" t="s">
        <v>68</v>
      </c>
      <c r="Q3692" s="230">
        <v>46119.0</v>
      </c>
      <c r="R3692" s="107" t="s">
        <v>6182</v>
      </c>
      <c r="S3692" s="230">
        <v>46333.0</v>
      </c>
      <c r="T3692" s="108"/>
      <c r="U3692" s="107" t="s">
        <v>31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1">
        <v>3687.0</v>
      </c>
      <c r="B3693" s="180" t="s">
        <v>49</v>
      </c>
      <c r="C3693" s="82" t="str">
        <f>VLOOKUP($B$7:$B$5000,SUM!$L$6:$L$500,1,FALSE)</f>
        <v>PL-PS5-03687</v>
      </c>
      <c r="D3693" s="226" t="s">
        <v>6048</v>
      </c>
      <c r="E3693" s="198" t="s">
        <v>58</v>
      </c>
      <c r="F3693" s="199" t="s">
        <v>105</v>
      </c>
      <c r="G3693" s="191" t="s">
        <v>6063</v>
      </c>
      <c r="H3693" s="225" t="s">
        <v>6093</v>
      </c>
      <c r="I3693" s="197" t="s">
        <v>6181</v>
      </c>
      <c r="J3693" s="148" t="s">
        <v>108</v>
      </c>
      <c r="K3693" s="148" t="s">
        <v>64</v>
      </c>
      <c r="L3693" s="148" t="s">
        <v>65</v>
      </c>
      <c r="M3693" s="148" t="s">
        <v>66</v>
      </c>
      <c r="N3693" s="159">
        <v>46183.0</v>
      </c>
      <c r="O3693" s="148" t="s">
        <v>67</v>
      </c>
      <c r="P3693" s="148" t="s">
        <v>68</v>
      </c>
      <c r="Q3693" s="230">
        <v>46119.0</v>
      </c>
      <c r="R3693" s="107" t="s">
        <v>6182</v>
      </c>
      <c r="S3693" s="230">
        <v>46333.0</v>
      </c>
      <c r="T3693" s="108"/>
      <c r="U3693" s="107" t="s">
        <v>31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1">
        <v>3688.0</v>
      </c>
      <c r="B3694" s="180" t="s">
        <v>50</v>
      </c>
      <c r="C3694" s="82" t="str">
        <f>VLOOKUP($B$7:$B$5000,SUM!$L$6:$L$500,1,FALSE)</f>
        <v>PL-PS5-03688</v>
      </c>
      <c r="D3694" s="190" t="s">
        <v>6048</v>
      </c>
      <c r="E3694" s="198" t="s">
        <v>58</v>
      </c>
      <c r="F3694" s="199" t="s">
        <v>105</v>
      </c>
      <c r="G3694" s="191" t="s">
        <v>6063</v>
      </c>
      <c r="H3694" s="225" t="s">
        <v>6095</v>
      </c>
      <c r="I3694" s="197" t="s">
        <v>6181</v>
      </c>
      <c r="J3694" s="148" t="s">
        <v>108</v>
      </c>
      <c r="K3694" s="148" t="s">
        <v>64</v>
      </c>
      <c r="L3694" s="148" t="s">
        <v>65</v>
      </c>
      <c r="M3694" s="148" t="s">
        <v>66</v>
      </c>
      <c r="N3694" s="159">
        <v>46183.0</v>
      </c>
      <c r="O3694" s="148" t="s">
        <v>67</v>
      </c>
      <c r="P3694" s="148" t="s">
        <v>68</v>
      </c>
      <c r="Q3694" s="230">
        <v>46119.0</v>
      </c>
      <c r="R3694" s="107" t="s">
        <v>6182</v>
      </c>
      <c r="S3694" s="230">
        <v>46333.0</v>
      </c>
      <c r="T3694" s="108"/>
      <c r="U3694" s="107" t="s">
        <v>31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1">
        <v>3689.0</v>
      </c>
      <c r="B3695" s="180" t="s">
        <v>51</v>
      </c>
      <c r="C3695" s="82" t="str">
        <f>VLOOKUP($B$7:$B$5000,SUM!$L$6:$L$500,1,FALSE)</f>
        <v>PL-PS5-03689</v>
      </c>
      <c r="D3695" s="226" t="s">
        <v>6048</v>
      </c>
      <c r="E3695" s="198" t="s">
        <v>58</v>
      </c>
      <c r="F3695" s="199" t="s">
        <v>105</v>
      </c>
      <c r="G3695" s="191" t="s">
        <v>6063</v>
      </c>
      <c r="H3695" s="225" t="s">
        <v>6097</v>
      </c>
      <c r="I3695" s="197" t="s">
        <v>6181</v>
      </c>
      <c r="J3695" s="148" t="s">
        <v>108</v>
      </c>
      <c r="K3695" s="148" t="s">
        <v>64</v>
      </c>
      <c r="L3695" s="148" t="s">
        <v>65</v>
      </c>
      <c r="M3695" s="148" t="s">
        <v>66</v>
      </c>
      <c r="N3695" s="159">
        <v>46183.0</v>
      </c>
      <c r="O3695" s="148" t="s">
        <v>67</v>
      </c>
      <c r="P3695" s="148" t="s">
        <v>68</v>
      </c>
      <c r="Q3695" s="230">
        <v>46119.0</v>
      </c>
      <c r="R3695" s="107" t="s">
        <v>6182</v>
      </c>
      <c r="S3695" s="230">
        <v>46333.0</v>
      </c>
      <c r="T3695" s="108"/>
      <c r="U3695" s="107" t="s">
        <v>31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1">
        <v>3690.0</v>
      </c>
      <c r="B3696" s="180" t="s">
        <v>52</v>
      </c>
      <c r="C3696" s="82" t="str">
        <f>VLOOKUP($B$7:$B$5000,SUM!$L$6:$L$500,1,FALSE)</f>
        <v>PL-PS5-03690</v>
      </c>
      <c r="D3696" s="190" t="s">
        <v>6048</v>
      </c>
      <c r="E3696" s="198" t="s">
        <v>58</v>
      </c>
      <c r="F3696" s="199" t="s">
        <v>105</v>
      </c>
      <c r="G3696" s="191" t="s">
        <v>6063</v>
      </c>
      <c r="H3696" s="225" t="s">
        <v>6099</v>
      </c>
      <c r="I3696" s="197" t="s">
        <v>6181</v>
      </c>
      <c r="J3696" s="148" t="s">
        <v>108</v>
      </c>
      <c r="K3696" s="148" t="s">
        <v>64</v>
      </c>
      <c r="L3696" s="148" t="s">
        <v>65</v>
      </c>
      <c r="M3696" s="148" t="s">
        <v>66</v>
      </c>
      <c r="N3696" s="159">
        <v>46183.0</v>
      </c>
      <c r="O3696" s="148" t="s">
        <v>67</v>
      </c>
      <c r="P3696" s="148" t="s">
        <v>68</v>
      </c>
      <c r="Q3696" s="230">
        <v>46119.0</v>
      </c>
      <c r="R3696" s="107" t="s">
        <v>6182</v>
      </c>
      <c r="S3696" s="230">
        <v>46333.0</v>
      </c>
      <c r="T3696" s="108"/>
      <c r="U3696" s="107" t="s">
        <v>31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1">
        <v>3691.0</v>
      </c>
      <c r="B3697" s="180" t="s">
        <v>53</v>
      </c>
      <c r="C3697" s="82" t="str">
        <f>VLOOKUP($B$7:$B$5000,SUM!$L$6:$L$500,1,FALSE)</f>
        <v>PL-PS5-03691</v>
      </c>
      <c r="D3697" s="226" t="s">
        <v>6048</v>
      </c>
      <c r="E3697" s="198" t="s">
        <v>58</v>
      </c>
      <c r="F3697" s="199" t="s">
        <v>105</v>
      </c>
      <c r="G3697" s="191" t="s">
        <v>6063</v>
      </c>
      <c r="H3697" s="225" t="s">
        <v>6101</v>
      </c>
      <c r="I3697" s="197" t="s">
        <v>6181</v>
      </c>
      <c r="J3697" s="148" t="s">
        <v>108</v>
      </c>
      <c r="K3697" s="148" t="s">
        <v>64</v>
      </c>
      <c r="L3697" s="148" t="s">
        <v>65</v>
      </c>
      <c r="M3697" s="148" t="s">
        <v>66</v>
      </c>
      <c r="N3697" s="159">
        <v>46183.0</v>
      </c>
      <c r="O3697" s="148" t="s">
        <v>67</v>
      </c>
      <c r="P3697" s="148" t="s">
        <v>68</v>
      </c>
      <c r="Q3697" s="230">
        <v>46119.0</v>
      </c>
      <c r="R3697" s="107" t="s">
        <v>6182</v>
      </c>
      <c r="S3697" s="230">
        <v>46333.0</v>
      </c>
      <c r="T3697" s="108"/>
      <c r="U3697" s="107" t="s">
        <v>31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1">
        <v>3692.0</v>
      </c>
      <c r="B3698" s="180" t="s">
        <v>54</v>
      </c>
      <c r="C3698" s="82" t="str">
        <f>VLOOKUP($B$7:$B$5000,SUM!$L$6:$L$500,1,FALSE)</f>
        <v>PL-PS5-03692</v>
      </c>
      <c r="D3698" s="190" t="s">
        <v>6048</v>
      </c>
      <c r="E3698" s="198" t="s">
        <v>58</v>
      </c>
      <c r="F3698" s="199" t="s">
        <v>105</v>
      </c>
      <c r="G3698" s="191" t="s">
        <v>6063</v>
      </c>
      <c r="H3698" s="227" t="s">
        <v>6103</v>
      </c>
      <c r="I3698" s="197" t="s">
        <v>6181</v>
      </c>
      <c r="J3698" s="148" t="s">
        <v>108</v>
      </c>
      <c r="K3698" s="148" t="s">
        <v>64</v>
      </c>
      <c r="L3698" s="148" t="s">
        <v>65</v>
      </c>
      <c r="M3698" s="148" t="s">
        <v>66</v>
      </c>
      <c r="N3698" s="159">
        <v>46183.0</v>
      </c>
      <c r="O3698" s="148" t="s">
        <v>67</v>
      </c>
      <c r="P3698" s="148" t="s">
        <v>68</v>
      </c>
      <c r="Q3698" s="230">
        <v>46119.0</v>
      </c>
      <c r="R3698" s="107" t="s">
        <v>6182</v>
      </c>
      <c r="S3698" s="230">
        <v>46333.0</v>
      </c>
      <c r="T3698" s="108"/>
      <c r="U3698" s="107" t="s">
        <v>31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1">
        <v>3693.0</v>
      </c>
      <c r="B3699" s="180" t="s">
        <v>55</v>
      </c>
      <c r="C3699" s="82" t="str">
        <f>VLOOKUP($B$7:$B$5000,SUM!$L$6:$L$500,1,FALSE)</f>
        <v>PL-PS5-03693</v>
      </c>
      <c r="D3699" s="226" t="s">
        <v>6048</v>
      </c>
      <c r="E3699" s="198" t="s">
        <v>58</v>
      </c>
      <c r="F3699" s="199" t="s">
        <v>105</v>
      </c>
      <c r="G3699" s="191" t="s">
        <v>6063</v>
      </c>
      <c r="H3699" s="225" t="s">
        <v>6105</v>
      </c>
      <c r="I3699" s="197" t="s">
        <v>6183</v>
      </c>
      <c r="J3699" s="148" t="s">
        <v>108</v>
      </c>
      <c r="K3699" s="148" t="s">
        <v>64</v>
      </c>
      <c r="L3699" s="148" t="s">
        <v>65</v>
      </c>
      <c r="M3699" s="148" t="s">
        <v>66</v>
      </c>
      <c r="N3699" s="159">
        <v>46183.0</v>
      </c>
      <c r="O3699" s="148" t="s">
        <v>67</v>
      </c>
      <c r="P3699" s="148" t="s">
        <v>68</v>
      </c>
      <c r="Q3699" s="103"/>
      <c r="R3699" s="103"/>
      <c r="S3699" s="103"/>
      <c r="T3699" s="103"/>
      <c r="U3699" s="148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1">
        <v>3694.0</v>
      </c>
      <c r="B3700" s="180" t="s">
        <v>6184</v>
      </c>
      <c r="C3700" s="82" t="str">
        <f>VLOOKUP($B$7:$B$5000,SUM!$L$6:$L$500,1,FALSE)</f>
        <v>#N/A</v>
      </c>
      <c r="D3700" s="190" t="s">
        <v>6048</v>
      </c>
      <c r="E3700" s="198" t="s">
        <v>58</v>
      </c>
      <c r="F3700" s="199" t="s">
        <v>105</v>
      </c>
      <c r="G3700" s="191" t="s">
        <v>6063</v>
      </c>
      <c r="H3700" s="225" t="s">
        <v>6107</v>
      </c>
      <c r="I3700" s="197" t="s">
        <v>6185</v>
      </c>
      <c r="J3700" s="148" t="s">
        <v>108</v>
      </c>
      <c r="K3700" s="148" t="s">
        <v>64</v>
      </c>
      <c r="L3700" s="148" t="s">
        <v>65</v>
      </c>
      <c r="M3700" s="148" t="s">
        <v>66</v>
      </c>
      <c r="N3700" s="159">
        <v>46183.0</v>
      </c>
      <c r="O3700" s="148" t="s">
        <v>67</v>
      </c>
      <c r="P3700" s="148" t="s">
        <v>68</v>
      </c>
      <c r="Q3700" s="103"/>
      <c r="R3700" s="103"/>
      <c r="S3700" s="103"/>
      <c r="T3700" s="103"/>
      <c r="U3700" s="148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1">
        <v>3695.0</v>
      </c>
      <c r="B3701" s="180" t="s">
        <v>6186</v>
      </c>
      <c r="C3701" s="82" t="str">
        <f>VLOOKUP($B$7:$B$5000,SUM!$L$6:$L$500,1,FALSE)</f>
        <v>#N/A</v>
      </c>
      <c r="D3701" s="226" t="s">
        <v>6048</v>
      </c>
      <c r="E3701" s="198" t="s">
        <v>58</v>
      </c>
      <c r="F3701" s="199" t="s">
        <v>105</v>
      </c>
      <c r="G3701" s="191" t="s">
        <v>6063</v>
      </c>
      <c r="H3701" s="225" t="s">
        <v>6109</v>
      </c>
      <c r="I3701" s="197" t="s">
        <v>6187</v>
      </c>
      <c r="J3701" s="148" t="s">
        <v>108</v>
      </c>
      <c r="K3701" s="148" t="s">
        <v>64</v>
      </c>
      <c r="L3701" s="148" t="s">
        <v>65</v>
      </c>
      <c r="M3701" s="148" t="s">
        <v>66</v>
      </c>
      <c r="N3701" s="159">
        <v>46183.0</v>
      </c>
      <c r="O3701" s="148" t="s">
        <v>67</v>
      </c>
      <c r="P3701" s="148" t="s">
        <v>68</v>
      </c>
      <c r="Q3701" s="103"/>
      <c r="R3701" s="103"/>
      <c r="S3701" s="103"/>
      <c r="T3701" s="103"/>
      <c r="U3701" s="148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1">
        <v>3696.0</v>
      </c>
      <c r="B3702" s="180" t="s">
        <v>6188</v>
      </c>
      <c r="C3702" s="82" t="str">
        <f>VLOOKUP($B$7:$B$5000,SUM!$L$6:$L$500,1,FALSE)</f>
        <v>#N/A</v>
      </c>
      <c r="D3702" s="190" t="s">
        <v>6048</v>
      </c>
      <c r="E3702" s="198" t="s">
        <v>58</v>
      </c>
      <c r="F3702" s="199" t="s">
        <v>105</v>
      </c>
      <c r="G3702" s="191" t="s">
        <v>6063</v>
      </c>
      <c r="H3702" s="225" t="s">
        <v>6111</v>
      </c>
      <c r="I3702" s="197" t="s">
        <v>6189</v>
      </c>
      <c r="J3702" s="148" t="s">
        <v>108</v>
      </c>
      <c r="K3702" s="148" t="s">
        <v>64</v>
      </c>
      <c r="L3702" s="148" t="s">
        <v>65</v>
      </c>
      <c r="M3702" s="148" t="s">
        <v>66</v>
      </c>
      <c r="N3702" s="159">
        <v>46183.0</v>
      </c>
      <c r="O3702" s="148" t="s">
        <v>67</v>
      </c>
      <c r="P3702" s="148" t="s">
        <v>68</v>
      </c>
      <c r="Q3702" s="230">
        <v>46119.0</v>
      </c>
      <c r="R3702" s="107" t="s">
        <v>6182</v>
      </c>
      <c r="S3702" s="230">
        <v>46333.0</v>
      </c>
      <c r="T3702" s="108"/>
      <c r="U3702" s="107" t="s">
        <v>31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1">
        <v>3697.0</v>
      </c>
      <c r="B3703" s="180" t="s">
        <v>6190</v>
      </c>
      <c r="C3703" s="82" t="str">
        <f>VLOOKUP($B$7:$B$5000,SUM!$L$6:$L$500,1,FALSE)</f>
        <v>#N/A</v>
      </c>
      <c r="D3703" s="226" t="s">
        <v>6048</v>
      </c>
      <c r="E3703" s="198" t="s">
        <v>58</v>
      </c>
      <c r="F3703" s="199" t="s">
        <v>105</v>
      </c>
      <c r="G3703" s="191" t="s">
        <v>6063</v>
      </c>
      <c r="H3703" s="225" t="s">
        <v>6113</v>
      </c>
      <c r="I3703" s="197" t="s">
        <v>6189</v>
      </c>
      <c r="J3703" s="148" t="s">
        <v>108</v>
      </c>
      <c r="K3703" s="148" t="s">
        <v>64</v>
      </c>
      <c r="L3703" s="148" t="s">
        <v>65</v>
      </c>
      <c r="M3703" s="148" t="s">
        <v>66</v>
      </c>
      <c r="N3703" s="159">
        <v>46183.0</v>
      </c>
      <c r="O3703" s="148" t="s">
        <v>67</v>
      </c>
      <c r="P3703" s="148" t="s">
        <v>68</v>
      </c>
      <c r="Q3703" s="103"/>
      <c r="R3703" s="103"/>
      <c r="S3703" s="103"/>
      <c r="T3703" s="103"/>
      <c r="U3703" s="148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1">
        <v>3698.0</v>
      </c>
      <c r="B3704" s="180" t="s">
        <v>6191</v>
      </c>
      <c r="C3704" s="82" t="str">
        <f>VLOOKUP($B$7:$B$5000,SUM!$L$6:$L$500,1,FALSE)</f>
        <v>#N/A</v>
      </c>
      <c r="D3704" s="190" t="s">
        <v>6048</v>
      </c>
      <c r="E3704" s="198" t="s">
        <v>58</v>
      </c>
      <c r="F3704" s="199" t="s">
        <v>105</v>
      </c>
      <c r="G3704" s="191" t="s">
        <v>6063</v>
      </c>
      <c r="H3704" s="225" t="s">
        <v>6115</v>
      </c>
      <c r="I3704" s="197" t="s">
        <v>6192</v>
      </c>
      <c r="J3704" s="148" t="s">
        <v>108</v>
      </c>
      <c r="K3704" s="148" t="s">
        <v>64</v>
      </c>
      <c r="L3704" s="148" t="s">
        <v>65</v>
      </c>
      <c r="M3704" s="148" t="s">
        <v>66</v>
      </c>
      <c r="N3704" s="159">
        <v>46183.0</v>
      </c>
      <c r="O3704" s="148" t="s">
        <v>67</v>
      </c>
      <c r="P3704" s="148" t="s">
        <v>68</v>
      </c>
      <c r="Q3704" s="103"/>
      <c r="R3704" s="103"/>
      <c r="S3704" s="103"/>
      <c r="T3704" s="103"/>
      <c r="U3704" s="148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1">
        <v>3699.0</v>
      </c>
      <c r="B3705" s="180" t="s">
        <v>6193</v>
      </c>
      <c r="C3705" s="82" t="str">
        <f>VLOOKUP($B$7:$B$5000,SUM!$L$6:$L$500,1,FALSE)</f>
        <v>#N/A</v>
      </c>
      <c r="D3705" s="226" t="s">
        <v>6048</v>
      </c>
      <c r="E3705" s="198" t="s">
        <v>58</v>
      </c>
      <c r="F3705" s="199" t="s">
        <v>105</v>
      </c>
      <c r="G3705" s="191" t="s">
        <v>6063</v>
      </c>
      <c r="H3705" s="225" t="s">
        <v>6117</v>
      </c>
      <c r="I3705" s="197" t="s">
        <v>6194</v>
      </c>
      <c r="J3705" s="148" t="s">
        <v>108</v>
      </c>
      <c r="K3705" s="148" t="s">
        <v>64</v>
      </c>
      <c r="L3705" s="148" t="s">
        <v>65</v>
      </c>
      <c r="M3705" s="148" t="s">
        <v>66</v>
      </c>
      <c r="N3705" s="159">
        <v>46183.0</v>
      </c>
      <c r="O3705" s="148" t="s">
        <v>67</v>
      </c>
      <c r="P3705" s="148" t="s">
        <v>68</v>
      </c>
      <c r="Q3705" s="103"/>
      <c r="R3705" s="103"/>
      <c r="S3705" s="103"/>
      <c r="T3705" s="103"/>
      <c r="U3705" s="148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1">
        <v>3700.0</v>
      </c>
      <c r="B3706" s="180" t="s">
        <v>6195</v>
      </c>
      <c r="C3706" s="82" t="str">
        <f>VLOOKUP($B$7:$B$5000,SUM!$L$6:$L$500,1,FALSE)</f>
        <v>#N/A</v>
      </c>
      <c r="D3706" s="190" t="s">
        <v>6048</v>
      </c>
      <c r="E3706" s="198" t="s">
        <v>58</v>
      </c>
      <c r="F3706" s="199" t="s">
        <v>105</v>
      </c>
      <c r="G3706" s="191" t="s">
        <v>6063</v>
      </c>
      <c r="H3706" s="225" t="s">
        <v>6119</v>
      </c>
      <c r="I3706" s="197" t="s">
        <v>6196</v>
      </c>
      <c r="J3706" s="148" t="s">
        <v>108</v>
      </c>
      <c r="K3706" s="148" t="s">
        <v>64</v>
      </c>
      <c r="L3706" s="148" t="s">
        <v>65</v>
      </c>
      <c r="M3706" s="148" t="s">
        <v>66</v>
      </c>
      <c r="N3706" s="159">
        <v>46183.0</v>
      </c>
      <c r="O3706" s="148" t="s">
        <v>67</v>
      </c>
      <c r="P3706" s="148" t="s">
        <v>68</v>
      </c>
      <c r="Q3706" s="103"/>
      <c r="R3706" s="103"/>
      <c r="S3706" s="103"/>
      <c r="T3706" s="103"/>
      <c r="U3706" s="148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1">
        <v>3701.0</v>
      </c>
      <c r="B3707" s="180" t="s">
        <v>6197</v>
      </c>
      <c r="C3707" s="82" t="str">
        <f>VLOOKUP($B$7:$B$5000,SUM!$L$6:$L$500,1,FALSE)</f>
        <v>#N/A</v>
      </c>
      <c r="D3707" s="226" t="s">
        <v>6048</v>
      </c>
      <c r="E3707" s="198" t="s">
        <v>58</v>
      </c>
      <c r="F3707" s="199" t="s">
        <v>105</v>
      </c>
      <c r="G3707" s="191" t="s">
        <v>6063</v>
      </c>
      <c r="H3707" s="225" t="s">
        <v>6121</v>
      </c>
      <c r="I3707" s="197" t="s">
        <v>6196</v>
      </c>
      <c r="J3707" s="148" t="s">
        <v>108</v>
      </c>
      <c r="K3707" s="148" t="s">
        <v>64</v>
      </c>
      <c r="L3707" s="148" t="s">
        <v>65</v>
      </c>
      <c r="M3707" s="148" t="s">
        <v>66</v>
      </c>
      <c r="N3707" s="159">
        <v>46183.0</v>
      </c>
      <c r="O3707" s="148" t="s">
        <v>67</v>
      </c>
      <c r="P3707" s="148" t="s">
        <v>68</v>
      </c>
      <c r="Q3707" s="103"/>
      <c r="R3707" s="103"/>
      <c r="S3707" s="103"/>
      <c r="T3707" s="103"/>
      <c r="U3707" s="148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1">
        <v>3702.0</v>
      </c>
      <c r="B3708" s="180" t="s">
        <v>6198</v>
      </c>
      <c r="C3708" s="82" t="str">
        <f>VLOOKUP($B$7:$B$5000,SUM!$L$6:$L$500,1,FALSE)</f>
        <v>#N/A</v>
      </c>
      <c r="D3708" s="190" t="s">
        <v>6048</v>
      </c>
      <c r="E3708" s="198" t="s">
        <v>58</v>
      </c>
      <c r="F3708" s="199" t="s">
        <v>105</v>
      </c>
      <c r="G3708" s="191" t="s">
        <v>6063</v>
      </c>
      <c r="H3708" s="225" t="s">
        <v>6123</v>
      </c>
      <c r="I3708" s="197" t="s">
        <v>6196</v>
      </c>
      <c r="J3708" s="148" t="s">
        <v>108</v>
      </c>
      <c r="K3708" s="148" t="s">
        <v>64</v>
      </c>
      <c r="L3708" s="148" t="s">
        <v>65</v>
      </c>
      <c r="M3708" s="148" t="s">
        <v>66</v>
      </c>
      <c r="N3708" s="159">
        <v>46183.0</v>
      </c>
      <c r="O3708" s="148" t="s">
        <v>67</v>
      </c>
      <c r="P3708" s="148" t="s">
        <v>68</v>
      </c>
      <c r="Q3708" s="103"/>
      <c r="R3708" s="103"/>
      <c r="S3708" s="103"/>
      <c r="T3708" s="103"/>
      <c r="U3708" s="148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1">
        <v>3703.0</v>
      </c>
      <c r="B3709" s="180" t="s">
        <v>6199</v>
      </c>
      <c r="C3709" s="82" t="str">
        <f>VLOOKUP($B$7:$B$5000,SUM!$L$6:$L$500,1,FALSE)</f>
        <v>#N/A</v>
      </c>
      <c r="D3709" s="226" t="s">
        <v>6048</v>
      </c>
      <c r="E3709" s="198" t="s">
        <v>58</v>
      </c>
      <c r="F3709" s="199" t="s">
        <v>105</v>
      </c>
      <c r="G3709" s="191" t="s">
        <v>6063</v>
      </c>
      <c r="H3709" s="225" t="s">
        <v>6125</v>
      </c>
      <c r="I3709" s="197" t="s">
        <v>6196</v>
      </c>
      <c r="J3709" s="148" t="s">
        <v>108</v>
      </c>
      <c r="K3709" s="148" t="s">
        <v>64</v>
      </c>
      <c r="L3709" s="148" t="s">
        <v>65</v>
      </c>
      <c r="M3709" s="148" t="s">
        <v>66</v>
      </c>
      <c r="N3709" s="159">
        <v>46183.0</v>
      </c>
      <c r="O3709" s="148" t="s">
        <v>67</v>
      </c>
      <c r="P3709" s="148" t="s">
        <v>68</v>
      </c>
      <c r="Q3709" s="103"/>
      <c r="R3709" s="103"/>
      <c r="S3709" s="103"/>
      <c r="T3709" s="103"/>
      <c r="U3709" s="148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1">
        <v>3704.0</v>
      </c>
      <c r="B3710" s="180" t="s">
        <v>6200</v>
      </c>
      <c r="C3710" s="82" t="str">
        <f>VLOOKUP($B$7:$B$5000,SUM!$L$6:$L$500,1,FALSE)</f>
        <v>#N/A</v>
      </c>
      <c r="D3710" s="190" t="s">
        <v>6048</v>
      </c>
      <c r="E3710" s="198" t="s">
        <v>58</v>
      </c>
      <c r="F3710" s="199" t="s">
        <v>105</v>
      </c>
      <c r="G3710" s="191" t="s">
        <v>6063</v>
      </c>
      <c r="H3710" s="225" t="s">
        <v>6127</v>
      </c>
      <c r="I3710" s="197" t="s">
        <v>6196</v>
      </c>
      <c r="J3710" s="148" t="s">
        <v>108</v>
      </c>
      <c r="K3710" s="148" t="s">
        <v>64</v>
      </c>
      <c r="L3710" s="148" t="s">
        <v>65</v>
      </c>
      <c r="M3710" s="148" t="s">
        <v>66</v>
      </c>
      <c r="N3710" s="159">
        <v>46183.0</v>
      </c>
      <c r="O3710" s="148" t="s">
        <v>67</v>
      </c>
      <c r="P3710" s="148" t="s">
        <v>68</v>
      </c>
      <c r="Q3710" s="103"/>
      <c r="R3710" s="103"/>
      <c r="S3710" s="103"/>
      <c r="T3710" s="103"/>
      <c r="U3710" s="148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1">
        <v>3705.0</v>
      </c>
      <c r="B3711" s="180" t="s">
        <v>6201</v>
      </c>
      <c r="C3711" s="82" t="str">
        <f>VLOOKUP($B$7:$B$5000,SUM!$L$6:$L$500,1,FALSE)</f>
        <v>#N/A</v>
      </c>
      <c r="D3711" s="226" t="s">
        <v>6048</v>
      </c>
      <c r="E3711" s="198" t="s">
        <v>58</v>
      </c>
      <c r="F3711" s="199" t="s">
        <v>105</v>
      </c>
      <c r="G3711" s="191" t="s">
        <v>235</v>
      </c>
      <c r="H3711" s="225" t="s">
        <v>6129</v>
      </c>
      <c r="I3711" s="197" t="s">
        <v>6202</v>
      </c>
      <c r="J3711" s="148" t="s">
        <v>108</v>
      </c>
      <c r="K3711" s="148" t="s">
        <v>64</v>
      </c>
      <c r="L3711" s="148" t="s">
        <v>65</v>
      </c>
      <c r="M3711" s="148" t="s">
        <v>66</v>
      </c>
      <c r="N3711" s="159">
        <v>46183.0</v>
      </c>
      <c r="O3711" s="148" t="s">
        <v>67</v>
      </c>
      <c r="P3711" s="148" t="s">
        <v>68</v>
      </c>
      <c r="Q3711" s="103"/>
      <c r="R3711" s="103"/>
      <c r="S3711" s="103"/>
      <c r="T3711" s="103"/>
      <c r="U3711" s="148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1">
        <v>3706.0</v>
      </c>
      <c r="B3712" s="180" t="s">
        <v>6203</v>
      </c>
      <c r="C3712" s="82" t="str">
        <f>VLOOKUP($B$7:$B$5000,SUM!$L$6:$L$500,1,FALSE)</f>
        <v>#N/A</v>
      </c>
      <c r="D3712" s="231" t="s">
        <v>6204</v>
      </c>
      <c r="E3712" s="198" t="s">
        <v>58</v>
      </c>
      <c r="F3712" s="199" t="s">
        <v>6205</v>
      </c>
      <c r="G3712" s="191" t="s">
        <v>6206</v>
      </c>
      <c r="H3712" s="229" t="s">
        <v>6207</v>
      </c>
      <c r="I3712" s="197" t="s">
        <v>6208</v>
      </c>
      <c r="J3712" s="148" t="s">
        <v>63</v>
      </c>
      <c r="K3712" s="148" t="s">
        <v>64</v>
      </c>
      <c r="L3712" s="148" t="s">
        <v>65</v>
      </c>
      <c r="M3712" s="148" t="s">
        <v>66</v>
      </c>
      <c r="N3712" s="159">
        <v>46186.0</v>
      </c>
      <c r="O3712" s="148" t="s">
        <v>67</v>
      </c>
      <c r="P3712" s="148" t="s">
        <v>68</v>
      </c>
      <c r="Q3712" s="103"/>
      <c r="R3712" s="103"/>
      <c r="S3712" s="103"/>
      <c r="T3712" s="103"/>
      <c r="U3712" s="148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1">
        <v>3707.0</v>
      </c>
      <c r="B3713" s="180" t="s">
        <v>6209</v>
      </c>
      <c r="C3713" s="82" t="str">
        <f>VLOOKUP($B$7:$B$5000,SUM!$L$6:$L$500,1,FALSE)</f>
        <v>#N/A</v>
      </c>
      <c r="D3713" s="232" t="s">
        <v>6204</v>
      </c>
      <c r="E3713" s="198" t="s">
        <v>58</v>
      </c>
      <c r="F3713" s="199" t="s">
        <v>6205</v>
      </c>
      <c r="G3713" s="191" t="s">
        <v>6206</v>
      </c>
      <c r="H3713" s="229" t="s">
        <v>6210</v>
      </c>
      <c r="I3713" s="197" t="s">
        <v>6208</v>
      </c>
      <c r="J3713" s="148" t="s">
        <v>63</v>
      </c>
      <c r="K3713" s="148" t="s">
        <v>64</v>
      </c>
      <c r="L3713" s="148" t="s">
        <v>65</v>
      </c>
      <c r="M3713" s="148" t="s">
        <v>66</v>
      </c>
      <c r="N3713" s="159">
        <v>46186.0</v>
      </c>
      <c r="O3713" s="148" t="s">
        <v>67</v>
      </c>
      <c r="P3713" s="148" t="s">
        <v>68</v>
      </c>
      <c r="Q3713" s="103"/>
      <c r="R3713" s="103"/>
      <c r="S3713" s="103"/>
      <c r="T3713" s="103"/>
      <c r="U3713" s="148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1">
        <v>3708.0</v>
      </c>
      <c r="B3714" s="180" t="s">
        <v>6211</v>
      </c>
      <c r="C3714" s="82" t="str">
        <f>VLOOKUP($B$7:$B$5000,SUM!$L$6:$L$500,1,FALSE)</f>
        <v>#N/A</v>
      </c>
      <c r="D3714" s="232" t="s">
        <v>6204</v>
      </c>
      <c r="E3714" s="198" t="s">
        <v>58</v>
      </c>
      <c r="F3714" s="199" t="s">
        <v>6205</v>
      </c>
      <c r="G3714" s="191" t="s">
        <v>6206</v>
      </c>
      <c r="H3714" s="229" t="s">
        <v>6212</v>
      </c>
      <c r="I3714" s="197" t="s">
        <v>6208</v>
      </c>
      <c r="J3714" s="148" t="s">
        <v>63</v>
      </c>
      <c r="K3714" s="148" t="s">
        <v>64</v>
      </c>
      <c r="L3714" s="148" t="s">
        <v>65</v>
      </c>
      <c r="M3714" s="148" t="s">
        <v>66</v>
      </c>
      <c r="N3714" s="159">
        <v>46186.0</v>
      </c>
      <c r="O3714" s="148" t="s">
        <v>67</v>
      </c>
      <c r="P3714" s="148" t="s">
        <v>68</v>
      </c>
      <c r="Q3714" s="103"/>
      <c r="R3714" s="103"/>
      <c r="S3714" s="103"/>
      <c r="T3714" s="103"/>
      <c r="U3714" s="148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1">
        <v>3709.0</v>
      </c>
      <c r="B3715" s="180" t="s">
        <v>6213</v>
      </c>
      <c r="C3715" s="82" t="str">
        <f>VLOOKUP($B$7:$B$5000,SUM!$L$6:$L$500,1,FALSE)</f>
        <v>#N/A</v>
      </c>
      <c r="D3715" s="232" t="s">
        <v>6204</v>
      </c>
      <c r="E3715" s="198" t="s">
        <v>58</v>
      </c>
      <c r="F3715" s="199" t="s">
        <v>6205</v>
      </c>
      <c r="G3715" s="191" t="s">
        <v>6206</v>
      </c>
      <c r="H3715" s="229" t="s">
        <v>6214</v>
      </c>
      <c r="I3715" s="197" t="s">
        <v>6208</v>
      </c>
      <c r="J3715" s="148" t="s">
        <v>63</v>
      </c>
      <c r="K3715" s="148" t="s">
        <v>64</v>
      </c>
      <c r="L3715" s="148" t="s">
        <v>65</v>
      </c>
      <c r="M3715" s="148" t="s">
        <v>66</v>
      </c>
      <c r="N3715" s="159">
        <v>46186.0</v>
      </c>
      <c r="O3715" s="148" t="s">
        <v>67</v>
      </c>
      <c r="P3715" s="148" t="s">
        <v>68</v>
      </c>
      <c r="Q3715" s="103"/>
      <c r="R3715" s="103"/>
      <c r="S3715" s="103"/>
      <c r="T3715" s="103"/>
      <c r="U3715" s="148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1">
        <v>3710.0</v>
      </c>
      <c r="B3716" s="180" t="s">
        <v>6215</v>
      </c>
      <c r="C3716" s="82" t="str">
        <f>VLOOKUP($B$7:$B$5000,SUM!$L$6:$L$500,1,FALSE)</f>
        <v>#N/A</v>
      </c>
      <c r="D3716" s="232" t="s">
        <v>6204</v>
      </c>
      <c r="E3716" s="198" t="s">
        <v>58</v>
      </c>
      <c r="F3716" s="199" t="s">
        <v>6205</v>
      </c>
      <c r="G3716" s="191" t="s">
        <v>6206</v>
      </c>
      <c r="H3716" s="229" t="s">
        <v>6216</v>
      </c>
      <c r="I3716" s="197" t="s">
        <v>6208</v>
      </c>
      <c r="J3716" s="148" t="s">
        <v>63</v>
      </c>
      <c r="K3716" s="148" t="s">
        <v>64</v>
      </c>
      <c r="L3716" s="148" t="s">
        <v>65</v>
      </c>
      <c r="M3716" s="148" t="s">
        <v>66</v>
      </c>
      <c r="N3716" s="159">
        <v>46186.0</v>
      </c>
      <c r="O3716" s="148" t="s">
        <v>67</v>
      </c>
      <c r="P3716" s="148" t="s">
        <v>68</v>
      </c>
      <c r="Q3716" s="103"/>
      <c r="R3716" s="103"/>
      <c r="S3716" s="103"/>
      <c r="T3716" s="103"/>
      <c r="U3716" s="148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1">
        <v>3711.0</v>
      </c>
      <c r="B3717" s="180" t="s">
        <v>6217</v>
      </c>
      <c r="C3717" s="82" t="str">
        <f>VLOOKUP($B$7:$B$5000,SUM!$L$6:$L$500,1,FALSE)</f>
        <v>#N/A</v>
      </c>
      <c r="D3717" s="232" t="s">
        <v>6204</v>
      </c>
      <c r="E3717" s="198" t="s">
        <v>58</v>
      </c>
      <c r="F3717" s="199" t="s">
        <v>6205</v>
      </c>
      <c r="G3717" s="191" t="s">
        <v>6206</v>
      </c>
      <c r="H3717" s="229" t="s">
        <v>6218</v>
      </c>
      <c r="I3717" s="197" t="s">
        <v>6208</v>
      </c>
      <c r="J3717" s="148" t="s">
        <v>63</v>
      </c>
      <c r="K3717" s="148" t="s">
        <v>64</v>
      </c>
      <c r="L3717" s="148" t="s">
        <v>65</v>
      </c>
      <c r="M3717" s="148" t="s">
        <v>66</v>
      </c>
      <c r="N3717" s="159">
        <v>46186.0</v>
      </c>
      <c r="O3717" s="148" t="s">
        <v>67</v>
      </c>
      <c r="P3717" s="148" t="s">
        <v>68</v>
      </c>
      <c r="Q3717" s="103"/>
      <c r="R3717" s="103"/>
      <c r="S3717" s="103"/>
      <c r="T3717" s="103"/>
      <c r="U3717" s="148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1">
        <v>3712.0</v>
      </c>
      <c r="B3718" s="180" t="s">
        <v>6219</v>
      </c>
      <c r="C3718" s="82" t="str">
        <f>VLOOKUP($B$7:$B$5000,SUM!$L$6:$L$500,1,FALSE)</f>
        <v>#N/A</v>
      </c>
      <c r="D3718" s="232" t="s">
        <v>6204</v>
      </c>
      <c r="E3718" s="198" t="s">
        <v>58</v>
      </c>
      <c r="F3718" s="199" t="s">
        <v>6205</v>
      </c>
      <c r="G3718" s="191" t="s">
        <v>6206</v>
      </c>
      <c r="H3718" s="229" t="s">
        <v>6220</v>
      </c>
      <c r="I3718" s="197" t="s">
        <v>6208</v>
      </c>
      <c r="J3718" s="148" t="s">
        <v>63</v>
      </c>
      <c r="K3718" s="148" t="s">
        <v>64</v>
      </c>
      <c r="L3718" s="148" t="s">
        <v>65</v>
      </c>
      <c r="M3718" s="148" t="s">
        <v>66</v>
      </c>
      <c r="N3718" s="159">
        <v>46186.0</v>
      </c>
      <c r="O3718" s="148" t="s">
        <v>67</v>
      </c>
      <c r="P3718" s="148" t="s">
        <v>68</v>
      </c>
      <c r="Q3718" s="103"/>
      <c r="R3718" s="103"/>
      <c r="S3718" s="103"/>
      <c r="T3718" s="103"/>
      <c r="U3718" s="148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1">
        <v>3713.0</v>
      </c>
      <c r="B3719" s="180" t="s">
        <v>6221</v>
      </c>
      <c r="C3719" s="82" t="str">
        <f>VLOOKUP($B$7:$B$5000,SUM!$L$6:$L$500,1,FALSE)</f>
        <v>#N/A</v>
      </c>
      <c r="D3719" s="232" t="s">
        <v>6204</v>
      </c>
      <c r="E3719" s="198" t="s">
        <v>58</v>
      </c>
      <c r="F3719" s="199" t="s">
        <v>6205</v>
      </c>
      <c r="G3719" s="191" t="s">
        <v>6206</v>
      </c>
      <c r="H3719" s="229" t="s">
        <v>6222</v>
      </c>
      <c r="I3719" s="197" t="s">
        <v>6208</v>
      </c>
      <c r="J3719" s="148" t="s">
        <v>63</v>
      </c>
      <c r="K3719" s="148" t="s">
        <v>64</v>
      </c>
      <c r="L3719" s="148" t="s">
        <v>65</v>
      </c>
      <c r="M3719" s="148" t="s">
        <v>66</v>
      </c>
      <c r="N3719" s="159">
        <v>46186.0</v>
      </c>
      <c r="O3719" s="148" t="s">
        <v>67</v>
      </c>
      <c r="P3719" s="148" t="s">
        <v>68</v>
      </c>
      <c r="Q3719" s="103"/>
      <c r="R3719" s="103"/>
      <c r="S3719" s="103"/>
      <c r="T3719" s="103"/>
      <c r="U3719" s="148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1">
        <v>3714.0</v>
      </c>
      <c r="B3720" s="180" t="s">
        <v>6223</v>
      </c>
      <c r="C3720" s="82" t="str">
        <f>VLOOKUP($B$7:$B$5000,SUM!$L$6:$L$500,1,FALSE)</f>
        <v>#N/A</v>
      </c>
      <c r="D3720" s="232" t="s">
        <v>6204</v>
      </c>
      <c r="E3720" s="198" t="s">
        <v>58</v>
      </c>
      <c r="F3720" s="199" t="s">
        <v>6205</v>
      </c>
      <c r="G3720" s="191" t="s">
        <v>6206</v>
      </c>
      <c r="H3720" s="229" t="s">
        <v>6224</v>
      </c>
      <c r="I3720" s="197" t="s">
        <v>6208</v>
      </c>
      <c r="J3720" s="148" t="s">
        <v>63</v>
      </c>
      <c r="K3720" s="148" t="s">
        <v>64</v>
      </c>
      <c r="L3720" s="148" t="s">
        <v>65</v>
      </c>
      <c r="M3720" s="148" t="s">
        <v>66</v>
      </c>
      <c r="N3720" s="159">
        <v>46186.0</v>
      </c>
      <c r="O3720" s="148" t="s">
        <v>67</v>
      </c>
      <c r="P3720" s="148" t="s">
        <v>68</v>
      </c>
      <c r="Q3720" s="103"/>
      <c r="R3720" s="103"/>
      <c r="S3720" s="103"/>
      <c r="T3720" s="103"/>
      <c r="U3720" s="148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1">
        <v>3715.0</v>
      </c>
      <c r="B3721" s="180" t="s">
        <v>6225</v>
      </c>
      <c r="C3721" s="82" t="str">
        <f>VLOOKUP($B$7:$B$5000,SUM!$L$6:$L$500,1,FALSE)</f>
        <v>#N/A</v>
      </c>
      <c r="D3721" s="232" t="s">
        <v>6226</v>
      </c>
      <c r="E3721" s="198" t="s">
        <v>58</v>
      </c>
      <c r="F3721" s="199" t="s">
        <v>6042</v>
      </c>
      <c r="G3721" s="191" t="s">
        <v>2104</v>
      </c>
      <c r="H3721" s="199" t="s">
        <v>6227</v>
      </c>
      <c r="I3721" s="197" t="s">
        <v>6228</v>
      </c>
      <c r="J3721" s="148" t="s">
        <v>74</v>
      </c>
      <c r="K3721" s="148" t="s">
        <v>64</v>
      </c>
      <c r="L3721" s="148" t="s">
        <v>65</v>
      </c>
      <c r="M3721" s="148" t="s">
        <v>66</v>
      </c>
      <c r="N3721" s="212">
        <v>46188.0</v>
      </c>
      <c r="O3721" s="148" t="s">
        <v>67</v>
      </c>
      <c r="P3721" s="148" t="s">
        <v>68</v>
      </c>
      <c r="Q3721" s="103"/>
      <c r="R3721" s="103"/>
      <c r="S3721" s="103"/>
      <c r="T3721" s="103"/>
      <c r="U3721" s="148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1">
        <v>3716.0</v>
      </c>
      <c r="B3722" s="180" t="s">
        <v>6229</v>
      </c>
      <c r="C3722" s="82" t="str">
        <f>VLOOKUP($B$7:$B$5000,SUM!$L$6:$L$500,1,FALSE)</f>
        <v>#N/A</v>
      </c>
      <c r="D3722" s="190" t="s">
        <v>6226</v>
      </c>
      <c r="E3722" s="198" t="s">
        <v>58</v>
      </c>
      <c r="F3722" s="199" t="s">
        <v>6042</v>
      </c>
      <c r="G3722" s="191" t="s">
        <v>2104</v>
      </c>
      <c r="H3722" s="199" t="s">
        <v>6230</v>
      </c>
      <c r="I3722" s="197" t="s">
        <v>6228</v>
      </c>
      <c r="J3722" s="148" t="s">
        <v>74</v>
      </c>
      <c r="K3722" s="148" t="s">
        <v>64</v>
      </c>
      <c r="L3722" s="148" t="s">
        <v>65</v>
      </c>
      <c r="M3722" s="148" t="s">
        <v>66</v>
      </c>
      <c r="N3722" s="212">
        <v>46188.0</v>
      </c>
      <c r="O3722" s="148" t="s">
        <v>67</v>
      </c>
      <c r="P3722" s="148" t="s">
        <v>68</v>
      </c>
      <c r="Q3722" s="103"/>
      <c r="R3722" s="103"/>
      <c r="S3722" s="103"/>
      <c r="T3722" s="103"/>
      <c r="U3722" s="148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1">
        <v>3717.0</v>
      </c>
      <c r="B3723" s="180" t="s">
        <v>6231</v>
      </c>
      <c r="C3723" s="82" t="str">
        <f>VLOOKUP($B$7:$B$5000,SUM!$L$6:$L$500,1,FALSE)</f>
        <v>#N/A</v>
      </c>
      <c r="D3723" s="190" t="s">
        <v>6226</v>
      </c>
      <c r="E3723" s="198" t="s">
        <v>58</v>
      </c>
      <c r="F3723" s="199" t="s">
        <v>6042</v>
      </c>
      <c r="G3723" s="191" t="s">
        <v>2104</v>
      </c>
      <c r="H3723" s="199" t="s">
        <v>6232</v>
      </c>
      <c r="I3723" s="197" t="s">
        <v>6228</v>
      </c>
      <c r="J3723" s="148" t="s">
        <v>74</v>
      </c>
      <c r="K3723" s="148" t="s">
        <v>64</v>
      </c>
      <c r="L3723" s="148" t="s">
        <v>65</v>
      </c>
      <c r="M3723" s="148" t="s">
        <v>66</v>
      </c>
      <c r="N3723" s="212">
        <v>46188.0</v>
      </c>
      <c r="O3723" s="148" t="s">
        <v>67</v>
      </c>
      <c r="P3723" s="148" t="s">
        <v>68</v>
      </c>
      <c r="Q3723" s="103"/>
      <c r="R3723" s="103"/>
      <c r="S3723" s="103"/>
      <c r="T3723" s="103"/>
      <c r="U3723" s="148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1">
        <v>3718.0</v>
      </c>
      <c r="B3724" s="180" t="s">
        <v>6233</v>
      </c>
      <c r="C3724" s="82" t="str">
        <f>VLOOKUP($B$7:$B$5000,SUM!$L$6:$L$500,1,FALSE)</f>
        <v>#N/A</v>
      </c>
      <c r="D3724" s="190" t="s">
        <v>6226</v>
      </c>
      <c r="E3724" s="198" t="s">
        <v>58</v>
      </c>
      <c r="F3724" s="199" t="s">
        <v>6042</v>
      </c>
      <c r="G3724" s="191" t="s">
        <v>2104</v>
      </c>
      <c r="H3724" s="199" t="s">
        <v>6234</v>
      </c>
      <c r="I3724" s="197" t="s">
        <v>6228</v>
      </c>
      <c r="J3724" s="148" t="s">
        <v>74</v>
      </c>
      <c r="K3724" s="148" t="s">
        <v>64</v>
      </c>
      <c r="L3724" s="148" t="s">
        <v>65</v>
      </c>
      <c r="M3724" s="148" t="s">
        <v>66</v>
      </c>
      <c r="N3724" s="212">
        <v>46188.0</v>
      </c>
      <c r="O3724" s="148" t="s">
        <v>67</v>
      </c>
      <c r="P3724" s="148" t="s">
        <v>68</v>
      </c>
      <c r="Q3724" s="103"/>
      <c r="R3724" s="103"/>
      <c r="S3724" s="103"/>
      <c r="T3724" s="103"/>
      <c r="U3724" s="148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1">
        <v>3719.0</v>
      </c>
      <c r="B3725" s="180" t="s">
        <v>6235</v>
      </c>
      <c r="C3725" s="82" t="str">
        <f>VLOOKUP($B$7:$B$5000,SUM!$L$6:$L$500,1,FALSE)</f>
        <v>#N/A</v>
      </c>
      <c r="D3725" s="190" t="s">
        <v>6226</v>
      </c>
      <c r="E3725" s="198" t="s">
        <v>58</v>
      </c>
      <c r="F3725" s="199" t="s">
        <v>6042</v>
      </c>
      <c r="G3725" s="191" t="s">
        <v>2104</v>
      </c>
      <c r="H3725" s="199" t="s">
        <v>6236</v>
      </c>
      <c r="I3725" s="197" t="s">
        <v>6228</v>
      </c>
      <c r="J3725" s="148" t="s">
        <v>74</v>
      </c>
      <c r="K3725" s="148" t="s">
        <v>64</v>
      </c>
      <c r="L3725" s="148" t="s">
        <v>65</v>
      </c>
      <c r="M3725" s="148" t="s">
        <v>66</v>
      </c>
      <c r="N3725" s="212">
        <v>46188.0</v>
      </c>
      <c r="O3725" s="148" t="s">
        <v>67</v>
      </c>
      <c r="P3725" s="148" t="s">
        <v>68</v>
      </c>
      <c r="Q3725" s="103"/>
      <c r="R3725" s="103"/>
      <c r="S3725" s="103"/>
      <c r="T3725" s="103"/>
      <c r="U3725" s="148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1">
        <v>3720.0</v>
      </c>
      <c r="B3726" s="180" t="s">
        <v>6237</v>
      </c>
      <c r="C3726" s="82" t="str">
        <f>VLOOKUP($B$7:$B$5000,SUM!$L$6:$L$500,1,FALSE)</f>
        <v>#N/A</v>
      </c>
      <c r="D3726" s="190" t="s">
        <v>6226</v>
      </c>
      <c r="E3726" s="198" t="s">
        <v>58</v>
      </c>
      <c r="F3726" s="199" t="s">
        <v>6042</v>
      </c>
      <c r="G3726" s="191" t="s">
        <v>6238</v>
      </c>
      <c r="H3726" s="199" t="s">
        <v>6239</v>
      </c>
      <c r="I3726" s="197" t="s">
        <v>6240</v>
      </c>
      <c r="J3726" s="148" t="s">
        <v>74</v>
      </c>
      <c r="K3726" s="148" t="s">
        <v>64</v>
      </c>
      <c r="L3726" s="148" t="s">
        <v>65</v>
      </c>
      <c r="M3726" s="148" t="s">
        <v>66</v>
      </c>
      <c r="N3726" s="212">
        <v>46188.0</v>
      </c>
      <c r="O3726" s="148" t="s">
        <v>67</v>
      </c>
      <c r="P3726" s="148" t="s">
        <v>68</v>
      </c>
      <c r="Q3726" s="103"/>
      <c r="R3726" s="103"/>
      <c r="S3726" s="103"/>
      <c r="T3726" s="103"/>
      <c r="U3726" s="148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1">
        <v>3721.0</v>
      </c>
      <c r="B3727" s="180" t="s">
        <v>6241</v>
      </c>
      <c r="C3727" s="82" t="str">
        <f>VLOOKUP($B$7:$B$5000,SUM!$L$6:$L$500,1,FALSE)</f>
        <v>#N/A</v>
      </c>
      <c r="D3727" s="190" t="s">
        <v>6226</v>
      </c>
      <c r="E3727" s="198" t="s">
        <v>58</v>
      </c>
      <c r="F3727" s="199" t="s">
        <v>6042</v>
      </c>
      <c r="G3727" s="191" t="s">
        <v>6238</v>
      </c>
      <c r="H3727" s="199" t="s">
        <v>6242</v>
      </c>
      <c r="I3727" s="197" t="s">
        <v>6240</v>
      </c>
      <c r="J3727" s="148" t="s">
        <v>74</v>
      </c>
      <c r="K3727" s="148" t="s">
        <v>64</v>
      </c>
      <c r="L3727" s="148" t="s">
        <v>65</v>
      </c>
      <c r="M3727" s="148" t="s">
        <v>66</v>
      </c>
      <c r="N3727" s="212">
        <v>46188.0</v>
      </c>
      <c r="O3727" s="148" t="s">
        <v>67</v>
      </c>
      <c r="P3727" s="148" t="s">
        <v>68</v>
      </c>
      <c r="Q3727" s="103"/>
      <c r="R3727" s="103"/>
      <c r="S3727" s="103"/>
      <c r="T3727" s="103"/>
      <c r="U3727" s="148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1">
        <v>3722.0</v>
      </c>
      <c r="B3728" s="180" t="s">
        <v>6243</v>
      </c>
      <c r="C3728" s="82" t="str">
        <f>VLOOKUP($B$7:$B$5000,SUM!$L$6:$L$500,1,FALSE)</f>
        <v>#N/A</v>
      </c>
      <c r="D3728" s="190" t="s">
        <v>6226</v>
      </c>
      <c r="E3728" s="198" t="s">
        <v>58</v>
      </c>
      <c r="F3728" s="199" t="s">
        <v>6042</v>
      </c>
      <c r="G3728" s="191" t="s">
        <v>6238</v>
      </c>
      <c r="H3728" s="199" t="s">
        <v>6244</v>
      </c>
      <c r="I3728" s="197" t="s">
        <v>6240</v>
      </c>
      <c r="J3728" s="148" t="s">
        <v>74</v>
      </c>
      <c r="K3728" s="148" t="s">
        <v>64</v>
      </c>
      <c r="L3728" s="148" t="s">
        <v>65</v>
      </c>
      <c r="M3728" s="148" t="s">
        <v>66</v>
      </c>
      <c r="N3728" s="212">
        <v>46188.0</v>
      </c>
      <c r="O3728" s="148" t="s">
        <v>67</v>
      </c>
      <c r="P3728" s="148" t="s">
        <v>68</v>
      </c>
      <c r="Q3728" s="103"/>
      <c r="R3728" s="103"/>
      <c r="S3728" s="103"/>
      <c r="T3728" s="103"/>
      <c r="U3728" s="148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1">
        <v>3723.0</v>
      </c>
      <c r="B3729" s="180" t="s">
        <v>6245</v>
      </c>
      <c r="C3729" s="82" t="str">
        <f>VLOOKUP($B$7:$B$5000,SUM!$L$6:$L$500,1,FALSE)</f>
        <v>#N/A</v>
      </c>
      <c r="D3729" s="190" t="s">
        <v>6226</v>
      </c>
      <c r="E3729" s="198" t="s">
        <v>58</v>
      </c>
      <c r="F3729" s="199" t="s">
        <v>6042</v>
      </c>
      <c r="G3729" s="191" t="s">
        <v>6238</v>
      </c>
      <c r="H3729" s="199" t="s">
        <v>6246</v>
      </c>
      <c r="I3729" s="197" t="s">
        <v>6240</v>
      </c>
      <c r="J3729" s="148" t="s">
        <v>74</v>
      </c>
      <c r="K3729" s="148" t="s">
        <v>64</v>
      </c>
      <c r="L3729" s="148" t="s">
        <v>65</v>
      </c>
      <c r="M3729" s="148" t="s">
        <v>66</v>
      </c>
      <c r="N3729" s="212">
        <v>46188.0</v>
      </c>
      <c r="O3729" s="148" t="s">
        <v>67</v>
      </c>
      <c r="P3729" s="148" t="s">
        <v>68</v>
      </c>
      <c r="Q3729" s="103"/>
      <c r="R3729" s="103"/>
      <c r="S3729" s="103"/>
      <c r="T3729" s="103"/>
      <c r="U3729" s="148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1">
        <v>3724.0</v>
      </c>
      <c r="B3730" s="180" t="s">
        <v>6247</v>
      </c>
      <c r="C3730" s="82" t="str">
        <f>VLOOKUP($B$7:$B$5000,SUM!$L$6:$L$500,1,FALSE)</f>
        <v>#N/A</v>
      </c>
      <c r="D3730" s="190" t="s">
        <v>6226</v>
      </c>
      <c r="E3730" s="198" t="s">
        <v>58</v>
      </c>
      <c r="F3730" s="199" t="s">
        <v>6042</v>
      </c>
      <c r="G3730" s="191" t="s">
        <v>2104</v>
      </c>
      <c r="H3730" s="199" t="s">
        <v>6227</v>
      </c>
      <c r="I3730" s="197" t="s">
        <v>6248</v>
      </c>
      <c r="J3730" s="148" t="s">
        <v>63</v>
      </c>
      <c r="K3730" s="148" t="s">
        <v>64</v>
      </c>
      <c r="L3730" s="148" t="s">
        <v>65</v>
      </c>
      <c r="M3730" s="148" t="s">
        <v>66</v>
      </c>
      <c r="N3730" s="212">
        <v>46188.0</v>
      </c>
      <c r="O3730" s="148" t="s">
        <v>67</v>
      </c>
      <c r="P3730" s="148" t="s">
        <v>68</v>
      </c>
      <c r="Q3730" s="103"/>
      <c r="R3730" s="103"/>
      <c r="S3730" s="103"/>
      <c r="T3730" s="103"/>
      <c r="U3730" s="148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1">
        <v>3725.0</v>
      </c>
      <c r="B3731" s="180" t="s">
        <v>6249</v>
      </c>
      <c r="C3731" s="82" t="str">
        <f>VLOOKUP($B$7:$B$5000,SUM!$L$6:$L$500,1,FALSE)</f>
        <v>#N/A</v>
      </c>
      <c r="D3731" s="190" t="s">
        <v>6226</v>
      </c>
      <c r="E3731" s="198" t="s">
        <v>58</v>
      </c>
      <c r="F3731" s="199" t="s">
        <v>6042</v>
      </c>
      <c r="G3731" s="191" t="s">
        <v>2104</v>
      </c>
      <c r="H3731" s="199" t="s">
        <v>6230</v>
      </c>
      <c r="I3731" s="197" t="s">
        <v>6250</v>
      </c>
      <c r="J3731" s="148" t="s">
        <v>63</v>
      </c>
      <c r="K3731" s="148" t="s">
        <v>64</v>
      </c>
      <c r="L3731" s="148" t="s">
        <v>65</v>
      </c>
      <c r="M3731" s="148" t="s">
        <v>66</v>
      </c>
      <c r="N3731" s="212">
        <v>46188.0</v>
      </c>
      <c r="O3731" s="148" t="s">
        <v>67</v>
      </c>
      <c r="P3731" s="148" t="s">
        <v>68</v>
      </c>
      <c r="Q3731" s="103"/>
      <c r="R3731" s="103"/>
      <c r="S3731" s="103"/>
      <c r="T3731" s="103"/>
      <c r="U3731" s="148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1">
        <v>3726.0</v>
      </c>
      <c r="B3732" s="180" t="s">
        <v>6251</v>
      </c>
      <c r="C3732" s="82" t="str">
        <f>VLOOKUP($B$7:$B$5000,SUM!$L$6:$L$500,1,FALSE)</f>
        <v>#N/A</v>
      </c>
      <c r="D3732" s="190" t="s">
        <v>6226</v>
      </c>
      <c r="E3732" s="198" t="s">
        <v>58</v>
      </c>
      <c r="F3732" s="199" t="s">
        <v>6042</v>
      </c>
      <c r="G3732" s="191" t="s">
        <v>2104</v>
      </c>
      <c r="H3732" s="199" t="s">
        <v>6232</v>
      </c>
      <c r="I3732" s="197" t="s">
        <v>6250</v>
      </c>
      <c r="J3732" s="148" t="s">
        <v>63</v>
      </c>
      <c r="K3732" s="148" t="s">
        <v>64</v>
      </c>
      <c r="L3732" s="148" t="s">
        <v>65</v>
      </c>
      <c r="M3732" s="148" t="s">
        <v>66</v>
      </c>
      <c r="N3732" s="212">
        <v>46188.0</v>
      </c>
      <c r="O3732" s="148" t="s">
        <v>67</v>
      </c>
      <c r="P3732" s="148" t="s">
        <v>68</v>
      </c>
      <c r="Q3732" s="103"/>
      <c r="R3732" s="103"/>
      <c r="S3732" s="103"/>
      <c r="T3732" s="103"/>
      <c r="U3732" s="148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1">
        <v>3727.0</v>
      </c>
      <c r="B3733" s="180" t="s">
        <v>6252</v>
      </c>
      <c r="C3733" s="82" t="str">
        <f>VLOOKUP($B$7:$B$5000,SUM!$L$6:$L$500,1,FALSE)</f>
        <v>#N/A</v>
      </c>
      <c r="D3733" s="190" t="s">
        <v>6226</v>
      </c>
      <c r="E3733" s="198" t="s">
        <v>58</v>
      </c>
      <c r="F3733" s="199" t="s">
        <v>6042</v>
      </c>
      <c r="G3733" s="191" t="s">
        <v>2104</v>
      </c>
      <c r="H3733" s="199" t="s">
        <v>6234</v>
      </c>
      <c r="I3733" s="197" t="s">
        <v>6250</v>
      </c>
      <c r="J3733" s="148" t="s">
        <v>63</v>
      </c>
      <c r="K3733" s="148" t="s">
        <v>64</v>
      </c>
      <c r="L3733" s="148" t="s">
        <v>65</v>
      </c>
      <c r="M3733" s="148" t="s">
        <v>66</v>
      </c>
      <c r="N3733" s="212">
        <v>46188.0</v>
      </c>
      <c r="O3733" s="148" t="s">
        <v>67</v>
      </c>
      <c r="P3733" s="148" t="s">
        <v>68</v>
      </c>
      <c r="Q3733" s="103"/>
      <c r="R3733" s="103"/>
      <c r="S3733" s="103"/>
      <c r="T3733" s="103"/>
      <c r="U3733" s="148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1">
        <v>3728.0</v>
      </c>
      <c r="B3734" s="180" t="s">
        <v>6253</v>
      </c>
      <c r="C3734" s="82" t="str">
        <f>VLOOKUP($B$7:$B$5000,SUM!$L$6:$L$500,1,FALSE)</f>
        <v>#N/A</v>
      </c>
      <c r="D3734" s="190" t="s">
        <v>6226</v>
      </c>
      <c r="E3734" s="198" t="s">
        <v>58</v>
      </c>
      <c r="F3734" s="199" t="s">
        <v>6042</v>
      </c>
      <c r="G3734" s="191" t="s">
        <v>2104</v>
      </c>
      <c r="H3734" s="199" t="s">
        <v>6236</v>
      </c>
      <c r="I3734" s="197" t="s">
        <v>6250</v>
      </c>
      <c r="J3734" s="148" t="s">
        <v>63</v>
      </c>
      <c r="K3734" s="148" t="s">
        <v>64</v>
      </c>
      <c r="L3734" s="148" t="s">
        <v>65</v>
      </c>
      <c r="M3734" s="148" t="s">
        <v>66</v>
      </c>
      <c r="N3734" s="212">
        <v>46188.0</v>
      </c>
      <c r="O3734" s="148" t="s">
        <v>67</v>
      </c>
      <c r="P3734" s="148" t="s">
        <v>68</v>
      </c>
      <c r="Q3734" s="103"/>
      <c r="R3734" s="103"/>
      <c r="S3734" s="103"/>
      <c r="T3734" s="103"/>
      <c r="U3734" s="148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1">
        <v>3729.0</v>
      </c>
      <c r="B3735" s="180" t="s">
        <v>6254</v>
      </c>
      <c r="C3735" s="82" t="str">
        <f>VLOOKUP($B$7:$B$5000,SUM!$L$6:$L$500,1,FALSE)</f>
        <v>#N/A</v>
      </c>
      <c r="D3735" s="190" t="s">
        <v>6226</v>
      </c>
      <c r="E3735" s="198" t="s">
        <v>58</v>
      </c>
      <c r="F3735" s="199" t="s">
        <v>6042</v>
      </c>
      <c r="G3735" s="191" t="s">
        <v>6238</v>
      </c>
      <c r="H3735" s="199" t="s">
        <v>6239</v>
      </c>
      <c r="I3735" s="197" t="s">
        <v>6255</v>
      </c>
      <c r="J3735" s="148" t="s">
        <v>108</v>
      </c>
      <c r="K3735" s="148" t="s">
        <v>64</v>
      </c>
      <c r="L3735" s="148" t="s">
        <v>65</v>
      </c>
      <c r="M3735" s="148" t="s">
        <v>66</v>
      </c>
      <c r="N3735" s="212">
        <v>46188.0</v>
      </c>
      <c r="O3735" s="148" t="s">
        <v>67</v>
      </c>
      <c r="P3735" s="148" t="s">
        <v>68</v>
      </c>
      <c r="Q3735" s="103"/>
      <c r="R3735" s="103"/>
      <c r="S3735" s="103"/>
      <c r="T3735" s="103"/>
      <c r="U3735" s="148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1">
        <v>3730.0</v>
      </c>
      <c r="B3736" s="180" t="s">
        <v>6256</v>
      </c>
      <c r="C3736" s="82" t="str">
        <f>VLOOKUP($B$7:$B$5000,SUM!$L$6:$L$500,1,FALSE)</f>
        <v>#N/A</v>
      </c>
      <c r="D3736" s="190" t="s">
        <v>6226</v>
      </c>
      <c r="E3736" s="198" t="s">
        <v>58</v>
      </c>
      <c r="F3736" s="199" t="s">
        <v>6042</v>
      </c>
      <c r="G3736" s="191" t="s">
        <v>6238</v>
      </c>
      <c r="H3736" s="199" t="s">
        <v>6242</v>
      </c>
      <c r="I3736" s="197" t="s">
        <v>6255</v>
      </c>
      <c r="J3736" s="148" t="s">
        <v>108</v>
      </c>
      <c r="K3736" s="148" t="s">
        <v>64</v>
      </c>
      <c r="L3736" s="148" t="s">
        <v>65</v>
      </c>
      <c r="M3736" s="148" t="s">
        <v>66</v>
      </c>
      <c r="N3736" s="212">
        <v>46188.0</v>
      </c>
      <c r="O3736" s="148" t="s">
        <v>67</v>
      </c>
      <c r="P3736" s="148" t="s">
        <v>68</v>
      </c>
      <c r="Q3736" s="103"/>
      <c r="R3736" s="103"/>
      <c r="S3736" s="103"/>
      <c r="T3736" s="103"/>
      <c r="U3736" s="148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1">
        <v>3731.0</v>
      </c>
      <c r="B3737" s="180" t="s">
        <v>6257</v>
      </c>
      <c r="C3737" s="82" t="str">
        <f>VLOOKUP($B$7:$B$5000,SUM!$L$6:$L$500,1,FALSE)</f>
        <v>#N/A</v>
      </c>
      <c r="D3737" s="190" t="s">
        <v>6226</v>
      </c>
      <c r="E3737" s="198" t="s">
        <v>58</v>
      </c>
      <c r="F3737" s="199" t="s">
        <v>6042</v>
      </c>
      <c r="G3737" s="191" t="s">
        <v>6238</v>
      </c>
      <c r="H3737" s="199" t="s">
        <v>6244</v>
      </c>
      <c r="I3737" s="197" t="s">
        <v>6255</v>
      </c>
      <c r="J3737" s="148" t="s">
        <v>108</v>
      </c>
      <c r="K3737" s="148" t="s">
        <v>64</v>
      </c>
      <c r="L3737" s="148" t="s">
        <v>65</v>
      </c>
      <c r="M3737" s="148" t="s">
        <v>66</v>
      </c>
      <c r="N3737" s="212">
        <v>46188.0</v>
      </c>
      <c r="O3737" s="148" t="s">
        <v>67</v>
      </c>
      <c r="P3737" s="148" t="s">
        <v>68</v>
      </c>
      <c r="Q3737" s="103"/>
      <c r="R3737" s="103"/>
      <c r="S3737" s="103"/>
      <c r="T3737" s="103"/>
      <c r="U3737" s="148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1">
        <v>3732.0</v>
      </c>
      <c r="B3738" s="180" t="s">
        <v>6258</v>
      </c>
      <c r="C3738" s="82" t="str">
        <f>VLOOKUP($B$7:$B$5000,SUM!$L$6:$L$500,1,FALSE)</f>
        <v>#N/A</v>
      </c>
      <c r="D3738" s="190" t="s">
        <v>6226</v>
      </c>
      <c r="E3738" s="198" t="s">
        <v>58</v>
      </c>
      <c r="F3738" s="199" t="s">
        <v>6042</v>
      </c>
      <c r="G3738" s="191" t="s">
        <v>6238</v>
      </c>
      <c r="H3738" s="199" t="s">
        <v>6246</v>
      </c>
      <c r="I3738" s="197" t="s">
        <v>6255</v>
      </c>
      <c r="J3738" s="148" t="s">
        <v>108</v>
      </c>
      <c r="K3738" s="148" t="s">
        <v>64</v>
      </c>
      <c r="L3738" s="148" t="s">
        <v>65</v>
      </c>
      <c r="M3738" s="148" t="s">
        <v>66</v>
      </c>
      <c r="N3738" s="212">
        <v>46188.0</v>
      </c>
      <c r="O3738" s="148" t="s">
        <v>67</v>
      </c>
      <c r="P3738" s="148" t="s">
        <v>68</v>
      </c>
      <c r="Q3738" s="103"/>
      <c r="R3738" s="103"/>
      <c r="S3738" s="103"/>
      <c r="T3738" s="103"/>
      <c r="U3738" s="148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1">
        <v>3733.0</v>
      </c>
      <c r="B3739" s="180" t="s">
        <v>6259</v>
      </c>
      <c r="C3739" s="82" t="str">
        <f>VLOOKUP($B$7:$B$5000,SUM!$L$6:$L$500,1,FALSE)</f>
        <v>#N/A</v>
      </c>
      <c r="D3739" s="190" t="s">
        <v>6226</v>
      </c>
      <c r="E3739" s="198" t="s">
        <v>58</v>
      </c>
      <c r="F3739" s="199" t="s">
        <v>6042</v>
      </c>
      <c r="G3739" s="191" t="s">
        <v>2104</v>
      </c>
      <c r="H3739" s="199" t="s">
        <v>6234</v>
      </c>
      <c r="I3739" s="197" t="s">
        <v>6260</v>
      </c>
      <c r="J3739" s="148" t="s">
        <v>108</v>
      </c>
      <c r="K3739" s="148" t="s">
        <v>64</v>
      </c>
      <c r="L3739" s="148" t="s">
        <v>65</v>
      </c>
      <c r="M3739" s="148" t="s">
        <v>66</v>
      </c>
      <c r="N3739" s="212">
        <v>46188.0</v>
      </c>
      <c r="O3739" s="148" t="s">
        <v>67</v>
      </c>
      <c r="P3739" s="148" t="s">
        <v>68</v>
      </c>
      <c r="Q3739" s="103"/>
      <c r="R3739" s="103"/>
      <c r="S3739" s="103"/>
      <c r="T3739" s="103"/>
      <c r="U3739" s="148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1">
        <v>3734.0</v>
      </c>
      <c r="B3740" s="180" t="s">
        <v>6261</v>
      </c>
      <c r="C3740" s="82" t="str">
        <f>VLOOKUP($B$7:$B$5000,SUM!$L$6:$L$500,1,FALSE)</f>
        <v>#N/A</v>
      </c>
      <c r="D3740" s="190" t="s">
        <v>6226</v>
      </c>
      <c r="E3740" s="198" t="s">
        <v>58</v>
      </c>
      <c r="F3740" s="199" t="s">
        <v>6042</v>
      </c>
      <c r="G3740" s="191" t="s">
        <v>2104</v>
      </c>
      <c r="H3740" s="199" t="s">
        <v>6230</v>
      </c>
      <c r="I3740" s="197" t="s">
        <v>6260</v>
      </c>
      <c r="J3740" s="148" t="s">
        <v>108</v>
      </c>
      <c r="K3740" s="148" t="s">
        <v>64</v>
      </c>
      <c r="L3740" s="148" t="s">
        <v>65</v>
      </c>
      <c r="M3740" s="148" t="s">
        <v>66</v>
      </c>
      <c r="N3740" s="212">
        <v>46188.0</v>
      </c>
      <c r="O3740" s="148" t="s">
        <v>67</v>
      </c>
      <c r="P3740" s="148" t="s">
        <v>68</v>
      </c>
      <c r="Q3740" s="103"/>
      <c r="R3740" s="103"/>
      <c r="S3740" s="103"/>
      <c r="T3740" s="103"/>
      <c r="U3740" s="148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1">
        <v>3735.0</v>
      </c>
      <c r="B3741" s="180" t="s">
        <v>6262</v>
      </c>
      <c r="C3741" s="82" t="str">
        <f>VLOOKUP($B$7:$B$5000,SUM!$L$6:$L$500,1,FALSE)</f>
        <v>#N/A</v>
      </c>
      <c r="D3741" s="190" t="s">
        <v>6226</v>
      </c>
      <c r="E3741" s="198" t="s">
        <v>58</v>
      </c>
      <c r="F3741" s="199" t="s">
        <v>6042</v>
      </c>
      <c r="G3741" s="191" t="s">
        <v>6238</v>
      </c>
      <c r="H3741" s="199" t="s">
        <v>6244</v>
      </c>
      <c r="I3741" s="197" t="s">
        <v>6263</v>
      </c>
      <c r="J3741" s="148" t="s">
        <v>74</v>
      </c>
      <c r="K3741" s="148" t="s">
        <v>64</v>
      </c>
      <c r="L3741" s="148" t="s">
        <v>65</v>
      </c>
      <c r="M3741" s="148" t="s">
        <v>66</v>
      </c>
      <c r="N3741" s="212">
        <v>46188.0</v>
      </c>
      <c r="O3741" s="148" t="s">
        <v>67</v>
      </c>
      <c r="P3741" s="148" t="s">
        <v>68</v>
      </c>
      <c r="Q3741" s="103"/>
      <c r="R3741" s="103"/>
      <c r="S3741" s="103"/>
      <c r="T3741" s="103"/>
      <c r="U3741" s="148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1">
        <v>3736.0</v>
      </c>
      <c r="B3742" s="180" t="s">
        <v>6264</v>
      </c>
      <c r="C3742" s="82" t="str">
        <f>VLOOKUP($B$7:$B$5000,SUM!$L$6:$L$500,1,FALSE)</f>
        <v>#N/A</v>
      </c>
      <c r="D3742" s="231" t="s">
        <v>6204</v>
      </c>
      <c r="E3742" s="198" t="s">
        <v>58</v>
      </c>
      <c r="F3742" s="199" t="s">
        <v>6205</v>
      </c>
      <c r="G3742" s="191" t="s">
        <v>6206</v>
      </c>
      <c r="H3742" s="229" t="s">
        <v>6265</v>
      </c>
      <c r="I3742" s="197" t="s">
        <v>6208</v>
      </c>
      <c r="J3742" s="148" t="s">
        <v>63</v>
      </c>
      <c r="K3742" s="148" t="s">
        <v>64</v>
      </c>
      <c r="L3742" s="148" t="s">
        <v>65</v>
      </c>
      <c r="M3742" s="148" t="s">
        <v>66</v>
      </c>
      <c r="N3742" s="212">
        <v>46189.0</v>
      </c>
      <c r="O3742" s="148" t="s">
        <v>67</v>
      </c>
      <c r="P3742" s="148" t="s">
        <v>68</v>
      </c>
      <c r="Q3742" s="103"/>
      <c r="R3742" s="103"/>
      <c r="S3742" s="103"/>
      <c r="T3742" s="103"/>
      <c r="U3742" s="148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1">
        <v>3737.0</v>
      </c>
      <c r="B3743" s="180" t="s">
        <v>6266</v>
      </c>
      <c r="C3743" s="82" t="str">
        <f>VLOOKUP($B$7:$B$5000,SUM!$L$6:$L$500,1,FALSE)</f>
        <v>#N/A</v>
      </c>
      <c r="D3743" s="232" t="s">
        <v>6204</v>
      </c>
      <c r="E3743" s="198" t="s">
        <v>58</v>
      </c>
      <c r="F3743" s="199" t="s">
        <v>6205</v>
      </c>
      <c r="G3743" s="191" t="s">
        <v>6206</v>
      </c>
      <c r="H3743" s="229" t="s">
        <v>6267</v>
      </c>
      <c r="I3743" s="197" t="s">
        <v>6208</v>
      </c>
      <c r="J3743" s="148" t="s">
        <v>63</v>
      </c>
      <c r="K3743" s="148" t="s">
        <v>64</v>
      </c>
      <c r="L3743" s="148" t="s">
        <v>65</v>
      </c>
      <c r="M3743" s="148" t="s">
        <v>66</v>
      </c>
      <c r="N3743" s="212">
        <v>46189.0</v>
      </c>
      <c r="O3743" s="148" t="s">
        <v>67</v>
      </c>
      <c r="P3743" s="148" t="s">
        <v>68</v>
      </c>
      <c r="Q3743" s="103"/>
      <c r="R3743" s="103"/>
      <c r="S3743" s="103"/>
      <c r="T3743" s="103"/>
      <c r="U3743" s="148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1">
        <v>3738.0</v>
      </c>
      <c r="B3744" s="180" t="s">
        <v>6268</v>
      </c>
      <c r="C3744" s="82" t="str">
        <f>VLOOKUP($B$7:$B$5000,SUM!$L$6:$L$500,1,FALSE)</f>
        <v>#N/A</v>
      </c>
      <c r="D3744" s="232" t="s">
        <v>6204</v>
      </c>
      <c r="E3744" s="198" t="s">
        <v>58</v>
      </c>
      <c r="F3744" s="199" t="s">
        <v>6205</v>
      </c>
      <c r="G3744" s="191" t="s">
        <v>6206</v>
      </c>
      <c r="H3744" s="229" t="s">
        <v>6269</v>
      </c>
      <c r="I3744" s="197" t="s">
        <v>6208</v>
      </c>
      <c r="J3744" s="148" t="s">
        <v>63</v>
      </c>
      <c r="K3744" s="148" t="s">
        <v>64</v>
      </c>
      <c r="L3744" s="148" t="s">
        <v>65</v>
      </c>
      <c r="M3744" s="148" t="s">
        <v>66</v>
      </c>
      <c r="N3744" s="212">
        <v>46189.0</v>
      </c>
      <c r="O3744" s="148" t="s">
        <v>67</v>
      </c>
      <c r="P3744" s="148" t="s">
        <v>68</v>
      </c>
      <c r="Q3744" s="103"/>
      <c r="R3744" s="103"/>
      <c r="S3744" s="103"/>
      <c r="T3744" s="103"/>
      <c r="U3744" s="148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1">
        <v>3739.0</v>
      </c>
      <c r="B3745" s="180" t="s">
        <v>6270</v>
      </c>
      <c r="C3745" s="82" t="str">
        <f>VLOOKUP($B$7:$B$5000,SUM!$L$6:$L$500,1,FALSE)</f>
        <v>#N/A</v>
      </c>
      <c r="D3745" s="232" t="s">
        <v>6204</v>
      </c>
      <c r="E3745" s="198" t="s">
        <v>58</v>
      </c>
      <c r="F3745" s="199" t="s">
        <v>6205</v>
      </c>
      <c r="G3745" s="191" t="s">
        <v>6206</v>
      </c>
      <c r="H3745" s="229" t="s">
        <v>6271</v>
      </c>
      <c r="I3745" s="197" t="s">
        <v>6208</v>
      </c>
      <c r="J3745" s="148" t="s">
        <v>63</v>
      </c>
      <c r="K3745" s="148" t="s">
        <v>64</v>
      </c>
      <c r="L3745" s="148" t="s">
        <v>65</v>
      </c>
      <c r="M3745" s="148" t="s">
        <v>66</v>
      </c>
      <c r="N3745" s="212">
        <v>46189.0</v>
      </c>
      <c r="O3745" s="148" t="s">
        <v>67</v>
      </c>
      <c r="P3745" s="148" t="s">
        <v>68</v>
      </c>
      <c r="Q3745" s="103"/>
      <c r="R3745" s="103"/>
      <c r="S3745" s="103"/>
      <c r="T3745" s="103"/>
      <c r="U3745" s="148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1">
        <v>3740.0</v>
      </c>
      <c r="B3746" s="180" t="s">
        <v>6272</v>
      </c>
      <c r="C3746" s="82" t="str">
        <f>VLOOKUP($B$7:$B$5000,SUM!$L$6:$L$500,1,FALSE)</f>
        <v>#N/A</v>
      </c>
      <c r="D3746" s="232" t="s">
        <v>6204</v>
      </c>
      <c r="E3746" s="198" t="s">
        <v>58</v>
      </c>
      <c r="F3746" s="199" t="s">
        <v>6205</v>
      </c>
      <c r="G3746" s="191" t="s">
        <v>6206</v>
      </c>
      <c r="H3746" s="229" t="s">
        <v>6273</v>
      </c>
      <c r="I3746" s="197" t="s">
        <v>6208</v>
      </c>
      <c r="J3746" s="148" t="s">
        <v>63</v>
      </c>
      <c r="K3746" s="148" t="s">
        <v>64</v>
      </c>
      <c r="L3746" s="148" t="s">
        <v>65</v>
      </c>
      <c r="M3746" s="148" t="s">
        <v>66</v>
      </c>
      <c r="N3746" s="212">
        <v>46189.0</v>
      </c>
      <c r="O3746" s="148" t="s">
        <v>67</v>
      </c>
      <c r="P3746" s="148" t="s">
        <v>68</v>
      </c>
      <c r="Q3746" s="103"/>
      <c r="R3746" s="103"/>
      <c r="S3746" s="103"/>
      <c r="T3746" s="103"/>
      <c r="U3746" s="148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1">
        <v>3741.0</v>
      </c>
      <c r="B3747" s="180" t="s">
        <v>6274</v>
      </c>
      <c r="C3747" s="82" t="str">
        <f>VLOOKUP($B$7:$B$5000,SUM!$L$6:$L$500,1,FALSE)</f>
        <v>#N/A</v>
      </c>
      <c r="D3747" s="232" t="s">
        <v>6204</v>
      </c>
      <c r="E3747" s="198" t="s">
        <v>58</v>
      </c>
      <c r="F3747" s="199" t="s">
        <v>6205</v>
      </c>
      <c r="G3747" s="191" t="s">
        <v>6206</v>
      </c>
      <c r="H3747" s="229" t="s">
        <v>6275</v>
      </c>
      <c r="I3747" s="197" t="s">
        <v>6208</v>
      </c>
      <c r="J3747" s="148" t="s">
        <v>63</v>
      </c>
      <c r="K3747" s="148" t="s">
        <v>64</v>
      </c>
      <c r="L3747" s="148" t="s">
        <v>65</v>
      </c>
      <c r="M3747" s="148" t="s">
        <v>66</v>
      </c>
      <c r="N3747" s="212">
        <v>46189.0</v>
      </c>
      <c r="O3747" s="148" t="s">
        <v>67</v>
      </c>
      <c r="P3747" s="148" t="s">
        <v>68</v>
      </c>
      <c r="Q3747" s="103"/>
      <c r="R3747" s="103"/>
      <c r="S3747" s="103"/>
      <c r="T3747" s="103"/>
      <c r="U3747" s="148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1">
        <v>3742.0</v>
      </c>
      <c r="B3748" s="180" t="s">
        <v>6276</v>
      </c>
      <c r="C3748" s="82" t="str">
        <f>VLOOKUP($B$7:$B$5000,SUM!$L$6:$L$500,1,FALSE)</f>
        <v>#N/A</v>
      </c>
      <c r="D3748" s="232" t="s">
        <v>6204</v>
      </c>
      <c r="E3748" s="198" t="s">
        <v>58</v>
      </c>
      <c r="F3748" s="199" t="s">
        <v>6205</v>
      </c>
      <c r="G3748" s="191" t="s">
        <v>6206</v>
      </c>
      <c r="H3748" s="229" t="s">
        <v>6277</v>
      </c>
      <c r="I3748" s="197" t="s">
        <v>6208</v>
      </c>
      <c r="J3748" s="148" t="s">
        <v>63</v>
      </c>
      <c r="K3748" s="148" t="s">
        <v>64</v>
      </c>
      <c r="L3748" s="148" t="s">
        <v>65</v>
      </c>
      <c r="M3748" s="148" t="s">
        <v>66</v>
      </c>
      <c r="N3748" s="212">
        <v>46189.0</v>
      </c>
      <c r="O3748" s="148" t="s">
        <v>67</v>
      </c>
      <c r="P3748" s="148" t="s">
        <v>68</v>
      </c>
      <c r="Q3748" s="103"/>
      <c r="R3748" s="103"/>
      <c r="S3748" s="103"/>
      <c r="T3748" s="103"/>
      <c r="U3748" s="148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1">
        <v>3743.0</v>
      </c>
      <c r="B3749" s="180" t="s">
        <v>6278</v>
      </c>
      <c r="C3749" s="82" t="str">
        <f>VLOOKUP($B$7:$B$5000,SUM!$L$6:$L$500,1,FALSE)</f>
        <v>#N/A</v>
      </c>
      <c r="D3749" s="232" t="s">
        <v>6204</v>
      </c>
      <c r="E3749" s="198" t="s">
        <v>58</v>
      </c>
      <c r="F3749" s="199" t="s">
        <v>6205</v>
      </c>
      <c r="G3749" s="191" t="s">
        <v>6206</v>
      </c>
      <c r="H3749" s="229" t="s">
        <v>6279</v>
      </c>
      <c r="I3749" s="197" t="s">
        <v>6208</v>
      </c>
      <c r="J3749" s="148" t="s">
        <v>63</v>
      </c>
      <c r="K3749" s="148" t="s">
        <v>64</v>
      </c>
      <c r="L3749" s="148" t="s">
        <v>65</v>
      </c>
      <c r="M3749" s="148" t="s">
        <v>66</v>
      </c>
      <c r="N3749" s="212">
        <v>46189.0</v>
      </c>
      <c r="O3749" s="148" t="s">
        <v>67</v>
      </c>
      <c r="P3749" s="148" t="s">
        <v>68</v>
      </c>
      <c r="Q3749" s="103"/>
      <c r="R3749" s="103"/>
      <c r="S3749" s="103"/>
      <c r="T3749" s="103"/>
      <c r="U3749" s="148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1">
        <v>3744.0</v>
      </c>
      <c r="B3750" s="180" t="s">
        <v>6280</v>
      </c>
      <c r="C3750" s="82" t="str">
        <f>VLOOKUP($B$7:$B$5000,SUM!$L$6:$L$500,1,FALSE)</f>
        <v>#N/A</v>
      </c>
      <c r="D3750" s="232" t="s">
        <v>6204</v>
      </c>
      <c r="E3750" s="198" t="s">
        <v>58</v>
      </c>
      <c r="F3750" s="199" t="s">
        <v>6205</v>
      </c>
      <c r="G3750" s="191" t="s">
        <v>6206</v>
      </c>
      <c r="H3750" s="229" t="s">
        <v>6281</v>
      </c>
      <c r="I3750" s="197" t="s">
        <v>6208</v>
      </c>
      <c r="J3750" s="148" t="s">
        <v>63</v>
      </c>
      <c r="K3750" s="148" t="s">
        <v>64</v>
      </c>
      <c r="L3750" s="148" t="s">
        <v>65</v>
      </c>
      <c r="M3750" s="148" t="s">
        <v>66</v>
      </c>
      <c r="N3750" s="212">
        <v>46189.0</v>
      </c>
      <c r="O3750" s="148" t="s">
        <v>67</v>
      </c>
      <c r="P3750" s="148" t="s">
        <v>68</v>
      </c>
      <c r="Q3750" s="103"/>
      <c r="R3750" s="103"/>
      <c r="S3750" s="103"/>
      <c r="T3750" s="103"/>
      <c r="U3750" s="148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1">
        <v>3745.0</v>
      </c>
      <c r="B3751" s="180" t="s">
        <v>6282</v>
      </c>
      <c r="C3751" s="82" t="str">
        <f>VLOOKUP($B$7:$B$5000,SUM!$L$6:$L$500,1,FALSE)</f>
        <v>#N/A</v>
      </c>
      <c r="D3751" s="190" t="s">
        <v>6283</v>
      </c>
      <c r="E3751" s="198" t="s">
        <v>58</v>
      </c>
      <c r="F3751" s="199" t="s">
        <v>105</v>
      </c>
      <c r="G3751" s="207" t="s">
        <v>1362</v>
      </c>
      <c r="H3751" s="233" t="s">
        <v>6284</v>
      </c>
      <c r="I3751" s="208" t="s">
        <v>6285</v>
      </c>
      <c r="J3751" s="148" t="s">
        <v>63</v>
      </c>
      <c r="K3751" s="148" t="s">
        <v>64</v>
      </c>
      <c r="L3751" s="148" t="s">
        <v>65</v>
      </c>
      <c r="M3751" s="148" t="s">
        <v>66</v>
      </c>
      <c r="N3751" s="234">
        <v>46190.0</v>
      </c>
      <c r="O3751" s="148" t="s">
        <v>67</v>
      </c>
      <c r="P3751" s="148" t="s">
        <v>68</v>
      </c>
      <c r="Q3751" s="103"/>
      <c r="R3751" s="103"/>
      <c r="S3751" s="103"/>
      <c r="T3751" s="103"/>
      <c r="U3751" s="148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1">
        <v>3746.0</v>
      </c>
      <c r="B3752" s="180" t="s">
        <v>6286</v>
      </c>
      <c r="C3752" s="82" t="str">
        <f>VLOOKUP($B$7:$B$5000,SUM!$L$6:$L$500,1,FALSE)</f>
        <v>#N/A</v>
      </c>
      <c r="D3752" s="190" t="s">
        <v>6283</v>
      </c>
      <c r="E3752" s="198" t="s">
        <v>58</v>
      </c>
      <c r="F3752" s="199" t="s">
        <v>105</v>
      </c>
      <c r="G3752" s="191" t="s">
        <v>1362</v>
      </c>
      <c r="H3752" s="225" t="s">
        <v>6287</v>
      </c>
      <c r="I3752" s="197" t="s">
        <v>6285</v>
      </c>
      <c r="J3752" s="148" t="s">
        <v>63</v>
      </c>
      <c r="K3752" s="148" t="s">
        <v>64</v>
      </c>
      <c r="L3752" s="148" t="s">
        <v>65</v>
      </c>
      <c r="M3752" s="148" t="s">
        <v>66</v>
      </c>
      <c r="N3752" s="234">
        <v>46190.0</v>
      </c>
      <c r="O3752" s="148" t="s">
        <v>67</v>
      </c>
      <c r="P3752" s="148" t="s">
        <v>68</v>
      </c>
      <c r="Q3752" s="103"/>
      <c r="R3752" s="103"/>
      <c r="S3752" s="103"/>
      <c r="T3752" s="103"/>
      <c r="U3752" s="148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1">
        <v>3747.0</v>
      </c>
      <c r="B3753" s="180" t="s">
        <v>6288</v>
      </c>
      <c r="C3753" s="82" t="str">
        <f>VLOOKUP($B$7:$B$5000,SUM!$L$6:$L$500,1,FALSE)</f>
        <v>#N/A</v>
      </c>
      <c r="D3753" s="190" t="s">
        <v>6283</v>
      </c>
      <c r="E3753" s="198" t="s">
        <v>58</v>
      </c>
      <c r="F3753" s="199" t="s">
        <v>105</v>
      </c>
      <c r="G3753" s="191" t="s">
        <v>1362</v>
      </c>
      <c r="H3753" s="225" t="s">
        <v>6289</v>
      </c>
      <c r="I3753" s="197" t="s">
        <v>6285</v>
      </c>
      <c r="J3753" s="148" t="s">
        <v>63</v>
      </c>
      <c r="K3753" s="148" t="s">
        <v>64</v>
      </c>
      <c r="L3753" s="148" t="s">
        <v>65</v>
      </c>
      <c r="M3753" s="148" t="s">
        <v>66</v>
      </c>
      <c r="N3753" s="234">
        <v>46190.0</v>
      </c>
      <c r="O3753" s="148" t="s">
        <v>67</v>
      </c>
      <c r="P3753" s="148" t="s">
        <v>68</v>
      </c>
      <c r="Q3753" s="103"/>
      <c r="R3753" s="103"/>
      <c r="S3753" s="103"/>
      <c r="T3753" s="103"/>
      <c r="U3753" s="148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1">
        <v>3748.0</v>
      </c>
      <c r="B3754" s="180" t="s">
        <v>6290</v>
      </c>
      <c r="C3754" s="82" t="str">
        <f>VLOOKUP($B$7:$B$5000,SUM!$L$6:$L$500,1,FALSE)</f>
        <v>#N/A</v>
      </c>
      <c r="D3754" s="190" t="s">
        <v>6283</v>
      </c>
      <c r="E3754" s="198" t="s">
        <v>58</v>
      </c>
      <c r="F3754" s="199" t="s">
        <v>105</v>
      </c>
      <c r="G3754" s="191" t="s">
        <v>1362</v>
      </c>
      <c r="H3754" s="225" t="s">
        <v>6291</v>
      </c>
      <c r="I3754" s="197" t="s">
        <v>6285</v>
      </c>
      <c r="J3754" s="148" t="s">
        <v>63</v>
      </c>
      <c r="K3754" s="148" t="s">
        <v>64</v>
      </c>
      <c r="L3754" s="148" t="s">
        <v>65</v>
      </c>
      <c r="M3754" s="148" t="s">
        <v>66</v>
      </c>
      <c r="N3754" s="234">
        <v>46190.0</v>
      </c>
      <c r="O3754" s="148" t="s">
        <v>67</v>
      </c>
      <c r="P3754" s="148" t="s">
        <v>68</v>
      </c>
      <c r="Q3754" s="103"/>
      <c r="R3754" s="103"/>
      <c r="S3754" s="103"/>
      <c r="T3754" s="103"/>
      <c r="U3754" s="148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1">
        <v>3749.0</v>
      </c>
      <c r="B3755" s="180" t="s">
        <v>6292</v>
      </c>
      <c r="C3755" s="82" t="str">
        <f>VLOOKUP($B$7:$B$5000,SUM!$L$6:$L$500,1,FALSE)</f>
        <v>#N/A</v>
      </c>
      <c r="D3755" s="190" t="s">
        <v>6283</v>
      </c>
      <c r="E3755" s="198" t="s">
        <v>58</v>
      </c>
      <c r="F3755" s="199" t="s">
        <v>105</v>
      </c>
      <c r="G3755" s="191" t="s">
        <v>1362</v>
      </c>
      <c r="H3755" s="225" t="s">
        <v>6293</v>
      </c>
      <c r="I3755" s="197" t="s">
        <v>6285</v>
      </c>
      <c r="J3755" s="148" t="s">
        <v>63</v>
      </c>
      <c r="K3755" s="148" t="s">
        <v>64</v>
      </c>
      <c r="L3755" s="148" t="s">
        <v>65</v>
      </c>
      <c r="M3755" s="148" t="s">
        <v>66</v>
      </c>
      <c r="N3755" s="234">
        <v>46190.0</v>
      </c>
      <c r="O3755" s="148" t="s">
        <v>67</v>
      </c>
      <c r="P3755" s="148" t="s">
        <v>68</v>
      </c>
      <c r="Q3755" s="103"/>
      <c r="R3755" s="103"/>
      <c r="S3755" s="103"/>
      <c r="T3755" s="103"/>
      <c r="U3755" s="148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1">
        <v>3750.0</v>
      </c>
      <c r="B3756" s="180" t="s">
        <v>6294</v>
      </c>
      <c r="C3756" s="82" t="str">
        <f>VLOOKUP($B$7:$B$5000,SUM!$L$6:$L$500,1,FALSE)</f>
        <v>#N/A</v>
      </c>
      <c r="D3756" s="190" t="s">
        <v>6283</v>
      </c>
      <c r="E3756" s="198" t="s">
        <v>58</v>
      </c>
      <c r="F3756" s="199" t="s">
        <v>105</v>
      </c>
      <c r="G3756" s="191" t="s">
        <v>1362</v>
      </c>
      <c r="H3756" s="225" t="s">
        <v>6295</v>
      </c>
      <c r="I3756" s="197" t="s">
        <v>6285</v>
      </c>
      <c r="J3756" s="148" t="s">
        <v>63</v>
      </c>
      <c r="K3756" s="148" t="s">
        <v>64</v>
      </c>
      <c r="L3756" s="148" t="s">
        <v>65</v>
      </c>
      <c r="M3756" s="148" t="s">
        <v>66</v>
      </c>
      <c r="N3756" s="234">
        <v>46190.0</v>
      </c>
      <c r="O3756" s="148" t="s">
        <v>67</v>
      </c>
      <c r="P3756" s="148" t="s">
        <v>68</v>
      </c>
      <c r="Q3756" s="103"/>
      <c r="R3756" s="103"/>
      <c r="S3756" s="103"/>
      <c r="T3756" s="103"/>
      <c r="U3756" s="148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1">
        <v>3751.0</v>
      </c>
      <c r="B3757" s="180" t="s">
        <v>6296</v>
      </c>
      <c r="C3757" s="82" t="str">
        <f>VLOOKUP($B$7:$B$5000,SUM!$L$6:$L$500,1,FALSE)</f>
        <v>#N/A</v>
      </c>
      <c r="D3757" s="190" t="s">
        <v>6283</v>
      </c>
      <c r="E3757" s="198" t="s">
        <v>58</v>
      </c>
      <c r="F3757" s="199" t="s">
        <v>105</v>
      </c>
      <c r="G3757" s="191" t="s">
        <v>1362</v>
      </c>
      <c r="H3757" s="225" t="s">
        <v>6297</v>
      </c>
      <c r="I3757" s="197" t="s">
        <v>6285</v>
      </c>
      <c r="J3757" s="148" t="s">
        <v>63</v>
      </c>
      <c r="K3757" s="148" t="s">
        <v>64</v>
      </c>
      <c r="L3757" s="148" t="s">
        <v>65</v>
      </c>
      <c r="M3757" s="148" t="s">
        <v>66</v>
      </c>
      <c r="N3757" s="234">
        <v>46190.0</v>
      </c>
      <c r="O3757" s="148" t="s">
        <v>67</v>
      </c>
      <c r="P3757" s="148" t="s">
        <v>68</v>
      </c>
      <c r="Q3757" s="103"/>
      <c r="R3757" s="103"/>
      <c r="S3757" s="103"/>
      <c r="T3757" s="103"/>
      <c r="U3757" s="148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1">
        <v>3752.0</v>
      </c>
      <c r="B3758" s="180" t="s">
        <v>6298</v>
      </c>
      <c r="C3758" s="82" t="str">
        <f>VLOOKUP($B$7:$B$5000,SUM!$L$6:$L$500,1,FALSE)</f>
        <v>#N/A</v>
      </c>
      <c r="D3758" s="190" t="s">
        <v>6283</v>
      </c>
      <c r="E3758" s="198" t="s">
        <v>58</v>
      </c>
      <c r="F3758" s="199" t="s">
        <v>105</v>
      </c>
      <c r="G3758" s="191" t="s">
        <v>1362</v>
      </c>
      <c r="H3758" s="225" t="s">
        <v>6299</v>
      </c>
      <c r="I3758" s="197" t="s">
        <v>6285</v>
      </c>
      <c r="J3758" s="148" t="s">
        <v>63</v>
      </c>
      <c r="K3758" s="148" t="s">
        <v>64</v>
      </c>
      <c r="L3758" s="148" t="s">
        <v>65</v>
      </c>
      <c r="M3758" s="148" t="s">
        <v>66</v>
      </c>
      <c r="N3758" s="234">
        <v>46190.0</v>
      </c>
      <c r="O3758" s="148" t="s">
        <v>67</v>
      </c>
      <c r="P3758" s="148" t="s">
        <v>68</v>
      </c>
      <c r="Q3758" s="103"/>
      <c r="R3758" s="103"/>
      <c r="S3758" s="103"/>
      <c r="T3758" s="103"/>
      <c r="U3758" s="148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1">
        <v>3753.0</v>
      </c>
      <c r="B3759" s="180" t="s">
        <v>6300</v>
      </c>
      <c r="C3759" s="82" t="str">
        <f>VLOOKUP($B$7:$B$5000,SUM!$L$6:$L$500,1,FALSE)</f>
        <v>#N/A</v>
      </c>
      <c r="D3759" s="190" t="s">
        <v>6283</v>
      </c>
      <c r="E3759" s="198" t="s">
        <v>58</v>
      </c>
      <c r="F3759" s="199" t="s">
        <v>105</v>
      </c>
      <c r="G3759" s="191" t="s">
        <v>1362</v>
      </c>
      <c r="H3759" s="225" t="s">
        <v>6301</v>
      </c>
      <c r="I3759" s="197" t="s">
        <v>6285</v>
      </c>
      <c r="J3759" s="148" t="s">
        <v>63</v>
      </c>
      <c r="K3759" s="148" t="s">
        <v>64</v>
      </c>
      <c r="L3759" s="148" t="s">
        <v>65</v>
      </c>
      <c r="M3759" s="148" t="s">
        <v>66</v>
      </c>
      <c r="N3759" s="234">
        <v>46190.0</v>
      </c>
      <c r="O3759" s="148" t="s">
        <v>67</v>
      </c>
      <c r="P3759" s="148" t="s">
        <v>68</v>
      </c>
      <c r="Q3759" s="103"/>
      <c r="R3759" s="103"/>
      <c r="S3759" s="103"/>
      <c r="T3759" s="103"/>
      <c r="U3759" s="148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1">
        <v>3754.0</v>
      </c>
      <c r="B3760" s="180" t="s">
        <v>6302</v>
      </c>
      <c r="C3760" s="82" t="str">
        <f>VLOOKUP($B$7:$B$5000,SUM!$L$6:$L$500,1,FALSE)</f>
        <v>#N/A</v>
      </c>
      <c r="D3760" s="190" t="s">
        <v>6283</v>
      </c>
      <c r="E3760" s="198" t="s">
        <v>58</v>
      </c>
      <c r="F3760" s="199" t="s">
        <v>105</v>
      </c>
      <c r="G3760" s="191" t="s">
        <v>1362</v>
      </c>
      <c r="H3760" s="225" t="s">
        <v>6303</v>
      </c>
      <c r="I3760" s="197" t="s">
        <v>6285</v>
      </c>
      <c r="J3760" s="148" t="s">
        <v>63</v>
      </c>
      <c r="K3760" s="148" t="s">
        <v>64</v>
      </c>
      <c r="L3760" s="148" t="s">
        <v>65</v>
      </c>
      <c r="M3760" s="148" t="s">
        <v>66</v>
      </c>
      <c r="N3760" s="234">
        <v>46190.0</v>
      </c>
      <c r="O3760" s="148" t="s">
        <v>67</v>
      </c>
      <c r="P3760" s="148" t="s">
        <v>68</v>
      </c>
      <c r="Q3760" s="103"/>
      <c r="R3760" s="103"/>
      <c r="S3760" s="103"/>
      <c r="T3760" s="103"/>
      <c r="U3760" s="148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1">
        <v>3755.0</v>
      </c>
      <c r="B3761" s="180" t="s">
        <v>6304</v>
      </c>
      <c r="C3761" s="82" t="str">
        <f>VLOOKUP($B$7:$B$5000,SUM!$L$6:$L$500,1,FALSE)</f>
        <v>#N/A</v>
      </c>
      <c r="D3761" s="190" t="s">
        <v>6283</v>
      </c>
      <c r="E3761" s="198" t="s">
        <v>58</v>
      </c>
      <c r="F3761" s="199" t="s">
        <v>105</v>
      </c>
      <c r="G3761" s="191" t="s">
        <v>1362</v>
      </c>
      <c r="H3761" s="225" t="s">
        <v>6305</v>
      </c>
      <c r="I3761" s="197" t="s">
        <v>6285</v>
      </c>
      <c r="J3761" s="148" t="s">
        <v>63</v>
      </c>
      <c r="K3761" s="148" t="s">
        <v>64</v>
      </c>
      <c r="L3761" s="148" t="s">
        <v>65</v>
      </c>
      <c r="M3761" s="148" t="s">
        <v>66</v>
      </c>
      <c r="N3761" s="234">
        <v>46190.0</v>
      </c>
      <c r="O3761" s="148" t="s">
        <v>67</v>
      </c>
      <c r="P3761" s="148" t="s">
        <v>68</v>
      </c>
      <c r="Q3761" s="103"/>
      <c r="R3761" s="103"/>
      <c r="S3761" s="103"/>
      <c r="T3761" s="103"/>
      <c r="U3761" s="148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1">
        <v>3756.0</v>
      </c>
      <c r="B3762" s="180" t="s">
        <v>6306</v>
      </c>
      <c r="C3762" s="82" t="str">
        <f>VLOOKUP($B$7:$B$5000,SUM!$L$6:$L$500,1,FALSE)</f>
        <v>#N/A</v>
      </c>
      <c r="D3762" s="190" t="s">
        <v>6283</v>
      </c>
      <c r="E3762" s="198" t="s">
        <v>58</v>
      </c>
      <c r="F3762" s="199" t="s">
        <v>105</v>
      </c>
      <c r="G3762" s="191" t="s">
        <v>1362</v>
      </c>
      <c r="H3762" s="225" t="s">
        <v>6307</v>
      </c>
      <c r="I3762" s="197" t="s">
        <v>6285</v>
      </c>
      <c r="J3762" s="148" t="s">
        <v>63</v>
      </c>
      <c r="K3762" s="148" t="s">
        <v>64</v>
      </c>
      <c r="L3762" s="148" t="s">
        <v>65</v>
      </c>
      <c r="M3762" s="148" t="s">
        <v>66</v>
      </c>
      <c r="N3762" s="234">
        <v>46190.0</v>
      </c>
      <c r="O3762" s="148" t="s">
        <v>67</v>
      </c>
      <c r="P3762" s="148" t="s">
        <v>68</v>
      </c>
      <c r="Q3762" s="103"/>
      <c r="R3762" s="103"/>
      <c r="S3762" s="103"/>
      <c r="T3762" s="103"/>
      <c r="U3762" s="148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1">
        <v>3757.0</v>
      </c>
      <c r="B3763" s="180" t="s">
        <v>6308</v>
      </c>
      <c r="C3763" s="82" t="str">
        <f>VLOOKUP($B$7:$B$5000,SUM!$L$6:$L$500,1,FALSE)</f>
        <v>#N/A</v>
      </c>
      <c r="D3763" s="190" t="s">
        <v>6283</v>
      </c>
      <c r="E3763" s="198" t="s">
        <v>58</v>
      </c>
      <c r="F3763" s="199" t="s">
        <v>105</v>
      </c>
      <c r="G3763" s="191" t="s">
        <v>1362</v>
      </c>
      <c r="H3763" s="225" t="s">
        <v>6309</v>
      </c>
      <c r="I3763" s="197" t="s">
        <v>6285</v>
      </c>
      <c r="J3763" s="148" t="s">
        <v>63</v>
      </c>
      <c r="K3763" s="148" t="s">
        <v>64</v>
      </c>
      <c r="L3763" s="148" t="s">
        <v>65</v>
      </c>
      <c r="M3763" s="148" t="s">
        <v>66</v>
      </c>
      <c r="N3763" s="234">
        <v>46190.0</v>
      </c>
      <c r="O3763" s="148" t="s">
        <v>67</v>
      </c>
      <c r="P3763" s="148" t="s">
        <v>68</v>
      </c>
      <c r="Q3763" s="103"/>
      <c r="R3763" s="103"/>
      <c r="S3763" s="103"/>
      <c r="T3763" s="103"/>
      <c r="U3763" s="148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1">
        <v>3758.0</v>
      </c>
      <c r="B3764" s="180" t="s">
        <v>6310</v>
      </c>
      <c r="C3764" s="82" t="str">
        <f>VLOOKUP($B$7:$B$5000,SUM!$L$6:$L$500,1,FALSE)</f>
        <v>#N/A</v>
      </c>
      <c r="D3764" s="190" t="s">
        <v>6283</v>
      </c>
      <c r="E3764" s="198" t="s">
        <v>58</v>
      </c>
      <c r="F3764" s="199" t="s">
        <v>105</v>
      </c>
      <c r="G3764" s="191" t="s">
        <v>1362</v>
      </c>
      <c r="H3764" s="225" t="s">
        <v>6311</v>
      </c>
      <c r="I3764" s="197" t="s">
        <v>6285</v>
      </c>
      <c r="J3764" s="148" t="s">
        <v>63</v>
      </c>
      <c r="K3764" s="148" t="s">
        <v>64</v>
      </c>
      <c r="L3764" s="148" t="s">
        <v>65</v>
      </c>
      <c r="M3764" s="148" t="s">
        <v>66</v>
      </c>
      <c r="N3764" s="234">
        <v>46190.0</v>
      </c>
      <c r="O3764" s="148" t="s">
        <v>67</v>
      </c>
      <c r="P3764" s="148" t="s">
        <v>68</v>
      </c>
      <c r="Q3764" s="103"/>
      <c r="R3764" s="103"/>
      <c r="S3764" s="103"/>
      <c r="T3764" s="103"/>
      <c r="U3764" s="148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1">
        <v>3759.0</v>
      </c>
      <c r="B3765" s="180" t="s">
        <v>6312</v>
      </c>
      <c r="C3765" s="82" t="str">
        <f>VLOOKUP($B$7:$B$5000,SUM!$L$6:$L$500,1,FALSE)</f>
        <v>#N/A</v>
      </c>
      <c r="D3765" s="190" t="s">
        <v>6283</v>
      </c>
      <c r="E3765" s="198" t="s">
        <v>58</v>
      </c>
      <c r="F3765" s="199" t="s">
        <v>105</v>
      </c>
      <c r="G3765" s="191" t="s">
        <v>1362</v>
      </c>
      <c r="H3765" s="225" t="s">
        <v>6313</v>
      </c>
      <c r="I3765" s="197" t="s">
        <v>6285</v>
      </c>
      <c r="J3765" s="148" t="s">
        <v>63</v>
      </c>
      <c r="K3765" s="148" t="s">
        <v>64</v>
      </c>
      <c r="L3765" s="148" t="s">
        <v>65</v>
      </c>
      <c r="M3765" s="148" t="s">
        <v>66</v>
      </c>
      <c r="N3765" s="234">
        <v>46190.0</v>
      </c>
      <c r="O3765" s="148" t="s">
        <v>67</v>
      </c>
      <c r="P3765" s="148" t="s">
        <v>68</v>
      </c>
      <c r="Q3765" s="103"/>
      <c r="R3765" s="103"/>
      <c r="S3765" s="103"/>
      <c r="T3765" s="103"/>
      <c r="U3765" s="148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1">
        <v>3760.0</v>
      </c>
      <c r="B3766" s="180" t="s">
        <v>6314</v>
      </c>
      <c r="C3766" s="82" t="str">
        <f>VLOOKUP($B$7:$B$5000,SUM!$L$6:$L$500,1,FALSE)</f>
        <v>#N/A</v>
      </c>
      <c r="D3766" s="190" t="s">
        <v>6283</v>
      </c>
      <c r="E3766" s="198" t="s">
        <v>58</v>
      </c>
      <c r="F3766" s="199" t="s">
        <v>105</v>
      </c>
      <c r="G3766" s="191" t="s">
        <v>1362</v>
      </c>
      <c r="H3766" s="225" t="s">
        <v>6315</v>
      </c>
      <c r="I3766" s="197" t="s">
        <v>6285</v>
      </c>
      <c r="J3766" s="148" t="s">
        <v>63</v>
      </c>
      <c r="K3766" s="148" t="s">
        <v>64</v>
      </c>
      <c r="L3766" s="148" t="s">
        <v>65</v>
      </c>
      <c r="M3766" s="148" t="s">
        <v>66</v>
      </c>
      <c r="N3766" s="234">
        <v>46190.0</v>
      </c>
      <c r="O3766" s="148" t="s">
        <v>67</v>
      </c>
      <c r="P3766" s="148" t="s">
        <v>68</v>
      </c>
      <c r="Q3766" s="103"/>
      <c r="R3766" s="103"/>
      <c r="S3766" s="103"/>
      <c r="T3766" s="103"/>
      <c r="U3766" s="148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1">
        <v>3761.0</v>
      </c>
      <c r="B3767" s="180" t="s">
        <v>6316</v>
      </c>
      <c r="C3767" s="82" t="str">
        <f>VLOOKUP($B$7:$B$5000,SUM!$L$6:$L$500,1,FALSE)</f>
        <v>#N/A</v>
      </c>
      <c r="D3767" s="190" t="s">
        <v>6283</v>
      </c>
      <c r="E3767" s="198" t="s">
        <v>58</v>
      </c>
      <c r="F3767" s="199" t="s">
        <v>105</v>
      </c>
      <c r="G3767" s="191" t="s">
        <v>1362</v>
      </c>
      <c r="H3767" s="225" t="s">
        <v>6317</v>
      </c>
      <c r="I3767" s="197" t="s">
        <v>6285</v>
      </c>
      <c r="J3767" s="148" t="s">
        <v>63</v>
      </c>
      <c r="K3767" s="148" t="s">
        <v>64</v>
      </c>
      <c r="L3767" s="148" t="s">
        <v>65</v>
      </c>
      <c r="M3767" s="148" t="s">
        <v>66</v>
      </c>
      <c r="N3767" s="234">
        <v>46190.0</v>
      </c>
      <c r="O3767" s="148" t="s">
        <v>67</v>
      </c>
      <c r="P3767" s="148" t="s">
        <v>68</v>
      </c>
      <c r="Q3767" s="103"/>
      <c r="R3767" s="103"/>
      <c r="S3767" s="103"/>
      <c r="T3767" s="103"/>
      <c r="U3767" s="148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1">
        <v>3762.0</v>
      </c>
      <c r="B3768" s="180" t="s">
        <v>6318</v>
      </c>
      <c r="C3768" s="82" t="str">
        <f>VLOOKUP($B$7:$B$5000,SUM!$L$6:$L$500,1,FALSE)</f>
        <v>#N/A</v>
      </c>
      <c r="D3768" s="190" t="s">
        <v>6283</v>
      </c>
      <c r="E3768" s="198" t="s">
        <v>58</v>
      </c>
      <c r="F3768" s="199" t="s">
        <v>105</v>
      </c>
      <c r="G3768" s="191" t="s">
        <v>1362</v>
      </c>
      <c r="H3768" s="225" t="s">
        <v>6319</v>
      </c>
      <c r="I3768" s="197" t="s">
        <v>6285</v>
      </c>
      <c r="J3768" s="148" t="s">
        <v>63</v>
      </c>
      <c r="K3768" s="148" t="s">
        <v>64</v>
      </c>
      <c r="L3768" s="148" t="s">
        <v>65</v>
      </c>
      <c r="M3768" s="148" t="s">
        <v>66</v>
      </c>
      <c r="N3768" s="234">
        <v>46190.0</v>
      </c>
      <c r="O3768" s="148" t="s">
        <v>67</v>
      </c>
      <c r="P3768" s="148" t="s">
        <v>68</v>
      </c>
      <c r="Q3768" s="103"/>
      <c r="R3768" s="103"/>
      <c r="S3768" s="103"/>
      <c r="T3768" s="103"/>
      <c r="U3768" s="148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1">
        <v>3763.0</v>
      </c>
      <c r="B3769" s="180" t="s">
        <v>6320</v>
      </c>
      <c r="C3769" s="82" t="str">
        <f>VLOOKUP($B$7:$B$5000,SUM!$L$6:$L$500,1,FALSE)</f>
        <v>#N/A</v>
      </c>
      <c r="D3769" s="190" t="s">
        <v>6283</v>
      </c>
      <c r="E3769" s="198" t="s">
        <v>58</v>
      </c>
      <c r="F3769" s="199" t="s">
        <v>105</v>
      </c>
      <c r="G3769" s="191" t="s">
        <v>1362</v>
      </c>
      <c r="H3769" s="225" t="s">
        <v>6321</v>
      </c>
      <c r="I3769" s="197" t="s">
        <v>6285</v>
      </c>
      <c r="J3769" s="148" t="s">
        <v>63</v>
      </c>
      <c r="K3769" s="148" t="s">
        <v>64</v>
      </c>
      <c r="L3769" s="148" t="s">
        <v>65</v>
      </c>
      <c r="M3769" s="148" t="s">
        <v>66</v>
      </c>
      <c r="N3769" s="234">
        <v>46190.0</v>
      </c>
      <c r="O3769" s="148" t="s">
        <v>67</v>
      </c>
      <c r="P3769" s="148" t="s">
        <v>68</v>
      </c>
      <c r="Q3769" s="103"/>
      <c r="R3769" s="103"/>
      <c r="S3769" s="103"/>
      <c r="T3769" s="103"/>
      <c r="U3769" s="148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1">
        <v>3764.0</v>
      </c>
      <c r="B3770" s="180" t="s">
        <v>6322</v>
      </c>
      <c r="C3770" s="82" t="str">
        <f>VLOOKUP($B$7:$B$5000,SUM!$L$6:$L$500,1,FALSE)</f>
        <v>#N/A</v>
      </c>
      <c r="D3770" s="190" t="s">
        <v>6283</v>
      </c>
      <c r="E3770" s="198" t="s">
        <v>58</v>
      </c>
      <c r="F3770" s="199" t="s">
        <v>105</v>
      </c>
      <c r="G3770" s="191" t="s">
        <v>1362</v>
      </c>
      <c r="H3770" s="225" t="s">
        <v>6323</v>
      </c>
      <c r="I3770" s="197" t="s">
        <v>6285</v>
      </c>
      <c r="J3770" s="148" t="s">
        <v>63</v>
      </c>
      <c r="K3770" s="148" t="s">
        <v>64</v>
      </c>
      <c r="L3770" s="148" t="s">
        <v>65</v>
      </c>
      <c r="M3770" s="148" t="s">
        <v>66</v>
      </c>
      <c r="N3770" s="234">
        <v>46190.0</v>
      </c>
      <c r="O3770" s="148" t="s">
        <v>67</v>
      </c>
      <c r="P3770" s="148" t="s">
        <v>68</v>
      </c>
      <c r="Q3770" s="103"/>
      <c r="R3770" s="103"/>
      <c r="S3770" s="103"/>
      <c r="T3770" s="103"/>
      <c r="U3770" s="148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1">
        <v>3765.0</v>
      </c>
      <c r="B3771" s="180" t="s">
        <v>6324</v>
      </c>
      <c r="C3771" s="82" t="str">
        <f>VLOOKUP($B$7:$B$5000,SUM!$L$6:$L$500,1,FALSE)</f>
        <v>#N/A</v>
      </c>
      <c r="D3771" s="190" t="s">
        <v>6283</v>
      </c>
      <c r="E3771" s="198" t="s">
        <v>58</v>
      </c>
      <c r="F3771" s="199" t="s">
        <v>105</v>
      </c>
      <c r="G3771" s="191" t="s">
        <v>1362</v>
      </c>
      <c r="H3771" s="225" t="s">
        <v>6325</v>
      </c>
      <c r="I3771" s="197" t="s">
        <v>6285</v>
      </c>
      <c r="J3771" s="148" t="s">
        <v>63</v>
      </c>
      <c r="K3771" s="148" t="s">
        <v>64</v>
      </c>
      <c r="L3771" s="148" t="s">
        <v>65</v>
      </c>
      <c r="M3771" s="148" t="s">
        <v>66</v>
      </c>
      <c r="N3771" s="234">
        <v>46190.0</v>
      </c>
      <c r="O3771" s="148" t="s">
        <v>67</v>
      </c>
      <c r="P3771" s="148" t="s">
        <v>68</v>
      </c>
      <c r="Q3771" s="103"/>
      <c r="R3771" s="103"/>
      <c r="S3771" s="103"/>
      <c r="T3771" s="103"/>
      <c r="U3771" s="148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1">
        <v>3766.0</v>
      </c>
      <c r="B3772" s="180" t="s">
        <v>6326</v>
      </c>
      <c r="C3772" s="82" t="str">
        <f>VLOOKUP($B$7:$B$5000,SUM!$L$6:$L$500,1,FALSE)</f>
        <v>#N/A</v>
      </c>
      <c r="D3772" s="190" t="s">
        <v>6283</v>
      </c>
      <c r="E3772" s="198" t="s">
        <v>58</v>
      </c>
      <c r="F3772" s="199" t="s">
        <v>105</v>
      </c>
      <c r="G3772" s="191" t="s">
        <v>1362</v>
      </c>
      <c r="H3772" s="225" t="s">
        <v>6327</v>
      </c>
      <c r="I3772" s="197" t="s">
        <v>6285</v>
      </c>
      <c r="J3772" s="148" t="s">
        <v>63</v>
      </c>
      <c r="K3772" s="148" t="s">
        <v>64</v>
      </c>
      <c r="L3772" s="148" t="s">
        <v>65</v>
      </c>
      <c r="M3772" s="148" t="s">
        <v>66</v>
      </c>
      <c r="N3772" s="234">
        <v>46190.0</v>
      </c>
      <c r="O3772" s="148" t="s">
        <v>67</v>
      </c>
      <c r="P3772" s="148" t="s">
        <v>68</v>
      </c>
      <c r="Q3772" s="103"/>
      <c r="R3772" s="103"/>
      <c r="S3772" s="103"/>
      <c r="T3772" s="103"/>
      <c r="U3772" s="148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1">
        <v>3767.0</v>
      </c>
      <c r="B3773" s="180" t="s">
        <v>6328</v>
      </c>
      <c r="C3773" s="82" t="str">
        <f>VLOOKUP($B$7:$B$5000,SUM!$L$6:$L$500,1,FALSE)</f>
        <v>#N/A</v>
      </c>
      <c r="D3773" s="190" t="s">
        <v>6283</v>
      </c>
      <c r="E3773" s="198" t="s">
        <v>58</v>
      </c>
      <c r="F3773" s="199" t="s">
        <v>105</v>
      </c>
      <c r="G3773" s="191" t="s">
        <v>1362</v>
      </c>
      <c r="H3773" s="225" t="s">
        <v>6329</v>
      </c>
      <c r="I3773" s="197" t="s">
        <v>6285</v>
      </c>
      <c r="J3773" s="148" t="s">
        <v>63</v>
      </c>
      <c r="K3773" s="148" t="s">
        <v>64</v>
      </c>
      <c r="L3773" s="148" t="s">
        <v>65</v>
      </c>
      <c r="M3773" s="148" t="s">
        <v>66</v>
      </c>
      <c r="N3773" s="234">
        <v>46190.0</v>
      </c>
      <c r="O3773" s="148" t="s">
        <v>67</v>
      </c>
      <c r="P3773" s="148" t="s">
        <v>68</v>
      </c>
      <c r="Q3773" s="103"/>
      <c r="R3773" s="103"/>
      <c r="S3773" s="103"/>
      <c r="T3773" s="103"/>
      <c r="U3773" s="148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1">
        <v>3768.0</v>
      </c>
      <c r="B3774" s="180" t="s">
        <v>6330</v>
      </c>
      <c r="C3774" s="82" t="str">
        <f>VLOOKUP($B$7:$B$5000,SUM!$L$6:$L$500,1,FALSE)</f>
        <v>#N/A</v>
      </c>
      <c r="D3774" s="190" t="s">
        <v>6283</v>
      </c>
      <c r="E3774" s="198" t="s">
        <v>58</v>
      </c>
      <c r="F3774" s="199" t="s">
        <v>105</v>
      </c>
      <c r="G3774" s="191" t="s">
        <v>1362</v>
      </c>
      <c r="H3774" s="225" t="s">
        <v>6331</v>
      </c>
      <c r="I3774" s="197" t="s">
        <v>6285</v>
      </c>
      <c r="J3774" s="148" t="s">
        <v>63</v>
      </c>
      <c r="K3774" s="148" t="s">
        <v>64</v>
      </c>
      <c r="L3774" s="148" t="s">
        <v>65</v>
      </c>
      <c r="M3774" s="148" t="s">
        <v>66</v>
      </c>
      <c r="N3774" s="234">
        <v>46190.0</v>
      </c>
      <c r="O3774" s="148" t="s">
        <v>67</v>
      </c>
      <c r="P3774" s="148" t="s">
        <v>68</v>
      </c>
      <c r="Q3774" s="103"/>
      <c r="R3774" s="103"/>
      <c r="S3774" s="103"/>
      <c r="T3774" s="103"/>
      <c r="U3774" s="148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1">
        <v>3769.0</v>
      </c>
      <c r="B3775" s="180" t="s">
        <v>6332</v>
      </c>
      <c r="C3775" s="82" t="str">
        <f>VLOOKUP($B$7:$B$5000,SUM!$L$6:$L$500,1,FALSE)</f>
        <v>#N/A</v>
      </c>
      <c r="D3775" s="190" t="s">
        <v>6283</v>
      </c>
      <c r="E3775" s="198" t="s">
        <v>58</v>
      </c>
      <c r="F3775" s="199" t="s">
        <v>105</v>
      </c>
      <c r="G3775" s="191" t="s">
        <v>1362</v>
      </c>
      <c r="H3775" s="225" t="s">
        <v>6333</v>
      </c>
      <c r="I3775" s="197" t="s">
        <v>6285</v>
      </c>
      <c r="J3775" s="148" t="s">
        <v>63</v>
      </c>
      <c r="K3775" s="148" t="s">
        <v>64</v>
      </c>
      <c r="L3775" s="148" t="s">
        <v>65</v>
      </c>
      <c r="M3775" s="148" t="s">
        <v>66</v>
      </c>
      <c r="N3775" s="234">
        <v>46190.0</v>
      </c>
      <c r="O3775" s="148" t="s">
        <v>67</v>
      </c>
      <c r="P3775" s="148" t="s">
        <v>68</v>
      </c>
      <c r="Q3775" s="103"/>
      <c r="R3775" s="103"/>
      <c r="S3775" s="103"/>
      <c r="T3775" s="103"/>
      <c r="U3775" s="148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1">
        <v>3770.0</v>
      </c>
      <c r="B3776" s="180" t="s">
        <v>6334</v>
      </c>
      <c r="C3776" s="82" t="str">
        <f>VLOOKUP($B$7:$B$5000,SUM!$L$6:$L$500,1,FALSE)</f>
        <v>#N/A</v>
      </c>
      <c r="D3776" s="190" t="s">
        <v>6283</v>
      </c>
      <c r="E3776" s="198" t="s">
        <v>58</v>
      </c>
      <c r="F3776" s="199" t="s">
        <v>105</v>
      </c>
      <c r="G3776" s="191" t="s">
        <v>1362</v>
      </c>
      <c r="H3776" s="225" t="s">
        <v>6335</v>
      </c>
      <c r="I3776" s="197" t="s">
        <v>6285</v>
      </c>
      <c r="J3776" s="148" t="s">
        <v>63</v>
      </c>
      <c r="K3776" s="148" t="s">
        <v>64</v>
      </c>
      <c r="L3776" s="148" t="s">
        <v>65</v>
      </c>
      <c r="M3776" s="148" t="s">
        <v>66</v>
      </c>
      <c r="N3776" s="234">
        <v>46190.0</v>
      </c>
      <c r="O3776" s="148" t="s">
        <v>67</v>
      </c>
      <c r="P3776" s="148" t="s">
        <v>68</v>
      </c>
      <c r="Q3776" s="103"/>
      <c r="R3776" s="103"/>
      <c r="S3776" s="103"/>
      <c r="T3776" s="103"/>
      <c r="U3776" s="148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1">
        <v>3771.0</v>
      </c>
      <c r="B3777" s="180" t="s">
        <v>6336</v>
      </c>
      <c r="C3777" s="82" t="str">
        <f>VLOOKUP($B$7:$B$5000,SUM!$L$6:$L$500,1,FALSE)</f>
        <v>#N/A</v>
      </c>
      <c r="D3777" s="190" t="s">
        <v>6283</v>
      </c>
      <c r="E3777" s="198" t="s">
        <v>58</v>
      </c>
      <c r="F3777" s="199" t="s">
        <v>105</v>
      </c>
      <c r="G3777" s="191" t="s">
        <v>1362</v>
      </c>
      <c r="H3777" s="225" t="s">
        <v>6337</v>
      </c>
      <c r="I3777" s="197" t="s">
        <v>6285</v>
      </c>
      <c r="J3777" s="148" t="s">
        <v>63</v>
      </c>
      <c r="K3777" s="148" t="s">
        <v>64</v>
      </c>
      <c r="L3777" s="148" t="s">
        <v>65</v>
      </c>
      <c r="M3777" s="148" t="s">
        <v>66</v>
      </c>
      <c r="N3777" s="234">
        <v>46190.0</v>
      </c>
      <c r="O3777" s="148" t="s">
        <v>67</v>
      </c>
      <c r="P3777" s="148" t="s">
        <v>68</v>
      </c>
      <c r="Q3777" s="103"/>
      <c r="R3777" s="103"/>
      <c r="S3777" s="103"/>
      <c r="T3777" s="103"/>
      <c r="U3777" s="148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1">
        <v>3772.0</v>
      </c>
      <c r="B3778" s="180" t="s">
        <v>6338</v>
      </c>
      <c r="C3778" s="82" t="str">
        <f>VLOOKUP($B$7:$B$5000,SUM!$L$6:$L$500,1,FALSE)</f>
        <v>#N/A</v>
      </c>
      <c r="D3778" s="190" t="s">
        <v>6283</v>
      </c>
      <c r="E3778" s="198" t="s">
        <v>58</v>
      </c>
      <c r="F3778" s="199" t="s">
        <v>105</v>
      </c>
      <c r="G3778" s="191" t="s">
        <v>1362</v>
      </c>
      <c r="H3778" s="225" t="s">
        <v>6339</v>
      </c>
      <c r="I3778" s="197" t="s">
        <v>6285</v>
      </c>
      <c r="J3778" s="148" t="s">
        <v>63</v>
      </c>
      <c r="K3778" s="148" t="s">
        <v>64</v>
      </c>
      <c r="L3778" s="148" t="s">
        <v>65</v>
      </c>
      <c r="M3778" s="148" t="s">
        <v>66</v>
      </c>
      <c r="N3778" s="234">
        <v>46190.0</v>
      </c>
      <c r="O3778" s="148" t="s">
        <v>67</v>
      </c>
      <c r="P3778" s="148" t="s">
        <v>68</v>
      </c>
      <c r="Q3778" s="103"/>
      <c r="R3778" s="103"/>
      <c r="S3778" s="103"/>
      <c r="T3778" s="103"/>
      <c r="U3778" s="148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1">
        <v>3773.0</v>
      </c>
      <c r="B3779" s="180" t="s">
        <v>6340</v>
      </c>
      <c r="C3779" s="82" t="str">
        <f>VLOOKUP($B$7:$B$5000,SUM!$L$6:$L$500,1,FALSE)</f>
        <v>#N/A</v>
      </c>
      <c r="D3779" s="190" t="s">
        <v>6283</v>
      </c>
      <c r="E3779" s="198" t="s">
        <v>58</v>
      </c>
      <c r="F3779" s="199" t="s">
        <v>105</v>
      </c>
      <c r="G3779" s="191" t="s">
        <v>1362</v>
      </c>
      <c r="H3779" s="225" t="s">
        <v>6341</v>
      </c>
      <c r="I3779" s="197" t="s">
        <v>6285</v>
      </c>
      <c r="J3779" s="148" t="s">
        <v>63</v>
      </c>
      <c r="K3779" s="148" t="s">
        <v>64</v>
      </c>
      <c r="L3779" s="148" t="s">
        <v>65</v>
      </c>
      <c r="M3779" s="148" t="s">
        <v>66</v>
      </c>
      <c r="N3779" s="234">
        <v>46190.0</v>
      </c>
      <c r="O3779" s="148" t="s">
        <v>67</v>
      </c>
      <c r="P3779" s="148" t="s">
        <v>68</v>
      </c>
      <c r="Q3779" s="103"/>
      <c r="R3779" s="103"/>
      <c r="S3779" s="103"/>
      <c r="T3779" s="103"/>
      <c r="U3779" s="148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1">
        <v>3774.0</v>
      </c>
      <c r="B3780" s="180" t="s">
        <v>6342</v>
      </c>
      <c r="C3780" s="82" t="str">
        <f>VLOOKUP($B$7:$B$5000,SUM!$L$6:$L$500,1,FALSE)</f>
        <v>#N/A</v>
      </c>
      <c r="D3780" s="190" t="s">
        <v>6283</v>
      </c>
      <c r="E3780" s="198" t="s">
        <v>58</v>
      </c>
      <c r="F3780" s="199" t="s">
        <v>105</v>
      </c>
      <c r="G3780" s="191" t="s">
        <v>1362</v>
      </c>
      <c r="H3780" s="225" t="s">
        <v>6343</v>
      </c>
      <c r="I3780" s="197" t="s">
        <v>6285</v>
      </c>
      <c r="J3780" s="148" t="s">
        <v>63</v>
      </c>
      <c r="K3780" s="148" t="s">
        <v>64</v>
      </c>
      <c r="L3780" s="148" t="s">
        <v>65</v>
      </c>
      <c r="M3780" s="148" t="s">
        <v>66</v>
      </c>
      <c r="N3780" s="234">
        <v>46190.0</v>
      </c>
      <c r="O3780" s="148" t="s">
        <v>67</v>
      </c>
      <c r="P3780" s="148" t="s">
        <v>68</v>
      </c>
      <c r="Q3780" s="103"/>
      <c r="R3780" s="103"/>
      <c r="S3780" s="103"/>
      <c r="T3780" s="103"/>
      <c r="U3780" s="148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1">
        <v>3775.0</v>
      </c>
      <c r="B3781" s="180" t="s">
        <v>6344</v>
      </c>
      <c r="C3781" s="82" t="str">
        <f>VLOOKUP($B$7:$B$5000,SUM!$L$6:$L$500,1,FALSE)</f>
        <v>#N/A</v>
      </c>
      <c r="D3781" s="190" t="s">
        <v>6283</v>
      </c>
      <c r="E3781" s="198" t="s">
        <v>58</v>
      </c>
      <c r="F3781" s="199" t="s">
        <v>105</v>
      </c>
      <c r="G3781" s="191" t="s">
        <v>1362</v>
      </c>
      <c r="H3781" s="225" t="s">
        <v>6345</v>
      </c>
      <c r="I3781" s="197" t="s">
        <v>6285</v>
      </c>
      <c r="J3781" s="148" t="s">
        <v>63</v>
      </c>
      <c r="K3781" s="148" t="s">
        <v>64</v>
      </c>
      <c r="L3781" s="148" t="s">
        <v>65</v>
      </c>
      <c r="M3781" s="148" t="s">
        <v>66</v>
      </c>
      <c r="N3781" s="234">
        <v>46190.0</v>
      </c>
      <c r="O3781" s="148" t="s">
        <v>67</v>
      </c>
      <c r="P3781" s="148" t="s">
        <v>68</v>
      </c>
      <c r="Q3781" s="103"/>
      <c r="R3781" s="103"/>
      <c r="S3781" s="103"/>
      <c r="T3781" s="103"/>
      <c r="U3781" s="148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1">
        <v>3776.0</v>
      </c>
      <c r="B3782" s="180" t="s">
        <v>6346</v>
      </c>
      <c r="C3782" s="82" t="str">
        <f>VLOOKUP($B$7:$B$5000,SUM!$L$6:$L$500,1,FALSE)</f>
        <v>#N/A</v>
      </c>
      <c r="D3782" s="190" t="s">
        <v>6283</v>
      </c>
      <c r="E3782" s="198" t="s">
        <v>58</v>
      </c>
      <c r="F3782" s="199" t="s">
        <v>105</v>
      </c>
      <c r="G3782" s="191" t="s">
        <v>1362</v>
      </c>
      <c r="H3782" s="225" t="s">
        <v>6347</v>
      </c>
      <c r="I3782" s="197" t="s">
        <v>6285</v>
      </c>
      <c r="J3782" s="148" t="s">
        <v>63</v>
      </c>
      <c r="K3782" s="148" t="s">
        <v>64</v>
      </c>
      <c r="L3782" s="148" t="s">
        <v>65</v>
      </c>
      <c r="M3782" s="148" t="s">
        <v>66</v>
      </c>
      <c r="N3782" s="234">
        <v>46190.0</v>
      </c>
      <c r="O3782" s="148" t="s">
        <v>67</v>
      </c>
      <c r="P3782" s="148" t="s">
        <v>68</v>
      </c>
      <c r="Q3782" s="103"/>
      <c r="R3782" s="103"/>
      <c r="S3782" s="103"/>
      <c r="T3782" s="103"/>
      <c r="U3782" s="148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1">
        <v>3777.0</v>
      </c>
      <c r="B3783" s="180" t="s">
        <v>6348</v>
      </c>
      <c r="C3783" s="82" t="str">
        <f>VLOOKUP($B$7:$B$5000,SUM!$L$6:$L$500,1,FALSE)</f>
        <v>#N/A</v>
      </c>
      <c r="D3783" s="190" t="s">
        <v>6283</v>
      </c>
      <c r="E3783" s="198" t="s">
        <v>58</v>
      </c>
      <c r="F3783" s="199" t="s">
        <v>105</v>
      </c>
      <c r="G3783" s="191" t="s">
        <v>1362</v>
      </c>
      <c r="H3783" s="225" t="s">
        <v>6349</v>
      </c>
      <c r="I3783" s="197" t="s">
        <v>6285</v>
      </c>
      <c r="J3783" s="148" t="s">
        <v>63</v>
      </c>
      <c r="K3783" s="148" t="s">
        <v>64</v>
      </c>
      <c r="L3783" s="148" t="s">
        <v>65</v>
      </c>
      <c r="M3783" s="148" t="s">
        <v>66</v>
      </c>
      <c r="N3783" s="234">
        <v>46190.0</v>
      </c>
      <c r="O3783" s="148" t="s">
        <v>67</v>
      </c>
      <c r="P3783" s="148" t="s">
        <v>68</v>
      </c>
      <c r="Q3783" s="103"/>
      <c r="R3783" s="103"/>
      <c r="S3783" s="103"/>
      <c r="T3783" s="103"/>
      <c r="U3783" s="148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1">
        <v>3778.0</v>
      </c>
      <c r="B3784" s="180" t="s">
        <v>6350</v>
      </c>
      <c r="C3784" s="82" t="str">
        <f>VLOOKUP($B$7:$B$5000,SUM!$L$6:$L$500,1,FALSE)</f>
        <v>#N/A</v>
      </c>
      <c r="D3784" s="190" t="s">
        <v>6283</v>
      </c>
      <c r="E3784" s="198" t="s">
        <v>58</v>
      </c>
      <c r="F3784" s="199" t="s">
        <v>105</v>
      </c>
      <c r="G3784" s="191" t="s">
        <v>1362</v>
      </c>
      <c r="H3784" s="225" t="s">
        <v>6351</v>
      </c>
      <c r="I3784" s="197" t="s">
        <v>6285</v>
      </c>
      <c r="J3784" s="148" t="s">
        <v>63</v>
      </c>
      <c r="K3784" s="148" t="s">
        <v>64</v>
      </c>
      <c r="L3784" s="148" t="s">
        <v>65</v>
      </c>
      <c r="M3784" s="148" t="s">
        <v>66</v>
      </c>
      <c r="N3784" s="234">
        <v>46190.0</v>
      </c>
      <c r="O3784" s="148" t="s">
        <v>67</v>
      </c>
      <c r="P3784" s="148" t="s">
        <v>68</v>
      </c>
      <c r="Q3784" s="103"/>
      <c r="R3784" s="103"/>
      <c r="S3784" s="103"/>
      <c r="T3784" s="103"/>
      <c r="U3784" s="148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1">
        <v>3779.0</v>
      </c>
      <c r="B3785" s="180" t="s">
        <v>6352</v>
      </c>
      <c r="C3785" s="82" t="str">
        <f>VLOOKUP($B$7:$B$5000,SUM!$L$6:$L$500,1,FALSE)</f>
        <v>#N/A</v>
      </c>
      <c r="D3785" s="190" t="s">
        <v>6283</v>
      </c>
      <c r="E3785" s="198" t="s">
        <v>58</v>
      </c>
      <c r="F3785" s="199" t="s">
        <v>105</v>
      </c>
      <c r="G3785" s="191" t="s">
        <v>1362</v>
      </c>
      <c r="H3785" s="225" t="s">
        <v>6353</v>
      </c>
      <c r="I3785" s="197" t="s">
        <v>6285</v>
      </c>
      <c r="J3785" s="148" t="s">
        <v>63</v>
      </c>
      <c r="K3785" s="148" t="s">
        <v>64</v>
      </c>
      <c r="L3785" s="148" t="s">
        <v>65</v>
      </c>
      <c r="M3785" s="148" t="s">
        <v>66</v>
      </c>
      <c r="N3785" s="234">
        <v>46190.0</v>
      </c>
      <c r="O3785" s="148" t="s">
        <v>67</v>
      </c>
      <c r="P3785" s="148" t="s">
        <v>68</v>
      </c>
      <c r="Q3785" s="103"/>
      <c r="R3785" s="103"/>
      <c r="S3785" s="103"/>
      <c r="T3785" s="103"/>
      <c r="U3785" s="148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1">
        <v>3780.0</v>
      </c>
      <c r="B3786" s="180" t="s">
        <v>6354</v>
      </c>
      <c r="C3786" s="82" t="str">
        <f>VLOOKUP($B$7:$B$5000,SUM!$L$6:$L$500,1,FALSE)</f>
        <v>#N/A</v>
      </c>
      <c r="D3786" s="190" t="s">
        <v>6283</v>
      </c>
      <c r="E3786" s="198" t="s">
        <v>58</v>
      </c>
      <c r="F3786" s="199" t="s">
        <v>105</v>
      </c>
      <c r="G3786" s="191" t="s">
        <v>1362</v>
      </c>
      <c r="H3786" s="225" t="s">
        <v>6355</v>
      </c>
      <c r="I3786" s="197" t="s">
        <v>6285</v>
      </c>
      <c r="J3786" s="148" t="s">
        <v>63</v>
      </c>
      <c r="K3786" s="148" t="s">
        <v>64</v>
      </c>
      <c r="L3786" s="148" t="s">
        <v>65</v>
      </c>
      <c r="M3786" s="148" t="s">
        <v>66</v>
      </c>
      <c r="N3786" s="234">
        <v>46190.0</v>
      </c>
      <c r="O3786" s="148" t="s">
        <v>67</v>
      </c>
      <c r="P3786" s="148" t="s">
        <v>68</v>
      </c>
      <c r="Q3786" s="103"/>
      <c r="R3786" s="103"/>
      <c r="S3786" s="103"/>
      <c r="T3786" s="103"/>
      <c r="U3786" s="148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1">
        <v>3781.0</v>
      </c>
      <c r="B3787" s="180" t="s">
        <v>6356</v>
      </c>
      <c r="C3787" s="82" t="str">
        <f>VLOOKUP($B$7:$B$5000,SUM!$L$6:$L$500,1,FALSE)</f>
        <v>#N/A</v>
      </c>
      <c r="D3787" s="190" t="s">
        <v>6283</v>
      </c>
      <c r="E3787" s="198" t="s">
        <v>58</v>
      </c>
      <c r="F3787" s="199" t="s">
        <v>105</v>
      </c>
      <c r="G3787" s="191" t="s">
        <v>6357</v>
      </c>
      <c r="H3787" s="225" t="s">
        <v>6358</v>
      </c>
      <c r="I3787" s="197" t="s">
        <v>6359</v>
      </c>
      <c r="J3787" s="148" t="s">
        <v>63</v>
      </c>
      <c r="K3787" s="148" t="s">
        <v>64</v>
      </c>
      <c r="L3787" s="148" t="s">
        <v>65</v>
      </c>
      <c r="M3787" s="148" t="s">
        <v>66</v>
      </c>
      <c r="N3787" s="234">
        <v>46190.0</v>
      </c>
      <c r="O3787" s="148" t="s">
        <v>67</v>
      </c>
      <c r="P3787" s="148" t="s">
        <v>68</v>
      </c>
      <c r="Q3787" s="103"/>
      <c r="R3787" s="103"/>
      <c r="S3787" s="103"/>
      <c r="T3787" s="103"/>
      <c r="U3787" s="148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1">
        <v>3782.0</v>
      </c>
      <c r="B3788" s="180" t="s">
        <v>6360</v>
      </c>
      <c r="C3788" s="82" t="str">
        <f>VLOOKUP($B$7:$B$5000,SUM!$L$6:$L$500,1,FALSE)</f>
        <v>#N/A</v>
      </c>
      <c r="D3788" s="190" t="s">
        <v>6283</v>
      </c>
      <c r="E3788" s="198" t="s">
        <v>58</v>
      </c>
      <c r="F3788" s="199" t="s">
        <v>105</v>
      </c>
      <c r="G3788" s="191" t="s">
        <v>6357</v>
      </c>
      <c r="H3788" s="225" t="s">
        <v>6361</v>
      </c>
      <c r="I3788" s="197" t="s">
        <v>6359</v>
      </c>
      <c r="J3788" s="148" t="s">
        <v>63</v>
      </c>
      <c r="K3788" s="148" t="s">
        <v>64</v>
      </c>
      <c r="L3788" s="148" t="s">
        <v>65</v>
      </c>
      <c r="M3788" s="148" t="s">
        <v>66</v>
      </c>
      <c r="N3788" s="234">
        <v>46190.0</v>
      </c>
      <c r="O3788" s="148" t="s">
        <v>67</v>
      </c>
      <c r="P3788" s="148" t="s">
        <v>68</v>
      </c>
      <c r="Q3788" s="103"/>
      <c r="R3788" s="103"/>
      <c r="S3788" s="103"/>
      <c r="T3788" s="103"/>
      <c r="U3788" s="148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1">
        <v>3783.0</v>
      </c>
      <c r="B3789" s="180" t="s">
        <v>6362</v>
      </c>
      <c r="C3789" s="82" t="str">
        <f>VLOOKUP($B$7:$B$5000,SUM!$L$6:$L$500,1,FALSE)</f>
        <v>#N/A</v>
      </c>
      <c r="D3789" s="190" t="s">
        <v>6283</v>
      </c>
      <c r="E3789" s="198" t="s">
        <v>58</v>
      </c>
      <c r="F3789" s="199" t="s">
        <v>105</v>
      </c>
      <c r="G3789" s="191" t="s">
        <v>6357</v>
      </c>
      <c r="H3789" s="225" t="s">
        <v>6363</v>
      </c>
      <c r="I3789" s="197" t="s">
        <v>6359</v>
      </c>
      <c r="J3789" s="148" t="s">
        <v>63</v>
      </c>
      <c r="K3789" s="148" t="s">
        <v>64</v>
      </c>
      <c r="L3789" s="148" t="s">
        <v>65</v>
      </c>
      <c r="M3789" s="148" t="s">
        <v>66</v>
      </c>
      <c r="N3789" s="234">
        <v>46190.0</v>
      </c>
      <c r="O3789" s="148" t="s">
        <v>67</v>
      </c>
      <c r="P3789" s="148" t="s">
        <v>68</v>
      </c>
      <c r="Q3789" s="103"/>
      <c r="R3789" s="103"/>
      <c r="S3789" s="103"/>
      <c r="T3789" s="103"/>
      <c r="U3789" s="148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1">
        <v>3784.0</v>
      </c>
      <c r="B3790" s="180" t="s">
        <v>6364</v>
      </c>
      <c r="C3790" s="82" t="str">
        <f>VLOOKUP($B$7:$B$5000,SUM!$L$6:$L$500,1,FALSE)</f>
        <v>#N/A</v>
      </c>
      <c r="D3790" s="190" t="s">
        <v>6283</v>
      </c>
      <c r="E3790" s="198" t="s">
        <v>58</v>
      </c>
      <c r="F3790" s="199" t="s">
        <v>105</v>
      </c>
      <c r="G3790" s="191" t="s">
        <v>6357</v>
      </c>
      <c r="H3790" s="225" t="s">
        <v>6365</v>
      </c>
      <c r="I3790" s="197" t="s">
        <v>6359</v>
      </c>
      <c r="J3790" s="148" t="s">
        <v>63</v>
      </c>
      <c r="K3790" s="148" t="s">
        <v>64</v>
      </c>
      <c r="L3790" s="148" t="s">
        <v>65</v>
      </c>
      <c r="M3790" s="148" t="s">
        <v>66</v>
      </c>
      <c r="N3790" s="234">
        <v>46190.0</v>
      </c>
      <c r="O3790" s="148" t="s">
        <v>67</v>
      </c>
      <c r="P3790" s="148" t="s">
        <v>68</v>
      </c>
      <c r="Q3790" s="103"/>
      <c r="R3790" s="103"/>
      <c r="S3790" s="103"/>
      <c r="T3790" s="103"/>
      <c r="U3790" s="148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1">
        <v>3785.0</v>
      </c>
      <c r="B3791" s="180" t="s">
        <v>6366</v>
      </c>
      <c r="C3791" s="82" t="str">
        <f>VLOOKUP($B$7:$B$5000,SUM!$L$6:$L$500,1,FALSE)</f>
        <v>#N/A</v>
      </c>
      <c r="D3791" s="190" t="s">
        <v>6283</v>
      </c>
      <c r="E3791" s="198" t="s">
        <v>58</v>
      </c>
      <c r="F3791" s="199" t="s">
        <v>105</v>
      </c>
      <c r="G3791" s="191" t="s">
        <v>6357</v>
      </c>
      <c r="H3791" s="199" t="s">
        <v>6367</v>
      </c>
      <c r="I3791" s="197" t="s">
        <v>6368</v>
      </c>
      <c r="J3791" s="148" t="s">
        <v>63</v>
      </c>
      <c r="K3791" s="148" t="s">
        <v>64</v>
      </c>
      <c r="L3791" s="148" t="s">
        <v>65</v>
      </c>
      <c r="M3791" s="148" t="s">
        <v>66</v>
      </c>
      <c r="N3791" s="234">
        <v>46190.0</v>
      </c>
      <c r="O3791" s="148" t="s">
        <v>67</v>
      </c>
      <c r="P3791" s="148" t="s">
        <v>68</v>
      </c>
      <c r="Q3791" s="103"/>
      <c r="R3791" s="103"/>
      <c r="S3791" s="103"/>
      <c r="T3791" s="103"/>
      <c r="U3791" s="148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1">
        <v>3786.0</v>
      </c>
      <c r="B3792" s="180" t="s">
        <v>6369</v>
      </c>
      <c r="C3792" s="82" t="str">
        <f>VLOOKUP($B$7:$B$5000,SUM!$L$6:$L$500,1,FALSE)</f>
        <v>#N/A</v>
      </c>
      <c r="D3792" s="190" t="s">
        <v>6283</v>
      </c>
      <c r="E3792" s="198" t="s">
        <v>58</v>
      </c>
      <c r="F3792" s="199" t="s">
        <v>105</v>
      </c>
      <c r="G3792" s="191" t="s">
        <v>6357</v>
      </c>
      <c r="H3792" s="225" t="s">
        <v>6370</v>
      </c>
      <c r="I3792" s="197" t="s">
        <v>6359</v>
      </c>
      <c r="J3792" s="148" t="s">
        <v>63</v>
      </c>
      <c r="K3792" s="148" t="s">
        <v>64</v>
      </c>
      <c r="L3792" s="148" t="s">
        <v>65</v>
      </c>
      <c r="M3792" s="148" t="s">
        <v>66</v>
      </c>
      <c r="N3792" s="234">
        <v>46190.0</v>
      </c>
      <c r="O3792" s="148" t="s">
        <v>67</v>
      </c>
      <c r="P3792" s="148" t="s">
        <v>68</v>
      </c>
      <c r="Q3792" s="103"/>
      <c r="R3792" s="103"/>
      <c r="S3792" s="103"/>
      <c r="T3792" s="103"/>
      <c r="U3792" s="148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1">
        <v>3787.0</v>
      </c>
      <c r="B3793" s="180" t="s">
        <v>6371</v>
      </c>
      <c r="C3793" s="82" t="str">
        <f>VLOOKUP($B$7:$B$5000,SUM!$L$6:$L$500,1,FALSE)</f>
        <v>#N/A</v>
      </c>
      <c r="D3793" s="190" t="s">
        <v>6283</v>
      </c>
      <c r="E3793" s="198" t="s">
        <v>58</v>
      </c>
      <c r="F3793" s="199" t="s">
        <v>105</v>
      </c>
      <c r="G3793" s="191" t="s">
        <v>6357</v>
      </c>
      <c r="H3793" s="225" t="s">
        <v>6372</v>
      </c>
      <c r="I3793" s="197" t="s">
        <v>6359</v>
      </c>
      <c r="J3793" s="148" t="s">
        <v>63</v>
      </c>
      <c r="K3793" s="148" t="s">
        <v>64</v>
      </c>
      <c r="L3793" s="148" t="s">
        <v>65</v>
      </c>
      <c r="M3793" s="148" t="s">
        <v>66</v>
      </c>
      <c r="N3793" s="234">
        <v>46190.0</v>
      </c>
      <c r="O3793" s="148" t="s">
        <v>67</v>
      </c>
      <c r="P3793" s="148" t="s">
        <v>68</v>
      </c>
      <c r="Q3793" s="103"/>
      <c r="R3793" s="103"/>
      <c r="S3793" s="103"/>
      <c r="T3793" s="103"/>
      <c r="U3793" s="148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1">
        <v>3788.0</v>
      </c>
      <c r="B3794" s="180" t="s">
        <v>6373</v>
      </c>
      <c r="C3794" s="82" t="str">
        <f>VLOOKUP($B$7:$B$5000,SUM!$L$6:$L$500,1,FALSE)</f>
        <v>#N/A</v>
      </c>
      <c r="D3794" s="190" t="s">
        <v>6283</v>
      </c>
      <c r="E3794" s="198" t="s">
        <v>58</v>
      </c>
      <c r="F3794" s="199" t="s">
        <v>105</v>
      </c>
      <c r="G3794" s="191" t="s">
        <v>6357</v>
      </c>
      <c r="H3794" s="225" t="s">
        <v>6374</v>
      </c>
      <c r="I3794" s="197" t="s">
        <v>6359</v>
      </c>
      <c r="J3794" s="148" t="s">
        <v>63</v>
      </c>
      <c r="K3794" s="148" t="s">
        <v>64</v>
      </c>
      <c r="L3794" s="148" t="s">
        <v>65</v>
      </c>
      <c r="M3794" s="148" t="s">
        <v>66</v>
      </c>
      <c r="N3794" s="234">
        <v>46190.0</v>
      </c>
      <c r="O3794" s="148" t="s">
        <v>67</v>
      </c>
      <c r="P3794" s="148" t="s">
        <v>68</v>
      </c>
      <c r="Q3794" s="103"/>
      <c r="R3794" s="103"/>
      <c r="S3794" s="103"/>
      <c r="T3794" s="103"/>
      <c r="U3794" s="148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1">
        <v>3789.0</v>
      </c>
      <c r="B3795" s="180" t="s">
        <v>6375</v>
      </c>
      <c r="C3795" s="82" t="str">
        <f>VLOOKUP($B$7:$B$5000,SUM!$L$6:$L$500,1,FALSE)</f>
        <v>#N/A</v>
      </c>
      <c r="D3795" s="190" t="s">
        <v>6283</v>
      </c>
      <c r="E3795" s="198" t="s">
        <v>58</v>
      </c>
      <c r="F3795" s="199" t="s">
        <v>105</v>
      </c>
      <c r="G3795" s="191" t="s">
        <v>6357</v>
      </c>
      <c r="H3795" s="225" t="s">
        <v>6376</v>
      </c>
      <c r="I3795" s="197" t="s">
        <v>6377</v>
      </c>
      <c r="J3795" s="148" t="s">
        <v>63</v>
      </c>
      <c r="K3795" s="148" t="s">
        <v>64</v>
      </c>
      <c r="L3795" s="148" t="s">
        <v>65</v>
      </c>
      <c r="M3795" s="148" t="s">
        <v>66</v>
      </c>
      <c r="N3795" s="234">
        <v>46190.0</v>
      </c>
      <c r="O3795" s="148" t="s">
        <v>67</v>
      </c>
      <c r="P3795" s="148" t="s">
        <v>68</v>
      </c>
      <c r="Q3795" s="103"/>
      <c r="R3795" s="103"/>
      <c r="S3795" s="103"/>
      <c r="T3795" s="103"/>
      <c r="U3795" s="148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1">
        <v>3790.0</v>
      </c>
      <c r="B3796" s="180" t="s">
        <v>6378</v>
      </c>
      <c r="C3796" s="82" t="str">
        <f>VLOOKUP($B$7:$B$5000,SUM!$L$6:$L$500,1,FALSE)</f>
        <v>#N/A</v>
      </c>
      <c r="D3796" s="190" t="s">
        <v>6283</v>
      </c>
      <c r="E3796" s="198" t="s">
        <v>58</v>
      </c>
      <c r="F3796" s="199" t="s">
        <v>105</v>
      </c>
      <c r="G3796" s="191" t="s">
        <v>6357</v>
      </c>
      <c r="H3796" s="225" t="s">
        <v>6379</v>
      </c>
      <c r="I3796" s="197" t="s">
        <v>6359</v>
      </c>
      <c r="J3796" s="148" t="s">
        <v>63</v>
      </c>
      <c r="K3796" s="148" t="s">
        <v>64</v>
      </c>
      <c r="L3796" s="148" t="s">
        <v>65</v>
      </c>
      <c r="M3796" s="148" t="s">
        <v>66</v>
      </c>
      <c r="N3796" s="234">
        <v>46190.0</v>
      </c>
      <c r="O3796" s="148" t="s">
        <v>67</v>
      </c>
      <c r="P3796" s="148" t="s">
        <v>68</v>
      </c>
      <c r="Q3796" s="103"/>
      <c r="R3796" s="103"/>
      <c r="S3796" s="103"/>
      <c r="T3796" s="103"/>
      <c r="U3796" s="148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1">
        <v>3791.0</v>
      </c>
      <c r="B3797" s="180" t="s">
        <v>6380</v>
      </c>
      <c r="C3797" s="82" t="str">
        <f>VLOOKUP($B$7:$B$5000,SUM!$L$6:$L$500,1,FALSE)</f>
        <v>#N/A</v>
      </c>
      <c r="D3797" s="190" t="s">
        <v>6283</v>
      </c>
      <c r="E3797" s="198" t="s">
        <v>58</v>
      </c>
      <c r="F3797" s="199" t="s">
        <v>105</v>
      </c>
      <c r="G3797" s="191" t="s">
        <v>6357</v>
      </c>
      <c r="H3797" s="225" t="s">
        <v>6381</v>
      </c>
      <c r="I3797" s="197" t="s">
        <v>6359</v>
      </c>
      <c r="J3797" s="148" t="s">
        <v>63</v>
      </c>
      <c r="K3797" s="148" t="s">
        <v>64</v>
      </c>
      <c r="L3797" s="148" t="s">
        <v>65</v>
      </c>
      <c r="M3797" s="148" t="s">
        <v>66</v>
      </c>
      <c r="N3797" s="234">
        <v>46190.0</v>
      </c>
      <c r="O3797" s="148" t="s">
        <v>67</v>
      </c>
      <c r="P3797" s="148" t="s">
        <v>68</v>
      </c>
      <c r="Q3797" s="103"/>
      <c r="R3797" s="103"/>
      <c r="S3797" s="103"/>
      <c r="T3797" s="103"/>
      <c r="U3797" s="148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1">
        <v>3792.0</v>
      </c>
      <c r="B3798" s="180" t="s">
        <v>6382</v>
      </c>
      <c r="C3798" s="82" t="str">
        <f>VLOOKUP($B$7:$B$5000,SUM!$L$6:$L$500,1,FALSE)</f>
        <v>#N/A</v>
      </c>
      <c r="D3798" s="190" t="s">
        <v>6283</v>
      </c>
      <c r="E3798" s="198" t="s">
        <v>58</v>
      </c>
      <c r="F3798" s="199" t="s">
        <v>105</v>
      </c>
      <c r="G3798" s="191" t="s">
        <v>6357</v>
      </c>
      <c r="H3798" s="225" t="s">
        <v>6383</v>
      </c>
      <c r="I3798" s="197" t="s">
        <v>6359</v>
      </c>
      <c r="J3798" s="148" t="s">
        <v>63</v>
      </c>
      <c r="K3798" s="148" t="s">
        <v>64</v>
      </c>
      <c r="L3798" s="148" t="s">
        <v>65</v>
      </c>
      <c r="M3798" s="148" t="s">
        <v>66</v>
      </c>
      <c r="N3798" s="234">
        <v>46190.0</v>
      </c>
      <c r="O3798" s="148" t="s">
        <v>67</v>
      </c>
      <c r="P3798" s="148" t="s">
        <v>68</v>
      </c>
      <c r="Q3798" s="103"/>
      <c r="R3798" s="103"/>
      <c r="S3798" s="103"/>
      <c r="T3798" s="103"/>
      <c r="U3798" s="148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1">
        <v>3793.0</v>
      </c>
      <c r="B3799" s="180" t="s">
        <v>6384</v>
      </c>
      <c r="C3799" s="82" t="str">
        <f>VLOOKUP($B$7:$B$5000,SUM!$L$6:$L$500,1,FALSE)</f>
        <v>#N/A</v>
      </c>
      <c r="D3799" s="190" t="s">
        <v>6283</v>
      </c>
      <c r="E3799" s="198" t="s">
        <v>58</v>
      </c>
      <c r="F3799" s="199" t="s">
        <v>105</v>
      </c>
      <c r="G3799" s="191" t="s">
        <v>6357</v>
      </c>
      <c r="H3799" s="225" t="s">
        <v>6385</v>
      </c>
      <c r="I3799" s="197" t="s">
        <v>6359</v>
      </c>
      <c r="J3799" s="148" t="s">
        <v>63</v>
      </c>
      <c r="K3799" s="148" t="s">
        <v>64</v>
      </c>
      <c r="L3799" s="148" t="s">
        <v>65</v>
      </c>
      <c r="M3799" s="148" t="s">
        <v>66</v>
      </c>
      <c r="N3799" s="234">
        <v>46190.0</v>
      </c>
      <c r="O3799" s="148" t="s">
        <v>67</v>
      </c>
      <c r="P3799" s="148" t="s">
        <v>68</v>
      </c>
      <c r="Q3799" s="103"/>
      <c r="R3799" s="103"/>
      <c r="S3799" s="103"/>
      <c r="T3799" s="103"/>
      <c r="U3799" s="148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1">
        <v>3794.0</v>
      </c>
      <c r="B3800" s="180" t="s">
        <v>6386</v>
      </c>
      <c r="C3800" s="82" t="str">
        <f>VLOOKUP($B$7:$B$5000,SUM!$L$6:$L$500,1,FALSE)</f>
        <v>#N/A</v>
      </c>
      <c r="D3800" s="190" t="s">
        <v>6283</v>
      </c>
      <c r="E3800" s="198" t="s">
        <v>58</v>
      </c>
      <c r="F3800" s="199" t="s">
        <v>105</v>
      </c>
      <c r="G3800" s="191" t="s">
        <v>6357</v>
      </c>
      <c r="H3800" s="225" t="s">
        <v>6387</v>
      </c>
      <c r="I3800" s="197" t="s">
        <v>6359</v>
      </c>
      <c r="J3800" s="148" t="s">
        <v>63</v>
      </c>
      <c r="K3800" s="148" t="s">
        <v>64</v>
      </c>
      <c r="L3800" s="148" t="s">
        <v>65</v>
      </c>
      <c r="M3800" s="148" t="s">
        <v>66</v>
      </c>
      <c r="N3800" s="234">
        <v>46190.0</v>
      </c>
      <c r="O3800" s="148" t="s">
        <v>67</v>
      </c>
      <c r="P3800" s="148" t="s">
        <v>68</v>
      </c>
      <c r="Q3800" s="103"/>
      <c r="R3800" s="103"/>
      <c r="S3800" s="103"/>
      <c r="T3800" s="103"/>
      <c r="U3800" s="148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1">
        <v>3795.0</v>
      </c>
      <c r="B3801" s="180" t="s">
        <v>6388</v>
      </c>
      <c r="C3801" s="82" t="str">
        <f>VLOOKUP($B$7:$B$5000,SUM!$L$6:$L$500,1,FALSE)</f>
        <v>#N/A</v>
      </c>
      <c r="D3801" s="190" t="s">
        <v>6283</v>
      </c>
      <c r="E3801" s="198" t="s">
        <v>58</v>
      </c>
      <c r="F3801" s="199" t="s">
        <v>105</v>
      </c>
      <c r="G3801" s="191" t="s">
        <v>6357</v>
      </c>
      <c r="H3801" s="225" t="s">
        <v>6389</v>
      </c>
      <c r="I3801" s="197" t="s">
        <v>6359</v>
      </c>
      <c r="J3801" s="148" t="s">
        <v>63</v>
      </c>
      <c r="K3801" s="148" t="s">
        <v>64</v>
      </c>
      <c r="L3801" s="148" t="s">
        <v>65</v>
      </c>
      <c r="M3801" s="148" t="s">
        <v>66</v>
      </c>
      <c r="N3801" s="234">
        <v>46190.0</v>
      </c>
      <c r="O3801" s="148" t="s">
        <v>67</v>
      </c>
      <c r="P3801" s="148" t="s">
        <v>68</v>
      </c>
      <c r="Q3801" s="103"/>
      <c r="R3801" s="103"/>
      <c r="S3801" s="103"/>
      <c r="T3801" s="103"/>
      <c r="U3801" s="148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1">
        <v>3796.0</v>
      </c>
      <c r="B3802" s="180" t="s">
        <v>6390</v>
      </c>
      <c r="C3802" s="82" t="str">
        <f>VLOOKUP($B$7:$B$5000,SUM!$L$6:$L$500,1,FALSE)</f>
        <v>#N/A</v>
      </c>
      <c r="D3802" s="190" t="s">
        <v>6283</v>
      </c>
      <c r="E3802" s="198" t="s">
        <v>58</v>
      </c>
      <c r="F3802" s="199" t="s">
        <v>105</v>
      </c>
      <c r="G3802" s="191" t="s">
        <v>6357</v>
      </c>
      <c r="H3802" s="225" t="s">
        <v>6391</v>
      </c>
      <c r="I3802" s="197" t="s">
        <v>6359</v>
      </c>
      <c r="J3802" s="148" t="s">
        <v>63</v>
      </c>
      <c r="K3802" s="148" t="s">
        <v>64</v>
      </c>
      <c r="L3802" s="148" t="s">
        <v>65</v>
      </c>
      <c r="M3802" s="148" t="s">
        <v>66</v>
      </c>
      <c r="N3802" s="234">
        <v>46190.0</v>
      </c>
      <c r="O3802" s="148" t="s">
        <v>67</v>
      </c>
      <c r="P3802" s="148" t="s">
        <v>68</v>
      </c>
      <c r="Q3802" s="103"/>
      <c r="R3802" s="103"/>
      <c r="S3802" s="103"/>
      <c r="T3802" s="103"/>
      <c r="U3802" s="148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1">
        <v>3797.0</v>
      </c>
      <c r="B3803" s="180" t="s">
        <v>6392</v>
      </c>
      <c r="C3803" s="82" t="str">
        <f>VLOOKUP($B$7:$B$5000,SUM!$L$6:$L$500,1,FALSE)</f>
        <v>#N/A</v>
      </c>
      <c r="D3803" s="190" t="s">
        <v>6283</v>
      </c>
      <c r="E3803" s="198" t="s">
        <v>58</v>
      </c>
      <c r="F3803" s="199" t="s">
        <v>105</v>
      </c>
      <c r="G3803" s="191" t="s">
        <v>6357</v>
      </c>
      <c r="H3803" s="225" t="s">
        <v>6393</v>
      </c>
      <c r="I3803" s="197" t="s">
        <v>6359</v>
      </c>
      <c r="J3803" s="148" t="s">
        <v>63</v>
      </c>
      <c r="K3803" s="148" t="s">
        <v>64</v>
      </c>
      <c r="L3803" s="148" t="s">
        <v>65</v>
      </c>
      <c r="M3803" s="148" t="s">
        <v>66</v>
      </c>
      <c r="N3803" s="234">
        <v>46190.0</v>
      </c>
      <c r="O3803" s="148" t="s">
        <v>67</v>
      </c>
      <c r="P3803" s="148" t="s">
        <v>68</v>
      </c>
      <c r="Q3803" s="103"/>
      <c r="R3803" s="103"/>
      <c r="S3803" s="103"/>
      <c r="T3803" s="103"/>
      <c r="U3803" s="148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1">
        <v>3798.0</v>
      </c>
      <c r="B3804" s="180" t="s">
        <v>6394</v>
      </c>
      <c r="C3804" s="82" t="str">
        <f>VLOOKUP($B$7:$B$5000,SUM!$L$6:$L$500,1,FALSE)</f>
        <v>#N/A</v>
      </c>
      <c r="D3804" s="190" t="s">
        <v>6283</v>
      </c>
      <c r="E3804" s="198" t="s">
        <v>58</v>
      </c>
      <c r="F3804" s="199" t="s">
        <v>105</v>
      </c>
      <c r="G3804" s="191" t="s">
        <v>6357</v>
      </c>
      <c r="H3804" s="225" t="s">
        <v>6395</v>
      </c>
      <c r="I3804" s="197" t="s">
        <v>6359</v>
      </c>
      <c r="J3804" s="148" t="s">
        <v>63</v>
      </c>
      <c r="K3804" s="148" t="s">
        <v>64</v>
      </c>
      <c r="L3804" s="148" t="s">
        <v>65</v>
      </c>
      <c r="M3804" s="148" t="s">
        <v>66</v>
      </c>
      <c r="N3804" s="234">
        <v>46190.0</v>
      </c>
      <c r="O3804" s="148" t="s">
        <v>67</v>
      </c>
      <c r="P3804" s="148" t="s">
        <v>68</v>
      </c>
      <c r="Q3804" s="103"/>
      <c r="R3804" s="103"/>
      <c r="S3804" s="103"/>
      <c r="T3804" s="103"/>
      <c r="U3804" s="148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1">
        <v>3799.0</v>
      </c>
      <c r="B3805" s="180" t="s">
        <v>6396</v>
      </c>
      <c r="C3805" s="82" t="str">
        <f>VLOOKUP($B$7:$B$5000,SUM!$L$6:$L$500,1,FALSE)</f>
        <v>#N/A</v>
      </c>
      <c r="D3805" s="190" t="s">
        <v>6283</v>
      </c>
      <c r="E3805" s="198" t="s">
        <v>58</v>
      </c>
      <c r="F3805" s="199" t="s">
        <v>105</v>
      </c>
      <c r="G3805" s="191" t="s">
        <v>6357</v>
      </c>
      <c r="H3805" s="225" t="s">
        <v>6397</v>
      </c>
      <c r="I3805" s="197" t="s">
        <v>6359</v>
      </c>
      <c r="J3805" s="148" t="s">
        <v>63</v>
      </c>
      <c r="K3805" s="148" t="s">
        <v>64</v>
      </c>
      <c r="L3805" s="148" t="s">
        <v>65</v>
      </c>
      <c r="M3805" s="148" t="s">
        <v>66</v>
      </c>
      <c r="N3805" s="234">
        <v>46190.0</v>
      </c>
      <c r="O3805" s="148" t="s">
        <v>67</v>
      </c>
      <c r="P3805" s="148" t="s">
        <v>68</v>
      </c>
      <c r="Q3805" s="103"/>
      <c r="R3805" s="103"/>
      <c r="S3805" s="103"/>
      <c r="T3805" s="103"/>
      <c r="U3805" s="148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1">
        <v>3800.0</v>
      </c>
      <c r="B3806" s="180" t="s">
        <v>6398</v>
      </c>
      <c r="C3806" s="82" t="str">
        <f>VLOOKUP($B$7:$B$5000,SUM!$L$6:$L$500,1,FALSE)</f>
        <v>#N/A</v>
      </c>
      <c r="D3806" s="190" t="s">
        <v>6283</v>
      </c>
      <c r="E3806" s="198" t="s">
        <v>58</v>
      </c>
      <c r="F3806" s="199" t="s">
        <v>105</v>
      </c>
      <c r="G3806" s="191" t="s">
        <v>6357</v>
      </c>
      <c r="H3806" s="225" t="s">
        <v>6399</v>
      </c>
      <c r="I3806" s="197" t="s">
        <v>6359</v>
      </c>
      <c r="J3806" s="148" t="s">
        <v>63</v>
      </c>
      <c r="K3806" s="148" t="s">
        <v>64</v>
      </c>
      <c r="L3806" s="148" t="s">
        <v>65</v>
      </c>
      <c r="M3806" s="148" t="s">
        <v>66</v>
      </c>
      <c r="N3806" s="234">
        <v>46190.0</v>
      </c>
      <c r="O3806" s="148" t="s">
        <v>67</v>
      </c>
      <c r="P3806" s="148" t="s">
        <v>68</v>
      </c>
      <c r="Q3806" s="103"/>
      <c r="R3806" s="103"/>
      <c r="S3806" s="103"/>
      <c r="T3806" s="103"/>
      <c r="U3806" s="148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1">
        <v>3801.0</v>
      </c>
      <c r="B3807" s="180" t="s">
        <v>6400</v>
      </c>
      <c r="C3807" s="82" t="str">
        <f>VLOOKUP($B$7:$B$5000,SUM!$L$6:$L$500,1,FALSE)</f>
        <v>#N/A</v>
      </c>
      <c r="D3807" s="190" t="s">
        <v>6283</v>
      </c>
      <c r="E3807" s="198" t="s">
        <v>58</v>
      </c>
      <c r="F3807" s="199" t="s">
        <v>105</v>
      </c>
      <c r="G3807" s="191" t="s">
        <v>6357</v>
      </c>
      <c r="H3807" s="225" t="s">
        <v>6401</v>
      </c>
      <c r="I3807" s="197" t="s">
        <v>6359</v>
      </c>
      <c r="J3807" s="148" t="s">
        <v>63</v>
      </c>
      <c r="K3807" s="148" t="s">
        <v>64</v>
      </c>
      <c r="L3807" s="148" t="s">
        <v>65</v>
      </c>
      <c r="M3807" s="148" t="s">
        <v>66</v>
      </c>
      <c r="N3807" s="234">
        <v>46190.0</v>
      </c>
      <c r="O3807" s="148" t="s">
        <v>67</v>
      </c>
      <c r="P3807" s="148" t="s">
        <v>68</v>
      </c>
      <c r="Q3807" s="103"/>
      <c r="R3807" s="103"/>
      <c r="S3807" s="103"/>
      <c r="T3807" s="103"/>
      <c r="U3807" s="148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1">
        <v>3802.0</v>
      </c>
      <c r="B3808" s="180" t="s">
        <v>6402</v>
      </c>
      <c r="C3808" s="82" t="str">
        <f>VLOOKUP($B$7:$B$5000,SUM!$L$6:$L$500,1,FALSE)</f>
        <v>#N/A</v>
      </c>
      <c r="D3808" s="190" t="s">
        <v>6283</v>
      </c>
      <c r="E3808" s="198" t="s">
        <v>58</v>
      </c>
      <c r="F3808" s="199" t="s">
        <v>105</v>
      </c>
      <c r="G3808" s="191" t="s">
        <v>6357</v>
      </c>
      <c r="H3808" s="225" t="s">
        <v>6403</v>
      </c>
      <c r="I3808" s="197" t="s">
        <v>6359</v>
      </c>
      <c r="J3808" s="148" t="s">
        <v>63</v>
      </c>
      <c r="K3808" s="148" t="s">
        <v>64</v>
      </c>
      <c r="L3808" s="148" t="s">
        <v>65</v>
      </c>
      <c r="M3808" s="148" t="s">
        <v>66</v>
      </c>
      <c r="N3808" s="234">
        <v>46190.0</v>
      </c>
      <c r="O3808" s="148" t="s">
        <v>67</v>
      </c>
      <c r="P3808" s="148" t="s">
        <v>68</v>
      </c>
      <c r="Q3808" s="103"/>
      <c r="R3808" s="103"/>
      <c r="S3808" s="103"/>
      <c r="T3808" s="103"/>
      <c r="U3808" s="148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1">
        <v>3803.0</v>
      </c>
      <c r="B3809" s="180" t="s">
        <v>6404</v>
      </c>
      <c r="C3809" s="82" t="str">
        <f>VLOOKUP($B$7:$B$5000,SUM!$L$6:$L$500,1,FALSE)</f>
        <v>#N/A</v>
      </c>
      <c r="D3809" s="190" t="s">
        <v>6283</v>
      </c>
      <c r="E3809" s="198" t="s">
        <v>58</v>
      </c>
      <c r="F3809" s="199" t="s">
        <v>105</v>
      </c>
      <c r="G3809" s="191" t="s">
        <v>6357</v>
      </c>
      <c r="H3809" s="225" t="s">
        <v>6405</v>
      </c>
      <c r="I3809" s="197" t="s">
        <v>6359</v>
      </c>
      <c r="J3809" s="148" t="s">
        <v>63</v>
      </c>
      <c r="K3809" s="148" t="s">
        <v>64</v>
      </c>
      <c r="L3809" s="148" t="s">
        <v>65</v>
      </c>
      <c r="M3809" s="148" t="s">
        <v>66</v>
      </c>
      <c r="N3809" s="234">
        <v>46190.0</v>
      </c>
      <c r="O3809" s="148" t="s">
        <v>67</v>
      </c>
      <c r="P3809" s="148" t="s">
        <v>68</v>
      </c>
      <c r="Q3809" s="103"/>
      <c r="R3809" s="103"/>
      <c r="S3809" s="103"/>
      <c r="T3809" s="103"/>
      <c r="U3809" s="148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1">
        <v>3804.0</v>
      </c>
      <c r="B3810" s="180" t="s">
        <v>6406</v>
      </c>
      <c r="C3810" s="82" t="str">
        <f>VLOOKUP($B$7:$B$5000,SUM!$L$6:$L$500,1,FALSE)</f>
        <v>#N/A</v>
      </c>
      <c r="D3810" s="190" t="s">
        <v>6283</v>
      </c>
      <c r="E3810" s="198" t="s">
        <v>58</v>
      </c>
      <c r="F3810" s="199" t="s">
        <v>105</v>
      </c>
      <c r="G3810" s="191" t="s">
        <v>6357</v>
      </c>
      <c r="H3810" s="225" t="s">
        <v>6407</v>
      </c>
      <c r="I3810" s="197" t="s">
        <v>6359</v>
      </c>
      <c r="J3810" s="148" t="s">
        <v>63</v>
      </c>
      <c r="K3810" s="148" t="s">
        <v>64</v>
      </c>
      <c r="L3810" s="148" t="s">
        <v>65</v>
      </c>
      <c r="M3810" s="148" t="s">
        <v>66</v>
      </c>
      <c r="N3810" s="234">
        <v>46190.0</v>
      </c>
      <c r="O3810" s="148" t="s">
        <v>67</v>
      </c>
      <c r="P3810" s="148" t="s">
        <v>68</v>
      </c>
      <c r="Q3810" s="103"/>
      <c r="R3810" s="103"/>
      <c r="S3810" s="103"/>
      <c r="T3810" s="103"/>
      <c r="U3810" s="148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1">
        <v>3805.0</v>
      </c>
      <c r="B3811" s="180" t="s">
        <v>6408</v>
      </c>
      <c r="C3811" s="82" t="str">
        <f>VLOOKUP($B$7:$B$5000,SUM!$L$6:$L$500,1,FALSE)</f>
        <v>#N/A</v>
      </c>
      <c r="D3811" s="190" t="s">
        <v>6283</v>
      </c>
      <c r="E3811" s="198" t="s">
        <v>58</v>
      </c>
      <c r="F3811" s="199" t="s">
        <v>105</v>
      </c>
      <c r="G3811" s="191" t="s">
        <v>6357</v>
      </c>
      <c r="H3811" s="225" t="s">
        <v>6409</v>
      </c>
      <c r="I3811" s="197" t="s">
        <v>6359</v>
      </c>
      <c r="J3811" s="148" t="s">
        <v>63</v>
      </c>
      <c r="K3811" s="148" t="s">
        <v>64</v>
      </c>
      <c r="L3811" s="148" t="s">
        <v>65</v>
      </c>
      <c r="M3811" s="148" t="s">
        <v>66</v>
      </c>
      <c r="N3811" s="234">
        <v>46190.0</v>
      </c>
      <c r="O3811" s="148" t="s">
        <v>67</v>
      </c>
      <c r="P3811" s="148" t="s">
        <v>68</v>
      </c>
      <c r="Q3811" s="103"/>
      <c r="R3811" s="103"/>
      <c r="S3811" s="103"/>
      <c r="T3811" s="103"/>
      <c r="U3811" s="148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1">
        <v>3806.0</v>
      </c>
      <c r="B3812" s="180" t="s">
        <v>6410</v>
      </c>
      <c r="C3812" s="82" t="str">
        <f>VLOOKUP($B$7:$B$5000,SUM!$L$6:$L$500,1,FALSE)</f>
        <v>#N/A</v>
      </c>
      <c r="D3812" s="190" t="s">
        <v>6283</v>
      </c>
      <c r="E3812" s="198" t="s">
        <v>58</v>
      </c>
      <c r="F3812" s="199" t="s">
        <v>105</v>
      </c>
      <c r="G3812" s="191" t="s">
        <v>6357</v>
      </c>
      <c r="H3812" s="225" t="s">
        <v>6411</v>
      </c>
      <c r="I3812" s="197" t="s">
        <v>6359</v>
      </c>
      <c r="J3812" s="148" t="s">
        <v>63</v>
      </c>
      <c r="K3812" s="148" t="s">
        <v>64</v>
      </c>
      <c r="L3812" s="148" t="s">
        <v>65</v>
      </c>
      <c r="M3812" s="148" t="s">
        <v>66</v>
      </c>
      <c r="N3812" s="234">
        <v>46190.0</v>
      </c>
      <c r="O3812" s="148" t="s">
        <v>67</v>
      </c>
      <c r="P3812" s="148" t="s">
        <v>68</v>
      </c>
      <c r="Q3812" s="103"/>
      <c r="R3812" s="103"/>
      <c r="S3812" s="103"/>
      <c r="T3812" s="103"/>
      <c r="U3812" s="148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1">
        <v>3807.0</v>
      </c>
      <c r="B3813" s="180" t="s">
        <v>6412</v>
      </c>
      <c r="C3813" s="82" t="str">
        <f>VLOOKUP($B$7:$B$5000,SUM!$L$6:$L$500,1,FALSE)</f>
        <v>#N/A</v>
      </c>
      <c r="D3813" s="190" t="s">
        <v>6283</v>
      </c>
      <c r="E3813" s="198" t="s">
        <v>58</v>
      </c>
      <c r="F3813" s="199" t="s">
        <v>105</v>
      </c>
      <c r="G3813" s="191" t="s">
        <v>6357</v>
      </c>
      <c r="H3813" s="225" t="s">
        <v>6413</v>
      </c>
      <c r="I3813" s="197" t="s">
        <v>6359</v>
      </c>
      <c r="J3813" s="148" t="s">
        <v>63</v>
      </c>
      <c r="K3813" s="148" t="s">
        <v>64</v>
      </c>
      <c r="L3813" s="148" t="s">
        <v>65</v>
      </c>
      <c r="M3813" s="148" t="s">
        <v>66</v>
      </c>
      <c r="N3813" s="234">
        <v>46190.0</v>
      </c>
      <c r="O3813" s="148" t="s">
        <v>67</v>
      </c>
      <c r="P3813" s="148" t="s">
        <v>68</v>
      </c>
      <c r="Q3813" s="103"/>
      <c r="R3813" s="103"/>
      <c r="S3813" s="103"/>
      <c r="T3813" s="103"/>
      <c r="U3813" s="148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1">
        <v>3808.0</v>
      </c>
      <c r="B3814" s="180" t="s">
        <v>6414</v>
      </c>
      <c r="C3814" s="82" t="str">
        <f>VLOOKUP($B$7:$B$5000,SUM!$L$6:$L$500,1,FALSE)</f>
        <v>#N/A</v>
      </c>
      <c r="D3814" s="190" t="s">
        <v>6283</v>
      </c>
      <c r="E3814" s="198" t="s">
        <v>58</v>
      </c>
      <c r="F3814" s="199" t="s">
        <v>105</v>
      </c>
      <c r="G3814" s="191" t="s">
        <v>6357</v>
      </c>
      <c r="H3814" s="225" t="s">
        <v>6415</v>
      </c>
      <c r="I3814" s="197" t="s">
        <v>6359</v>
      </c>
      <c r="J3814" s="148" t="s">
        <v>63</v>
      </c>
      <c r="K3814" s="148" t="s">
        <v>64</v>
      </c>
      <c r="L3814" s="148" t="s">
        <v>65</v>
      </c>
      <c r="M3814" s="148" t="s">
        <v>66</v>
      </c>
      <c r="N3814" s="234">
        <v>46190.0</v>
      </c>
      <c r="O3814" s="148" t="s">
        <v>67</v>
      </c>
      <c r="P3814" s="148" t="s">
        <v>68</v>
      </c>
      <c r="Q3814" s="103"/>
      <c r="R3814" s="103"/>
      <c r="S3814" s="103"/>
      <c r="T3814" s="103"/>
      <c r="U3814" s="148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1">
        <v>3809.0</v>
      </c>
      <c r="B3815" s="180" t="s">
        <v>6416</v>
      </c>
      <c r="C3815" s="82" t="str">
        <f>VLOOKUP($B$7:$B$5000,SUM!$L$6:$L$500,1,FALSE)</f>
        <v>#N/A</v>
      </c>
      <c r="D3815" s="190" t="s">
        <v>6283</v>
      </c>
      <c r="E3815" s="198" t="s">
        <v>58</v>
      </c>
      <c r="F3815" s="199" t="s">
        <v>105</v>
      </c>
      <c r="G3815" s="191" t="s">
        <v>6357</v>
      </c>
      <c r="H3815" s="225" t="s">
        <v>6417</v>
      </c>
      <c r="I3815" s="197" t="s">
        <v>6359</v>
      </c>
      <c r="J3815" s="148" t="s">
        <v>63</v>
      </c>
      <c r="K3815" s="148" t="s">
        <v>64</v>
      </c>
      <c r="L3815" s="148" t="s">
        <v>65</v>
      </c>
      <c r="M3815" s="148" t="s">
        <v>66</v>
      </c>
      <c r="N3815" s="234">
        <v>46190.0</v>
      </c>
      <c r="O3815" s="148" t="s">
        <v>67</v>
      </c>
      <c r="P3815" s="148" t="s">
        <v>68</v>
      </c>
      <c r="Q3815" s="103"/>
      <c r="R3815" s="103"/>
      <c r="S3815" s="103"/>
      <c r="T3815" s="103"/>
      <c r="U3815" s="148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1">
        <v>3810.0</v>
      </c>
      <c r="B3816" s="180" t="s">
        <v>6418</v>
      </c>
      <c r="C3816" s="82" t="str">
        <f>VLOOKUP($B$7:$B$5000,SUM!$L$6:$L$500,1,FALSE)</f>
        <v>#N/A</v>
      </c>
      <c r="D3816" s="190" t="s">
        <v>6283</v>
      </c>
      <c r="E3816" s="198" t="s">
        <v>58</v>
      </c>
      <c r="F3816" s="199" t="s">
        <v>105</v>
      </c>
      <c r="G3816" s="191" t="s">
        <v>6357</v>
      </c>
      <c r="H3816" s="225" t="s">
        <v>6419</v>
      </c>
      <c r="I3816" s="197" t="s">
        <v>6359</v>
      </c>
      <c r="J3816" s="148" t="s">
        <v>63</v>
      </c>
      <c r="K3816" s="148" t="s">
        <v>64</v>
      </c>
      <c r="L3816" s="148" t="s">
        <v>65</v>
      </c>
      <c r="M3816" s="148" t="s">
        <v>66</v>
      </c>
      <c r="N3816" s="234">
        <v>46190.0</v>
      </c>
      <c r="O3816" s="148" t="s">
        <v>67</v>
      </c>
      <c r="P3816" s="148" t="s">
        <v>68</v>
      </c>
      <c r="Q3816" s="103"/>
      <c r="R3816" s="103"/>
      <c r="S3816" s="103"/>
      <c r="T3816" s="103"/>
      <c r="U3816" s="148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1">
        <v>3811.0</v>
      </c>
      <c r="B3817" s="180" t="s">
        <v>6420</v>
      </c>
      <c r="C3817" s="82" t="str">
        <f>VLOOKUP($B$7:$B$5000,SUM!$L$6:$L$500,1,FALSE)</f>
        <v>#N/A</v>
      </c>
      <c r="D3817" s="190" t="s">
        <v>6283</v>
      </c>
      <c r="E3817" s="198" t="s">
        <v>58</v>
      </c>
      <c r="F3817" s="199" t="s">
        <v>105</v>
      </c>
      <c r="G3817" s="191" t="s">
        <v>1362</v>
      </c>
      <c r="H3817" s="225" t="s">
        <v>6421</v>
      </c>
      <c r="I3817" s="197" t="s">
        <v>6368</v>
      </c>
      <c r="J3817" s="148" t="s">
        <v>63</v>
      </c>
      <c r="K3817" s="148" t="s">
        <v>64</v>
      </c>
      <c r="L3817" s="148" t="s">
        <v>65</v>
      </c>
      <c r="M3817" s="148" t="s">
        <v>66</v>
      </c>
      <c r="N3817" s="234">
        <v>46190.0</v>
      </c>
      <c r="O3817" s="148" t="s">
        <v>67</v>
      </c>
      <c r="P3817" s="148" t="s">
        <v>68</v>
      </c>
      <c r="Q3817" s="103"/>
      <c r="R3817" s="103"/>
      <c r="S3817" s="103"/>
      <c r="T3817" s="103"/>
      <c r="U3817" s="148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1">
        <v>3812.0</v>
      </c>
      <c r="B3818" s="180" t="s">
        <v>6422</v>
      </c>
      <c r="C3818" s="82" t="str">
        <f>VLOOKUP($B$7:$B$5000,SUM!$L$6:$L$500,1,FALSE)</f>
        <v>#N/A</v>
      </c>
      <c r="D3818" s="190" t="s">
        <v>6283</v>
      </c>
      <c r="E3818" s="198" t="s">
        <v>58</v>
      </c>
      <c r="F3818" s="199" t="s">
        <v>105</v>
      </c>
      <c r="G3818" s="191" t="s">
        <v>1362</v>
      </c>
      <c r="H3818" s="225" t="s">
        <v>6423</v>
      </c>
      <c r="I3818" s="197" t="s">
        <v>6368</v>
      </c>
      <c r="J3818" s="148" t="s">
        <v>63</v>
      </c>
      <c r="K3818" s="148" t="s">
        <v>64</v>
      </c>
      <c r="L3818" s="148" t="s">
        <v>65</v>
      </c>
      <c r="M3818" s="148" t="s">
        <v>66</v>
      </c>
      <c r="N3818" s="234">
        <v>46190.0</v>
      </c>
      <c r="O3818" s="148" t="s">
        <v>67</v>
      </c>
      <c r="P3818" s="148" t="s">
        <v>68</v>
      </c>
      <c r="Q3818" s="103"/>
      <c r="R3818" s="103"/>
      <c r="S3818" s="103"/>
      <c r="T3818" s="103"/>
      <c r="U3818" s="148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1">
        <v>3813.0</v>
      </c>
      <c r="B3819" s="180" t="s">
        <v>6424</v>
      </c>
      <c r="C3819" s="82" t="str">
        <f>VLOOKUP($B$7:$B$5000,SUM!$L$6:$L$500,1,FALSE)</f>
        <v>#N/A</v>
      </c>
      <c r="D3819" s="190" t="s">
        <v>6283</v>
      </c>
      <c r="E3819" s="198" t="s">
        <v>58</v>
      </c>
      <c r="F3819" s="199" t="s">
        <v>105</v>
      </c>
      <c r="G3819" s="191" t="s">
        <v>1362</v>
      </c>
      <c r="H3819" s="225" t="s">
        <v>6425</v>
      </c>
      <c r="I3819" s="197" t="s">
        <v>6368</v>
      </c>
      <c r="J3819" s="148" t="s">
        <v>63</v>
      </c>
      <c r="K3819" s="148" t="s">
        <v>64</v>
      </c>
      <c r="L3819" s="148" t="s">
        <v>65</v>
      </c>
      <c r="M3819" s="148" t="s">
        <v>66</v>
      </c>
      <c r="N3819" s="234">
        <v>46190.0</v>
      </c>
      <c r="O3819" s="148" t="s">
        <v>67</v>
      </c>
      <c r="P3819" s="148" t="s">
        <v>68</v>
      </c>
      <c r="Q3819" s="103"/>
      <c r="R3819" s="103"/>
      <c r="S3819" s="103"/>
      <c r="T3819" s="103"/>
      <c r="U3819" s="148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1">
        <v>3814.0</v>
      </c>
      <c r="B3820" s="180" t="s">
        <v>6426</v>
      </c>
      <c r="C3820" s="82" t="str">
        <f>VLOOKUP($B$7:$B$5000,SUM!$L$6:$L$500,1,FALSE)</f>
        <v>#N/A</v>
      </c>
      <c r="D3820" s="190" t="s">
        <v>6283</v>
      </c>
      <c r="E3820" s="198" t="s">
        <v>58</v>
      </c>
      <c r="F3820" s="199" t="s">
        <v>105</v>
      </c>
      <c r="G3820" s="191" t="s">
        <v>1362</v>
      </c>
      <c r="H3820" s="225" t="s">
        <v>6427</v>
      </c>
      <c r="I3820" s="197" t="s">
        <v>6368</v>
      </c>
      <c r="J3820" s="148" t="s">
        <v>63</v>
      </c>
      <c r="K3820" s="148" t="s">
        <v>64</v>
      </c>
      <c r="L3820" s="148" t="s">
        <v>65</v>
      </c>
      <c r="M3820" s="148" t="s">
        <v>66</v>
      </c>
      <c r="N3820" s="234">
        <v>46190.0</v>
      </c>
      <c r="O3820" s="148" t="s">
        <v>67</v>
      </c>
      <c r="P3820" s="148" t="s">
        <v>68</v>
      </c>
      <c r="Q3820" s="103"/>
      <c r="R3820" s="103"/>
      <c r="S3820" s="103"/>
      <c r="T3820" s="103"/>
      <c r="U3820" s="148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1">
        <v>3815.0</v>
      </c>
      <c r="B3821" s="180" t="s">
        <v>6428</v>
      </c>
      <c r="C3821" s="82" t="str">
        <f>VLOOKUP($B$7:$B$5000,SUM!$L$6:$L$500,1,FALSE)</f>
        <v>#N/A</v>
      </c>
      <c r="D3821" s="190" t="s">
        <v>6283</v>
      </c>
      <c r="E3821" s="198" t="s">
        <v>58</v>
      </c>
      <c r="F3821" s="199" t="s">
        <v>105</v>
      </c>
      <c r="G3821" s="191" t="s">
        <v>1362</v>
      </c>
      <c r="H3821" s="225" t="s">
        <v>6429</v>
      </c>
      <c r="I3821" s="197" t="s">
        <v>6368</v>
      </c>
      <c r="J3821" s="148" t="s">
        <v>63</v>
      </c>
      <c r="K3821" s="148" t="s">
        <v>64</v>
      </c>
      <c r="L3821" s="148" t="s">
        <v>65</v>
      </c>
      <c r="M3821" s="148" t="s">
        <v>66</v>
      </c>
      <c r="N3821" s="234">
        <v>46190.0</v>
      </c>
      <c r="O3821" s="148" t="s">
        <v>67</v>
      </c>
      <c r="P3821" s="148" t="s">
        <v>68</v>
      </c>
      <c r="Q3821" s="103"/>
      <c r="R3821" s="103"/>
      <c r="S3821" s="103"/>
      <c r="T3821" s="103"/>
      <c r="U3821" s="148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1">
        <v>3816.0</v>
      </c>
      <c r="B3822" s="180" t="s">
        <v>6430</v>
      </c>
      <c r="C3822" s="82" t="str">
        <f>VLOOKUP($B$7:$B$5000,SUM!$L$6:$L$500,1,FALSE)</f>
        <v>#N/A</v>
      </c>
      <c r="D3822" s="190" t="s">
        <v>6283</v>
      </c>
      <c r="E3822" s="198" t="s">
        <v>58</v>
      </c>
      <c r="F3822" s="199" t="s">
        <v>105</v>
      </c>
      <c r="G3822" s="191" t="s">
        <v>6357</v>
      </c>
      <c r="H3822" s="199" t="s">
        <v>6431</v>
      </c>
      <c r="I3822" s="197" t="s">
        <v>6359</v>
      </c>
      <c r="J3822" s="148" t="s">
        <v>63</v>
      </c>
      <c r="K3822" s="148" t="s">
        <v>64</v>
      </c>
      <c r="L3822" s="148" t="s">
        <v>65</v>
      </c>
      <c r="M3822" s="148" t="s">
        <v>66</v>
      </c>
      <c r="N3822" s="234">
        <v>46190.0</v>
      </c>
      <c r="O3822" s="148" t="s">
        <v>67</v>
      </c>
      <c r="P3822" s="148" t="s">
        <v>68</v>
      </c>
      <c r="Q3822" s="103"/>
      <c r="R3822" s="103"/>
      <c r="S3822" s="103"/>
      <c r="T3822" s="103"/>
      <c r="U3822" s="148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1">
        <v>3817.0</v>
      </c>
      <c r="B3823" s="180" t="s">
        <v>6432</v>
      </c>
      <c r="C3823" s="82" t="str">
        <f>VLOOKUP($B$7:$B$5000,SUM!$L$6:$L$500,1,FALSE)</f>
        <v>#N/A</v>
      </c>
      <c r="D3823" s="190" t="s">
        <v>6283</v>
      </c>
      <c r="E3823" s="198" t="s">
        <v>58</v>
      </c>
      <c r="F3823" s="199" t="s">
        <v>105</v>
      </c>
      <c r="G3823" s="191" t="s">
        <v>6357</v>
      </c>
      <c r="H3823" s="225" t="s">
        <v>6433</v>
      </c>
      <c r="I3823" s="197" t="s">
        <v>6359</v>
      </c>
      <c r="J3823" s="148" t="s">
        <v>63</v>
      </c>
      <c r="K3823" s="148" t="s">
        <v>64</v>
      </c>
      <c r="L3823" s="148" t="s">
        <v>65</v>
      </c>
      <c r="M3823" s="148" t="s">
        <v>66</v>
      </c>
      <c r="N3823" s="234">
        <v>46190.0</v>
      </c>
      <c r="O3823" s="148" t="s">
        <v>67</v>
      </c>
      <c r="P3823" s="148" t="s">
        <v>68</v>
      </c>
      <c r="Q3823" s="103"/>
      <c r="R3823" s="103"/>
      <c r="S3823" s="103"/>
      <c r="T3823" s="103"/>
      <c r="U3823" s="148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1">
        <v>3818.0</v>
      </c>
      <c r="B3824" s="180" t="s">
        <v>6434</v>
      </c>
      <c r="C3824" s="82" t="str">
        <f>VLOOKUP($B$7:$B$5000,SUM!$L$6:$L$500,1,FALSE)</f>
        <v>#N/A</v>
      </c>
      <c r="D3824" s="190" t="s">
        <v>6283</v>
      </c>
      <c r="E3824" s="198" t="s">
        <v>58</v>
      </c>
      <c r="F3824" s="199" t="s">
        <v>105</v>
      </c>
      <c r="G3824" s="191" t="s">
        <v>6357</v>
      </c>
      <c r="H3824" s="225" t="s">
        <v>6435</v>
      </c>
      <c r="I3824" s="197" t="s">
        <v>6359</v>
      </c>
      <c r="J3824" s="148" t="s">
        <v>63</v>
      </c>
      <c r="K3824" s="148" t="s">
        <v>64</v>
      </c>
      <c r="L3824" s="148" t="s">
        <v>65</v>
      </c>
      <c r="M3824" s="148" t="s">
        <v>66</v>
      </c>
      <c r="N3824" s="234">
        <v>46190.0</v>
      </c>
      <c r="O3824" s="148" t="s">
        <v>67</v>
      </c>
      <c r="P3824" s="148" t="s">
        <v>68</v>
      </c>
      <c r="Q3824" s="103"/>
      <c r="R3824" s="103"/>
      <c r="S3824" s="103"/>
      <c r="T3824" s="103"/>
      <c r="U3824" s="148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1">
        <v>3819.0</v>
      </c>
      <c r="B3825" s="180" t="s">
        <v>6436</v>
      </c>
      <c r="C3825" s="82" t="str">
        <f>VLOOKUP($B$7:$B$5000,SUM!$L$6:$L$500,1,FALSE)</f>
        <v>#N/A</v>
      </c>
      <c r="D3825" s="190" t="s">
        <v>6283</v>
      </c>
      <c r="E3825" s="198" t="s">
        <v>58</v>
      </c>
      <c r="F3825" s="199" t="s">
        <v>105</v>
      </c>
      <c r="G3825" s="191" t="s">
        <v>6357</v>
      </c>
      <c r="H3825" s="199" t="s">
        <v>6437</v>
      </c>
      <c r="I3825" s="197" t="s">
        <v>6438</v>
      </c>
      <c r="J3825" s="148" t="s">
        <v>63</v>
      </c>
      <c r="K3825" s="148" t="s">
        <v>64</v>
      </c>
      <c r="L3825" s="148" t="s">
        <v>65</v>
      </c>
      <c r="M3825" s="148" t="s">
        <v>66</v>
      </c>
      <c r="N3825" s="234">
        <v>46190.0</v>
      </c>
      <c r="O3825" s="148" t="s">
        <v>67</v>
      </c>
      <c r="P3825" s="148" t="s">
        <v>68</v>
      </c>
      <c r="Q3825" s="103"/>
      <c r="R3825" s="103"/>
      <c r="S3825" s="103"/>
      <c r="T3825" s="103"/>
      <c r="U3825" s="148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1">
        <v>3820.0</v>
      </c>
      <c r="B3826" s="180" t="s">
        <v>6439</v>
      </c>
      <c r="C3826" s="82" t="str">
        <f>VLOOKUP($B$7:$B$5000,SUM!$L$6:$L$500,1,FALSE)</f>
        <v>#N/A</v>
      </c>
      <c r="D3826" s="190" t="s">
        <v>6283</v>
      </c>
      <c r="E3826" s="198" t="s">
        <v>58</v>
      </c>
      <c r="F3826" s="199" t="s">
        <v>105</v>
      </c>
      <c r="G3826" s="191" t="s">
        <v>6357</v>
      </c>
      <c r="H3826" s="199" t="s">
        <v>6305</v>
      </c>
      <c r="I3826" s="197" t="s">
        <v>6440</v>
      </c>
      <c r="J3826" s="148" t="s">
        <v>108</v>
      </c>
      <c r="K3826" s="148" t="s">
        <v>64</v>
      </c>
      <c r="L3826" s="148" t="s">
        <v>65</v>
      </c>
      <c r="M3826" s="148" t="s">
        <v>66</v>
      </c>
      <c r="N3826" s="234">
        <v>46190.0</v>
      </c>
      <c r="O3826" s="148" t="s">
        <v>67</v>
      </c>
      <c r="P3826" s="148" t="s">
        <v>68</v>
      </c>
      <c r="Q3826" s="103"/>
      <c r="R3826" s="103"/>
      <c r="S3826" s="103"/>
      <c r="T3826" s="103"/>
      <c r="U3826" s="148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1">
        <v>3821.0</v>
      </c>
      <c r="B3827" s="180" t="s">
        <v>6441</v>
      </c>
      <c r="C3827" s="82" t="str">
        <f>VLOOKUP($B$7:$B$5000,SUM!$L$6:$L$500,1,FALSE)</f>
        <v>#N/A</v>
      </c>
      <c r="D3827" s="190" t="s">
        <v>6283</v>
      </c>
      <c r="E3827" s="198" t="s">
        <v>58</v>
      </c>
      <c r="F3827" s="199" t="s">
        <v>105</v>
      </c>
      <c r="G3827" s="191" t="s">
        <v>6357</v>
      </c>
      <c r="H3827" s="225" t="s">
        <v>6307</v>
      </c>
      <c r="I3827" s="197" t="s">
        <v>6440</v>
      </c>
      <c r="J3827" s="148" t="s">
        <v>108</v>
      </c>
      <c r="K3827" s="148" t="s">
        <v>64</v>
      </c>
      <c r="L3827" s="148" t="s">
        <v>65</v>
      </c>
      <c r="M3827" s="148" t="s">
        <v>66</v>
      </c>
      <c r="N3827" s="234">
        <v>46190.0</v>
      </c>
      <c r="O3827" s="148" t="s">
        <v>67</v>
      </c>
      <c r="P3827" s="148" t="s">
        <v>68</v>
      </c>
      <c r="Q3827" s="103"/>
      <c r="R3827" s="103"/>
      <c r="S3827" s="103"/>
      <c r="T3827" s="103"/>
      <c r="U3827" s="148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1">
        <v>3822.0</v>
      </c>
      <c r="B3828" s="180" t="s">
        <v>6442</v>
      </c>
      <c r="C3828" s="82" t="str">
        <f>VLOOKUP($B$7:$B$5000,SUM!$L$6:$L$500,1,FALSE)</f>
        <v>#N/A</v>
      </c>
      <c r="D3828" s="190" t="s">
        <v>6283</v>
      </c>
      <c r="E3828" s="198" t="s">
        <v>58</v>
      </c>
      <c r="F3828" s="199" t="s">
        <v>105</v>
      </c>
      <c r="G3828" s="191" t="s">
        <v>6357</v>
      </c>
      <c r="H3828" s="225" t="s">
        <v>6309</v>
      </c>
      <c r="I3828" s="197" t="s">
        <v>6440</v>
      </c>
      <c r="J3828" s="148" t="s">
        <v>108</v>
      </c>
      <c r="K3828" s="148" t="s">
        <v>64</v>
      </c>
      <c r="L3828" s="148" t="s">
        <v>65</v>
      </c>
      <c r="M3828" s="148" t="s">
        <v>66</v>
      </c>
      <c r="N3828" s="234">
        <v>46190.0</v>
      </c>
      <c r="O3828" s="148" t="s">
        <v>67</v>
      </c>
      <c r="P3828" s="148" t="s">
        <v>68</v>
      </c>
      <c r="Q3828" s="103"/>
      <c r="R3828" s="103"/>
      <c r="S3828" s="103"/>
      <c r="T3828" s="103"/>
      <c r="U3828" s="148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1">
        <v>3823.0</v>
      </c>
      <c r="B3829" s="180" t="s">
        <v>6443</v>
      </c>
      <c r="C3829" s="82" t="str">
        <f>VLOOKUP($B$7:$B$5000,SUM!$L$6:$L$500,1,FALSE)</f>
        <v>#N/A</v>
      </c>
      <c r="D3829" s="190" t="s">
        <v>6283</v>
      </c>
      <c r="E3829" s="198" t="s">
        <v>58</v>
      </c>
      <c r="F3829" s="199" t="s">
        <v>105</v>
      </c>
      <c r="G3829" s="191" t="s">
        <v>1362</v>
      </c>
      <c r="H3829" s="225" t="s">
        <v>6311</v>
      </c>
      <c r="I3829" s="197" t="s">
        <v>6444</v>
      </c>
      <c r="J3829" s="148" t="s">
        <v>108</v>
      </c>
      <c r="K3829" s="148" t="s">
        <v>64</v>
      </c>
      <c r="L3829" s="148" t="s">
        <v>65</v>
      </c>
      <c r="M3829" s="148" t="s">
        <v>66</v>
      </c>
      <c r="N3829" s="234">
        <v>46190.0</v>
      </c>
      <c r="O3829" s="148" t="s">
        <v>67</v>
      </c>
      <c r="P3829" s="148" t="s">
        <v>68</v>
      </c>
      <c r="Q3829" s="103"/>
      <c r="R3829" s="103"/>
      <c r="S3829" s="103"/>
      <c r="T3829" s="103"/>
      <c r="U3829" s="148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1">
        <v>3824.0</v>
      </c>
      <c r="B3830" s="180" t="s">
        <v>6445</v>
      </c>
      <c r="C3830" s="82" t="str">
        <f>VLOOKUP($B$7:$B$5000,SUM!$L$6:$L$500,1,FALSE)</f>
        <v>#N/A</v>
      </c>
      <c r="D3830" s="190" t="s">
        <v>6283</v>
      </c>
      <c r="E3830" s="198" t="s">
        <v>58</v>
      </c>
      <c r="F3830" s="199" t="s">
        <v>105</v>
      </c>
      <c r="G3830" s="191" t="s">
        <v>1362</v>
      </c>
      <c r="H3830" s="225" t="s">
        <v>6313</v>
      </c>
      <c r="I3830" s="197" t="s">
        <v>6444</v>
      </c>
      <c r="J3830" s="148" t="s">
        <v>108</v>
      </c>
      <c r="K3830" s="148" t="s">
        <v>64</v>
      </c>
      <c r="L3830" s="148" t="s">
        <v>65</v>
      </c>
      <c r="M3830" s="148" t="s">
        <v>66</v>
      </c>
      <c r="N3830" s="234">
        <v>46190.0</v>
      </c>
      <c r="O3830" s="148" t="s">
        <v>67</v>
      </c>
      <c r="P3830" s="148" t="s">
        <v>68</v>
      </c>
      <c r="Q3830" s="103"/>
      <c r="R3830" s="103"/>
      <c r="S3830" s="103"/>
      <c r="T3830" s="103"/>
      <c r="U3830" s="148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1">
        <v>3825.0</v>
      </c>
      <c r="B3831" s="180" t="s">
        <v>6446</v>
      </c>
      <c r="C3831" s="82" t="str">
        <f>VLOOKUP($B$7:$B$5000,SUM!$L$6:$L$500,1,FALSE)</f>
        <v>#N/A</v>
      </c>
      <c r="D3831" s="190" t="s">
        <v>6283</v>
      </c>
      <c r="E3831" s="198" t="s">
        <v>58</v>
      </c>
      <c r="F3831" s="199" t="s">
        <v>105</v>
      </c>
      <c r="G3831" s="191" t="s">
        <v>1362</v>
      </c>
      <c r="H3831" s="225" t="s">
        <v>6315</v>
      </c>
      <c r="I3831" s="197" t="s">
        <v>6444</v>
      </c>
      <c r="J3831" s="148" t="s">
        <v>108</v>
      </c>
      <c r="K3831" s="148" t="s">
        <v>64</v>
      </c>
      <c r="L3831" s="148" t="s">
        <v>65</v>
      </c>
      <c r="M3831" s="148" t="s">
        <v>66</v>
      </c>
      <c r="N3831" s="234">
        <v>46190.0</v>
      </c>
      <c r="O3831" s="148" t="s">
        <v>67</v>
      </c>
      <c r="P3831" s="148" t="s">
        <v>68</v>
      </c>
      <c r="Q3831" s="103"/>
      <c r="R3831" s="103"/>
      <c r="S3831" s="103"/>
      <c r="T3831" s="103"/>
      <c r="U3831" s="148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1">
        <v>3826.0</v>
      </c>
      <c r="B3832" s="180" t="s">
        <v>6447</v>
      </c>
      <c r="C3832" s="82" t="str">
        <f>VLOOKUP($B$7:$B$5000,SUM!$L$6:$L$500,1,FALSE)</f>
        <v>#N/A</v>
      </c>
      <c r="D3832" s="190" t="s">
        <v>6283</v>
      </c>
      <c r="E3832" s="198" t="s">
        <v>58</v>
      </c>
      <c r="F3832" s="199" t="s">
        <v>105</v>
      </c>
      <c r="G3832" s="191" t="s">
        <v>1362</v>
      </c>
      <c r="H3832" s="225" t="s">
        <v>6317</v>
      </c>
      <c r="I3832" s="197" t="s">
        <v>6444</v>
      </c>
      <c r="J3832" s="148" t="s">
        <v>108</v>
      </c>
      <c r="K3832" s="148" t="s">
        <v>64</v>
      </c>
      <c r="L3832" s="148" t="s">
        <v>65</v>
      </c>
      <c r="M3832" s="148" t="s">
        <v>66</v>
      </c>
      <c r="N3832" s="234">
        <v>46190.0</v>
      </c>
      <c r="O3832" s="148" t="s">
        <v>67</v>
      </c>
      <c r="P3832" s="148" t="s">
        <v>68</v>
      </c>
      <c r="Q3832" s="103"/>
      <c r="R3832" s="103"/>
      <c r="S3832" s="103"/>
      <c r="T3832" s="103"/>
      <c r="U3832" s="148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1">
        <v>3827.0</v>
      </c>
      <c r="B3833" s="180" t="s">
        <v>6448</v>
      </c>
      <c r="C3833" s="82" t="str">
        <f>VLOOKUP($B$7:$B$5000,SUM!$L$6:$L$500,1,FALSE)</f>
        <v>#N/A</v>
      </c>
      <c r="D3833" s="190" t="s">
        <v>6283</v>
      </c>
      <c r="E3833" s="198" t="s">
        <v>58</v>
      </c>
      <c r="F3833" s="199" t="s">
        <v>105</v>
      </c>
      <c r="G3833" s="125"/>
      <c r="H3833" s="199" t="s">
        <v>6325</v>
      </c>
      <c r="I3833" s="197" t="s">
        <v>6449</v>
      </c>
      <c r="J3833" s="148" t="s">
        <v>108</v>
      </c>
      <c r="K3833" s="148" t="s">
        <v>64</v>
      </c>
      <c r="L3833" s="148" t="s">
        <v>65</v>
      </c>
      <c r="M3833" s="148" t="s">
        <v>66</v>
      </c>
      <c r="N3833" s="234">
        <v>46190.0</v>
      </c>
      <c r="O3833" s="148" t="s">
        <v>67</v>
      </c>
      <c r="P3833" s="148" t="s">
        <v>68</v>
      </c>
      <c r="Q3833" s="103"/>
      <c r="R3833" s="103"/>
      <c r="S3833" s="103"/>
      <c r="T3833" s="103"/>
      <c r="U3833" s="148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1">
        <v>3828.0</v>
      </c>
      <c r="B3834" s="180" t="s">
        <v>6450</v>
      </c>
      <c r="C3834" s="82" t="str">
        <f>VLOOKUP($B$7:$B$5000,SUM!$L$6:$L$500,1,FALSE)</f>
        <v>#N/A</v>
      </c>
      <c r="D3834" s="190" t="s">
        <v>6283</v>
      </c>
      <c r="E3834" s="198" t="s">
        <v>58</v>
      </c>
      <c r="F3834" s="199" t="s">
        <v>105</v>
      </c>
      <c r="G3834" s="125"/>
      <c r="H3834" s="235" t="s">
        <v>6337</v>
      </c>
      <c r="I3834" s="197" t="s">
        <v>6451</v>
      </c>
      <c r="J3834" s="148" t="s">
        <v>108</v>
      </c>
      <c r="K3834" s="148" t="s">
        <v>64</v>
      </c>
      <c r="L3834" s="148" t="s">
        <v>65</v>
      </c>
      <c r="M3834" s="148" t="s">
        <v>66</v>
      </c>
      <c r="N3834" s="234">
        <v>46190.0</v>
      </c>
      <c r="O3834" s="148" t="s">
        <v>67</v>
      </c>
      <c r="P3834" s="148" t="s">
        <v>68</v>
      </c>
      <c r="Q3834" s="103"/>
      <c r="R3834" s="103"/>
      <c r="S3834" s="103"/>
      <c r="T3834" s="103"/>
      <c r="U3834" s="148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1">
        <v>3829.0</v>
      </c>
      <c r="B3835" s="180" t="s">
        <v>6452</v>
      </c>
      <c r="C3835" s="82" t="str">
        <f>VLOOKUP($B$7:$B$5000,SUM!$L$6:$L$500,1,FALSE)</f>
        <v>#N/A</v>
      </c>
      <c r="D3835" s="190" t="s">
        <v>6283</v>
      </c>
      <c r="E3835" s="198" t="s">
        <v>58</v>
      </c>
      <c r="F3835" s="199" t="s">
        <v>105</v>
      </c>
      <c r="G3835" s="125"/>
      <c r="H3835" s="235" t="s">
        <v>6339</v>
      </c>
      <c r="I3835" s="197" t="s">
        <v>6451</v>
      </c>
      <c r="J3835" s="148" t="s">
        <v>108</v>
      </c>
      <c r="K3835" s="148" t="s">
        <v>64</v>
      </c>
      <c r="L3835" s="148" t="s">
        <v>65</v>
      </c>
      <c r="M3835" s="148" t="s">
        <v>66</v>
      </c>
      <c r="N3835" s="234">
        <v>46190.0</v>
      </c>
      <c r="O3835" s="148" t="s">
        <v>67</v>
      </c>
      <c r="P3835" s="148" t="s">
        <v>68</v>
      </c>
      <c r="Q3835" s="103"/>
      <c r="R3835" s="103"/>
      <c r="S3835" s="103"/>
      <c r="T3835" s="103"/>
      <c r="U3835" s="148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1">
        <v>3830.0</v>
      </c>
      <c r="B3836" s="180" t="s">
        <v>6453</v>
      </c>
      <c r="C3836" s="82" t="str">
        <f>VLOOKUP($B$7:$B$5000,SUM!$L$6:$L$500,1,FALSE)</f>
        <v>#N/A</v>
      </c>
      <c r="D3836" s="190" t="s">
        <v>6283</v>
      </c>
      <c r="E3836" s="198" t="s">
        <v>58</v>
      </c>
      <c r="F3836" s="199" t="s">
        <v>105</v>
      </c>
      <c r="G3836" s="125"/>
      <c r="H3836" s="236" t="s">
        <v>6341</v>
      </c>
      <c r="I3836" s="197" t="s">
        <v>6454</v>
      </c>
      <c r="J3836" s="148" t="s">
        <v>108</v>
      </c>
      <c r="K3836" s="148" t="s">
        <v>64</v>
      </c>
      <c r="L3836" s="148" t="s">
        <v>65</v>
      </c>
      <c r="M3836" s="148" t="s">
        <v>66</v>
      </c>
      <c r="N3836" s="234">
        <v>46190.0</v>
      </c>
      <c r="O3836" s="148" t="s">
        <v>67</v>
      </c>
      <c r="P3836" s="148" t="s">
        <v>68</v>
      </c>
      <c r="Q3836" s="103"/>
      <c r="R3836" s="103"/>
      <c r="S3836" s="103"/>
      <c r="T3836" s="103"/>
      <c r="U3836" s="148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1">
        <v>3831.0</v>
      </c>
      <c r="B3837" s="180" t="s">
        <v>6455</v>
      </c>
      <c r="C3837" s="82" t="str">
        <f>VLOOKUP($B$7:$B$5000,SUM!$L$6:$L$500,1,FALSE)</f>
        <v>#N/A</v>
      </c>
      <c r="D3837" s="190" t="s">
        <v>6283</v>
      </c>
      <c r="E3837" s="198" t="s">
        <v>58</v>
      </c>
      <c r="F3837" s="199" t="s">
        <v>105</v>
      </c>
      <c r="G3837" s="125"/>
      <c r="H3837" s="236" t="s">
        <v>6343</v>
      </c>
      <c r="I3837" s="197" t="s">
        <v>6454</v>
      </c>
      <c r="J3837" s="148" t="s">
        <v>108</v>
      </c>
      <c r="K3837" s="148" t="s">
        <v>64</v>
      </c>
      <c r="L3837" s="148" t="s">
        <v>65</v>
      </c>
      <c r="M3837" s="148" t="s">
        <v>66</v>
      </c>
      <c r="N3837" s="234">
        <v>46190.0</v>
      </c>
      <c r="O3837" s="148" t="s">
        <v>67</v>
      </c>
      <c r="P3837" s="148" t="s">
        <v>68</v>
      </c>
      <c r="Q3837" s="103"/>
      <c r="R3837" s="103"/>
      <c r="S3837" s="103"/>
      <c r="T3837" s="103"/>
      <c r="U3837" s="148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1">
        <v>3832.0</v>
      </c>
      <c r="B3838" s="180" t="s">
        <v>6456</v>
      </c>
      <c r="C3838" s="82" t="str">
        <f>VLOOKUP($B$7:$B$5000,SUM!$L$6:$L$500,1,FALSE)</f>
        <v>#N/A</v>
      </c>
      <c r="D3838" s="190" t="s">
        <v>6283</v>
      </c>
      <c r="E3838" s="198" t="s">
        <v>58</v>
      </c>
      <c r="F3838" s="199" t="s">
        <v>105</v>
      </c>
      <c r="G3838" s="125"/>
      <c r="H3838" s="236" t="s">
        <v>6345</v>
      </c>
      <c r="I3838" s="197" t="s">
        <v>6457</v>
      </c>
      <c r="J3838" s="148" t="s">
        <v>108</v>
      </c>
      <c r="K3838" s="148" t="s">
        <v>64</v>
      </c>
      <c r="L3838" s="148" t="s">
        <v>65</v>
      </c>
      <c r="M3838" s="148" t="s">
        <v>66</v>
      </c>
      <c r="N3838" s="234">
        <v>46190.0</v>
      </c>
      <c r="O3838" s="148" t="s">
        <v>67</v>
      </c>
      <c r="P3838" s="148" t="s">
        <v>68</v>
      </c>
      <c r="Q3838" s="103"/>
      <c r="R3838" s="103"/>
      <c r="S3838" s="103"/>
      <c r="T3838" s="103"/>
      <c r="U3838" s="148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1">
        <v>3833.0</v>
      </c>
      <c r="B3839" s="180" t="s">
        <v>6458</v>
      </c>
      <c r="C3839" s="82" t="str">
        <f>VLOOKUP($B$7:$B$5000,SUM!$L$6:$L$500,1,FALSE)</f>
        <v>#N/A</v>
      </c>
      <c r="D3839" s="190" t="s">
        <v>6283</v>
      </c>
      <c r="E3839" s="198" t="s">
        <v>58</v>
      </c>
      <c r="F3839" s="199" t="s">
        <v>105</v>
      </c>
      <c r="G3839" s="125"/>
      <c r="H3839" s="236" t="s">
        <v>6347</v>
      </c>
      <c r="I3839" s="197" t="s">
        <v>6457</v>
      </c>
      <c r="J3839" s="148" t="s">
        <v>108</v>
      </c>
      <c r="K3839" s="148" t="s">
        <v>64</v>
      </c>
      <c r="L3839" s="148" t="s">
        <v>65</v>
      </c>
      <c r="M3839" s="148" t="s">
        <v>66</v>
      </c>
      <c r="N3839" s="234">
        <v>46190.0</v>
      </c>
      <c r="O3839" s="148" t="s">
        <v>67</v>
      </c>
      <c r="P3839" s="148" t="s">
        <v>68</v>
      </c>
      <c r="Q3839" s="103"/>
      <c r="R3839" s="103"/>
      <c r="S3839" s="103"/>
      <c r="T3839" s="103"/>
      <c r="U3839" s="148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1">
        <v>3834.0</v>
      </c>
      <c r="B3840" s="180" t="s">
        <v>6459</v>
      </c>
      <c r="C3840" s="82" t="str">
        <f>VLOOKUP($B$7:$B$5000,SUM!$L$6:$L$500,1,FALSE)</f>
        <v>#N/A</v>
      </c>
      <c r="D3840" s="190" t="s">
        <v>6283</v>
      </c>
      <c r="E3840" s="198" t="s">
        <v>58</v>
      </c>
      <c r="F3840" s="199" t="s">
        <v>105</v>
      </c>
      <c r="G3840" s="125"/>
      <c r="H3840" s="225" t="s">
        <v>6358</v>
      </c>
      <c r="I3840" s="197" t="s">
        <v>6440</v>
      </c>
      <c r="J3840" s="148" t="s">
        <v>108</v>
      </c>
      <c r="K3840" s="148" t="s">
        <v>64</v>
      </c>
      <c r="L3840" s="148" t="s">
        <v>65</v>
      </c>
      <c r="M3840" s="148" t="s">
        <v>66</v>
      </c>
      <c r="N3840" s="234">
        <v>46190.0</v>
      </c>
      <c r="O3840" s="148" t="s">
        <v>67</v>
      </c>
      <c r="P3840" s="148" t="s">
        <v>68</v>
      </c>
      <c r="Q3840" s="103"/>
      <c r="R3840" s="103"/>
      <c r="S3840" s="103"/>
      <c r="T3840" s="103"/>
      <c r="U3840" s="148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1">
        <v>3835.0</v>
      </c>
      <c r="B3841" s="180" t="s">
        <v>6460</v>
      </c>
      <c r="C3841" s="82" t="str">
        <f>VLOOKUP($B$7:$B$5000,SUM!$L$6:$L$500,1,FALSE)</f>
        <v>#N/A</v>
      </c>
      <c r="D3841" s="190" t="s">
        <v>6283</v>
      </c>
      <c r="E3841" s="198" t="s">
        <v>58</v>
      </c>
      <c r="F3841" s="199" t="s">
        <v>105</v>
      </c>
      <c r="G3841" s="125"/>
      <c r="H3841" s="225" t="s">
        <v>6361</v>
      </c>
      <c r="I3841" s="197" t="s">
        <v>6440</v>
      </c>
      <c r="J3841" s="148" t="s">
        <v>108</v>
      </c>
      <c r="K3841" s="148" t="s">
        <v>64</v>
      </c>
      <c r="L3841" s="148" t="s">
        <v>65</v>
      </c>
      <c r="M3841" s="148" t="s">
        <v>66</v>
      </c>
      <c r="N3841" s="234">
        <v>46190.0</v>
      </c>
      <c r="O3841" s="148" t="s">
        <v>67</v>
      </c>
      <c r="P3841" s="148" t="s">
        <v>68</v>
      </c>
      <c r="Q3841" s="103"/>
      <c r="R3841" s="103"/>
      <c r="S3841" s="103"/>
      <c r="T3841" s="103"/>
      <c r="U3841" s="148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1">
        <v>3836.0</v>
      </c>
      <c r="B3842" s="180" t="s">
        <v>6461</v>
      </c>
      <c r="C3842" s="82" t="str">
        <f>VLOOKUP($B$7:$B$5000,SUM!$L$6:$L$500,1,FALSE)</f>
        <v>#N/A</v>
      </c>
      <c r="D3842" s="190" t="s">
        <v>6283</v>
      </c>
      <c r="E3842" s="198" t="s">
        <v>58</v>
      </c>
      <c r="F3842" s="199" t="s">
        <v>105</v>
      </c>
      <c r="G3842" s="125"/>
      <c r="H3842" s="225" t="s">
        <v>6363</v>
      </c>
      <c r="I3842" s="197" t="s">
        <v>6440</v>
      </c>
      <c r="J3842" s="148" t="s">
        <v>108</v>
      </c>
      <c r="K3842" s="148" t="s">
        <v>64</v>
      </c>
      <c r="L3842" s="148" t="s">
        <v>65</v>
      </c>
      <c r="M3842" s="148" t="s">
        <v>66</v>
      </c>
      <c r="N3842" s="234">
        <v>46190.0</v>
      </c>
      <c r="O3842" s="148" t="s">
        <v>67</v>
      </c>
      <c r="P3842" s="148" t="s">
        <v>68</v>
      </c>
      <c r="Q3842" s="103"/>
      <c r="R3842" s="103"/>
      <c r="S3842" s="103"/>
      <c r="T3842" s="103"/>
      <c r="U3842" s="148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1">
        <v>3837.0</v>
      </c>
      <c r="B3843" s="180" t="s">
        <v>6462</v>
      </c>
      <c r="C3843" s="82" t="str">
        <f>VLOOKUP($B$7:$B$5000,SUM!$L$6:$L$500,1,FALSE)</f>
        <v>#N/A</v>
      </c>
      <c r="D3843" s="190" t="s">
        <v>6283</v>
      </c>
      <c r="E3843" s="198" t="s">
        <v>58</v>
      </c>
      <c r="F3843" s="199" t="s">
        <v>105</v>
      </c>
      <c r="G3843" s="125"/>
      <c r="H3843" s="225" t="s">
        <v>6365</v>
      </c>
      <c r="I3843" s="197" t="s">
        <v>6440</v>
      </c>
      <c r="J3843" s="148" t="s">
        <v>108</v>
      </c>
      <c r="K3843" s="148" t="s">
        <v>64</v>
      </c>
      <c r="L3843" s="148" t="s">
        <v>65</v>
      </c>
      <c r="M3843" s="148" t="s">
        <v>66</v>
      </c>
      <c r="N3843" s="234">
        <v>46190.0</v>
      </c>
      <c r="O3843" s="148" t="s">
        <v>67</v>
      </c>
      <c r="P3843" s="148" t="s">
        <v>68</v>
      </c>
      <c r="Q3843" s="103"/>
      <c r="R3843" s="103"/>
      <c r="S3843" s="103"/>
      <c r="T3843" s="103"/>
      <c r="U3843" s="148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1">
        <v>3838.0</v>
      </c>
      <c r="B3844" s="180" t="s">
        <v>6463</v>
      </c>
      <c r="C3844" s="82" t="str">
        <f>VLOOKUP($B$7:$B$5000,SUM!$L$6:$L$500,1,FALSE)</f>
        <v>#N/A</v>
      </c>
      <c r="D3844" s="190" t="s">
        <v>6283</v>
      </c>
      <c r="E3844" s="198" t="s">
        <v>58</v>
      </c>
      <c r="F3844" s="199" t="s">
        <v>105</v>
      </c>
      <c r="G3844" s="125"/>
      <c r="H3844" s="225" t="s">
        <v>6370</v>
      </c>
      <c r="I3844" s="197" t="s">
        <v>6464</v>
      </c>
      <c r="J3844" s="148" t="s">
        <v>108</v>
      </c>
      <c r="K3844" s="148" t="s">
        <v>64</v>
      </c>
      <c r="L3844" s="148" t="s">
        <v>65</v>
      </c>
      <c r="M3844" s="148" t="s">
        <v>66</v>
      </c>
      <c r="N3844" s="234">
        <v>46190.0</v>
      </c>
      <c r="O3844" s="148" t="s">
        <v>67</v>
      </c>
      <c r="P3844" s="148" t="s">
        <v>68</v>
      </c>
      <c r="Q3844" s="103"/>
      <c r="R3844" s="103"/>
      <c r="S3844" s="103"/>
      <c r="T3844" s="103"/>
      <c r="U3844" s="148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1">
        <v>3839.0</v>
      </c>
      <c r="B3845" s="180" t="s">
        <v>6465</v>
      </c>
      <c r="C3845" s="82" t="str">
        <f>VLOOKUP($B$7:$B$5000,SUM!$L$6:$L$500,1,FALSE)</f>
        <v>#N/A</v>
      </c>
      <c r="D3845" s="190" t="s">
        <v>6283</v>
      </c>
      <c r="E3845" s="198" t="s">
        <v>58</v>
      </c>
      <c r="F3845" s="199" t="s">
        <v>105</v>
      </c>
      <c r="G3845" s="125"/>
      <c r="H3845" s="225" t="s">
        <v>6372</v>
      </c>
      <c r="I3845" s="197" t="s">
        <v>6464</v>
      </c>
      <c r="J3845" s="148" t="s">
        <v>108</v>
      </c>
      <c r="K3845" s="148" t="s">
        <v>64</v>
      </c>
      <c r="L3845" s="148" t="s">
        <v>65</v>
      </c>
      <c r="M3845" s="148" t="s">
        <v>66</v>
      </c>
      <c r="N3845" s="234">
        <v>46190.0</v>
      </c>
      <c r="O3845" s="148" t="s">
        <v>67</v>
      </c>
      <c r="P3845" s="148" t="s">
        <v>68</v>
      </c>
      <c r="Q3845" s="103"/>
      <c r="R3845" s="103"/>
      <c r="S3845" s="103"/>
      <c r="T3845" s="103"/>
      <c r="U3845" s="148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1">
        <v>3840.0</v>
      </c>
      <c r="B3846" s="180" t="s">
        <v>6466</v>
      </c>
      <c r="C3846" s="82" t="str">
        <f>VLOOKUP($B$7:$B$5000,SUM!$L$6:$L$500,1,FALSE)</f>
        <v>#N/A</v>
      </c>
      <c r="D3846" s="190" t="s">
        <v>6283</v>
      </c>
      <c r="E3846" s="198" t="s">
        <v>58</v>
      </c>
      <c r="F3846" s="199" t="s">
        <v>105</v>
      </c>
      <c r="G3846" s="125"/>
      <c r="H3846" s="225" t="s">
        <v>6374</v>
      </c>
      <c r="I3846" s="197" t="s">
        <v>6464</v>
      </c>
      <c r="J3846" s="148" t="s">
        <v>108</v>
      </c>
      <c r="K3846" s="148" t="s">
        <v>64</v>
      </c>
      <c r="L3846" s="148" t="s">
        <v>65</v>
      </c>
      <c r="M3846" s="148" t="s">
        <v>66</v>
      </c>
      <c r="N3846" s="234">
        <v>46190.0</v>
      </c>
      <c r="O3846" s="148" t="s">
        <v>67</v>
      </c>
      <c r="P3846" s="148" t="s">
        <v>68</v>
      </c>
      <c r="Q3846" s="103"/>
      <c r="R3846" s="103"/>
      <c r="S3846" s="103"/>
      <c r="T3846" s="103"/>
      <c r="U3846" s="148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1">
        <v>3841.0</v>
      </c>
      <c r="B3847" s="180" t="s">
        <v>6467</v>
      </c>
      <c r="C3847" s="82" t="str">
        <f>VLOOKUP($B$7:$B$5000,SUM!$L$6:$L$500,1,FALSE)</f>
        <v>#N/A</v>
      </c>
      <c r="D3847" s="190" t="s">
        <v>6283</v>
      </c>
      <c r="E3847" s="198" t="s">
        <v>58</v>
      </c>
      <c r="F3847" s="199" t="s">
        <v>105</v>
      </c>
      <c r="G3847" s="125"/>
      <c r="H3847" s="199" t="s">
        <v>6376</v>
      </c>
      <c r="I3847" s="197" t="s">
        <v>6468</v>
      </c>
      <c r="J3847" s="148" t="s">
        <v>108</v>
      </c>
      <c r="K3847" s="148" t="s">
        <v>64</v>
      </c>
      <c r="L3847" s="148" t="s">
        <v>65</v>
      </c>
      <c r="M3847" s="148" t="s">
        <v>66</v>
      </c>
      <c r="N3847" s="234">
        <v>46190.0</v>
      </c>
      <c r="O3847" s="148" t="s">
        <v>67</v>
      </c>
      <c r="P3847" s="148" t="s">
        <v>68</v>
      </c>
      <c r="Q3847" s="103"/>
      <c r="R3847" s="103"/>
      <c r="S3847" s="103"/>
      <c r="T3847" s="103"/>
      <c r="U3847" s="148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1">
        <v>3842.0</v>
      </c>
      <c r="B3848" s="180" t="s">
        <v>6469</v>
      </c>
      <c r="C3848" s="82" t="str">
        <f>VLOOKUP($B$7:$B$5000,SUM!$L$6:$L$500,1,FALSE)</f>
        <v>#N/A</v>
      </c>
      <c r="D3848" s="190" t="s">
        <v>6283</v>
      </c>
      <c r="E3848" s="198" t="s">
        <v>58</v>
      </c>
      <c r="F3848" s="199" t="s">
        <v>105</v>
      </c>
      <c r="G3848" s="125"/>
      <c r="H3848" s="237" t="s">
        <v>6379</v>
      </c>
      <c r="I3848" s="238" t="s">
        <v>6470</v>
      </c>
      <c r="J3848" s="148" t="s">
        <v>108</v>
      </c>
      <c r="K3848" s="148" t="s">
        <v>64</v>
      </c>
      <c r="L3848" s="148" t="s">
        <v>65</v>
      </c>
      <c r="M3848" s="148" t="s">
        <v>66</v>
      </c>
      <c r="N3848" s="234">
        <v>46190.0</v>
      </c>
      <c r="O3848" s="148" t="s">
        <v>67</v>
      </c>
      <c r="P3848" s="148" t="s">
        <v>68</v>
      </c>
      <c r="Q3848" s="103"/>
      <c r="R3848" s="103"/>
      <c r="S3848" s="103"/>
      <c r="T3848" s="103"/>
      <c r="U3848" s="148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1">
        <v>3843.0</v>
      </c>
      <c r="B3849" s="180" t="s">
        <v>6471</v>
      </c>
      <c r="C3849" s="82" t="str">
        <f>VLOOKUP($B$7:$B$5000,SUM!$L$6:$L$500,1,FALSE)</f>
        <v>#N/A</v>
      </c>
      <c r="D3849" s="190" t="s">
        <v>6283</v>
      </c>
      <c r="E3849" s="198" t="s">
        <v>58</v>
      </c>
      <c r="F3849" s="199" t="s">
        <v>105</v>
      </c>
      <c r="G3849" s="125"/>
      <c r="H3849" s="237" t="s">
        <v>6381</v>
      </c>
      <c r="I3849" s="238" t="s">
        <v>6470</v>
      </c>
      <c r="J3849" s="148" t="s">
        <v>108</v>
      </c>
      <c r="K3849" s="148" t="s">
        <v>64</v>
      </c>
      <c r="L3849" s="148" t="s">
        <v>65</v>
      </c>
      <c r="M3849" s="148" t="s">
        <v>66</v>
      </c>
      <c r="N3849" s="234">
        <v>46190.0</v>
      </c>
      <c r="O3849" s="148" t="s">
        <v>67</v>
      </c>
      <c r="P3849" s="148" t="s">
        <v>68</v>
      </c>
      <c r="Q3849" s="103"/>
      <c r="R3849" s="103"/>
      <c r="S3849" s="103"/>
      <c r="T3849" s="103"/>
      <c r="U3849" s="148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1">
        <v>3844.0</v>
      </c>
      <c r="B3850" s="180" t="s">
        <v>6472</v>
      </c>
      <c r="C3850" s="82" t="str">
        <f>VLOOKUP($B$7:$B$5000,SUM!$L$6:$L$500,1,FALSE)</f>
        <v>#N/A</v>
      </c>
      <c r="D3850" s="190" t="s">
        <v>6283</v>
      </c>
      <c r="E3850" s="198" t="s">
        <v>58</v>
      </c>
      <c r="F3850" s="199" t="s">
        <v>105</v>
      </c>
      <c r="G3850" s="125"/>
      <c r="H3850" s="225" t="s">
        <v>6383</v>
      </c>
      <c r="I3850" s="197" t="s">
        <v>6464</v>
      </c>
      <c r="J3850" s="148" t="s">
        <v>108</v>
      </c>
      <c r="K3850" s="148" t="s">
        <v>64</v>
      </c>
      <c r="L3850" s="148" t="s">
        <v>65</v>
      </c>
      <c r="M3850" s="148" t="s">
        <v>66</v>
      </c>
      <c r="N3850" s="234">
        <v>46190.0</v>
      </c>
      <c r="O3850" s="148" t="s">
        <v>67</v>
      </c>
      <c r="P3850" s="148" t="s">
        <v>68</v>
      </c>
      <c r="Q3850" s="103"/>
      <c r="R3850" s="103"/>
      <c r="S3850" s="103"/>
      <c r="T3850" s="103"/>
      <c r="U3850" s="148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1">
        <v>3845.0</v>
      </c>
      <c r="B3851" s="180" t="s">
        <v>6473</v>
      </c>
      <c r="C3851" s="82" t="str">
        <f>VLOOKUP($B$7:$B$5000,SUM!$L$6:$L$500,1,FALSE)</f>
        <v>#N/A</v>
      </c>
      <c r="D3851" s="190" t="s">
        <v>6283</v>
      </c>
      <c r="E3851" s="198" t="s">
        <v>58</v>
      </c>
      <c r="F3851" s="199" t="s">
        <v>105</v>
      </c>
      <c r="G3851" s="125"/>
      <c r="H3851" s="225" t="s">
        <v>6385</v>
      </c>
      <c r="I3851" s="197" t="s">
        <v>6464</v>
      </c>
      <c r="J3851" s="148" t="s">
        <v>108</v>
      </c>
      <c r="K3851" s="148" t="s">
        <v>64</v>
      </c>
      <c r="L3851" s="148" t="s">
        <v>65</v>
      </c>
      <c r="M3851" s="148" t="s">
        <v>66</v>
      </c>
      <c r="N3851" s="234">
        <v>46190.0</v>
      </c>
      <c r="O3851" s="148" t="s">
        <v>67</v>
      </c>
      <c r="P3851" s="148" t="s">
        <v>68</v>
      </c>
      <c r="Q3851" s="103"/>
      <c r="R3851" s="103"/>
      <c r="S3851" s="103"/>
      <c r="T3851" s="103"/>
      <c r="U3851" s="148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1">
        <v>3846.0</v>
      </c>
      <c r="B3852" s="180" t="s">
        <v>6474</v>
      </c>
      <c r="C3852" s="82" t="str">
        <f>VLOOKUP($B$7:$B$5000,SUM!$L$6:$L$500,1,FALSE)</f>
        <v>#N/A</v>
      </c>
      <c r="D3852" s="190" t="s">
        <v>6283</v>
      </c>
      <c r="E3852" s="198" t="s">
        <v>58</v>
      </c>
      <c r="F3852" s="199" t="s">
        <v>105</v>
      </c>
      <c r="G3852" s="125"/>
      <c r="H3852" s="225" t="s">
        <v>6387</v>
      </c>
      <c r="I3852" s="197" t="s">
        <v>6464</v>
      </c>
      <c r="J3852" s="148" t="s">
        <v>108</v>
      </c>
      <c r="K3852" s="148" t="s">
        <v>64</v>
      </c>
      <c r="L3852" s="148" t="s">
        <v>65</v>
      </c>
      <c r="M3852" s="148" t="s">
        <v>66</v>
      </c>
      <c r="N3852" s="234">
        <v>46190.0</v>
      </c>
      <c r="O3852" s="148" t="s">
        <v>67</v>
      </c>
      <c r="P3852" s="148" t="s">
        <v>68</v>
      </c>
      <c r="Q3852" s="103"/>
      <c r="R3852" s="103"/>
      <c r="S3852" s="103"/>
      <c r="T3852" s="103"/>
      <c r="U3852" s="148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1">
        <v>3847.0</v>
      </c>
      <c r="B3853" s="180" t="s">
        <v>6475</v>
      </c>
      <c r="C3853" s="82" t="str">
        <f>VLOOKUP($B$7:$B$5000,SUM!$L$6:$L$500,1,FALSE)</f>
        <v>#N/A</v>
      </c>
      <c r="D3853" s="190" t="s">
        <v>6283</v>
      </c>
      <c r="E3853" s="198" t="s">
        <v>58</v>
      </c>
      <c r="F3853" s="199" t="s">
        <v>105</v>
      </c>
      <c r="G3853" s="125"/>
      <c r="H3853" s="225" t="s">
        <v>6389</v>
      </c>
      <c r="I3853" s="197" t="s">
        <v>6464</v>
      </c>
      <c r="J3853" s="148" t="s">
        <v>108</v>
      </c>
      <c r="K3853" s="148" t="s">
        <v>64</v>
      </c>
      <c r="L3853" s="148" t="s">
        <v>65</v>
      </c>
      <c r="M3853" s="148" t="s">
        <v>66</v>
      </c>
      <c r="N3853" s="234">
        <v>46190.0</v>
      </c>
      <c r="O3853" s="148" t="s">
        <v>67</v>
      </c>
      <c r="P3853" s="148" t="s">
        <v>68</v>
      </c>
      <c r="Q3853" s="103"/>
      <c r="R3853" s="103"/>
      <c r="S3853" s="103"/>
      <c r="T3853" s="103"/>
      <c r="U3853" s="148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1">
        <v>3848.0</v>
      </c>
      <c r="B3854" s="180" t="s">
        <v>6476</v>
      </c>
      <c r="C3854" s="82" t="str">
        <f>VLOOKUP($B$7:$B$5000,SUM!$L$6:$L$500,1,FALSE)</f>
        <v>#N/A</v>
      </c>
      <c r="D3854" s="190" t="s">
        <v>6283</v>
      </c>
      <c r="E3854" s="198" t="s">
        <v>58</v>
      </c>
      <c r="F3854" s="199" t="s">
        <v>105</v>
      </c>
      <c r="G3854" s="125"/>
      <c r="H3854" s="225" t="s">
        <v>6391</v>
      </c>
      <c r="I3854" s="197" t="s">
        <v>6464</v>
      </c>
      <c r="J3854" s="148" t="s">
        <v>108</v>
      </c>
      <c r="K3854" s="148" t="s">
        <v>64</v>
      </c>
      <c r="L3854" s="148" t="s">
        <v>65</v>
      </c>
      <c r="M3854" s="148" t="s">
        <v>66</v>
      </c>
      <c r="N3854" s="234">
        <v>46190.0</v>
      </c>
      <c r="O3854" s="148" t="s">
        <v>67</v>
      </c>
      <c r="P3854" s="148" t="s">
        <v>68</v>
      </c>
      <c r="Q3854" s="103"/>
      <c r="R3854" s="103"/>
      <c r="S3854" s="103"/>
      <c r="T3854" s="103"/>
      <c r="U3854" s="148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1">
        <v>3849.0</v>
      </c>
      <c r="B3855" s="180" t="s">
        <v>6477</v>
      </c>
      <c r="C3855" s="82" t="str">
        <f>VLOOKUP($B$7:$B$5000,SUM!$L$6:$L$500,1,FALSE)</f>
        <v>#N/A</v>
      </c>
      <c r="D3855" s="190" t="s">
        <v>6283</v>
      </c>
      <c r="E3855" s="198" t="s">
        <v>58</v>
      </c>
      <c r="F3855" s="199" t="s">
        <v>105</v>
      </c>
      <c r="G3855" s="125"/>
      <c r="H3855" s="225" t="s">
        <v>6393</v>
      </c>
      <c r="I3855" s="197" t="s">
        <v>6464</v>
      </c>
      <c r="J3855" s="148" t="s">
        <v>108</v>
      </c>
      <c r="K3855" s="148" t="s">
        <v>64</v>
      </c>
      <c r="L3855" s="148" t="s">
        <v>65</v>
      </c>
      <c r="M3855" s="148" t="s">
        <v>66</v>
      </c>
      <c r="N3855" s="234">
        <v>46190.0</v>
      </c>
      <c r="O3855" s="148" t="s">
        <v>67</v>
      </c>
      <c r="P3855" s="148" t="s">
        <v>68</v>
      </c>
      <c r="Q3855" s="103"/>
      <c r="R3855" s="103"/>
      <c r="S3855" s="103"/>
      <c r="T3855" s="103"/>
      <c r="U3855" s="148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1">
        <v>3850.0</v>
      </c>
      <c r="B3856" s="180" t="s">
        <v>6478</v>
      </c>
      <c r="C3856" s="82" t="str">
        <f>VLOOKUP($B$7:$B$5000,SUM!$L$6:$L$500,1,FALSE)</f>
        <v>#N/A</v>
      </c>
      <c r="D3856" s="190" t="s">
        <v>6283</v>
      </c>
      <c r="E3856" s="198" t="s">
        <v>58</v>
      </c>
      <c r="F3856" s="199" t="s">
        <v>105</v>
      </c>
      <c r="G3856" s="125"/>
      <c r="H3856" s="199" t="s">
        <v>6395</v>
      </c>
      <c r="I3856" s="197" t="s">
        <v>6479</v>
      </c>
      <c r="J3856" s="148" t="s">
        <v>108</v>
      </c>
      <c r="K3856" s="148" t="s">
        <v>64</v>
      </c>
      <c r="L3856" s="148" t="s">
        <v>65</v>
      </c>
      <c r="M3856" s="148" t="s">
        <v>66</v>
      </c>
      <c r="N3856" s="234">
        <v>46190.0</v>
      </c>
      <c r="O3856" s="148" t="s">
        <v>67</v>
      </c>
      <c r="P3856" s="148" t="s">
        <v>68</v>
      </c>
      <c r="Q3856" s="103"/>
      <c r="R3856" s="103"/>
      <c r="S3856" s="103"/>
      <c r="T3856" s="103"/>
      <c r="U3856" s="148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1">
        <v>3851.0</v>
      </c>
      <c r="B3857" s="180" t="s">
        <v>6480</v>
      </c>
      <c r="C3857" s="82" t="str">
        <f>VLOOKUP($B$7:$B$5000,SUM!$L$6:$L$500,1,FALSE)</f>
        <v>#N/A</v>
      </c>
      <c r="D3857" s="190" t="s">
        <v>6283</v>
      </c>
      <c r="E3857" s="198" t="s">
        <v>58</v>
      </c>
      <c r="F3857" s="199" t="s">
        <v>105</v>
      </c>
      <c r="G3857" s="125"/>
      <c r="H3857" s="239" t="s">
        <v>6397</v>
      </c>
      <c r="I3857" s="197" t="s">
        <v>6464</v>
      </c>
      <c r="J3857" s="148" t="s">
        <v>108</v>
      </c>
      <c r="K3857" s="148" t="s">
        <v>64</v>
      </c>
      <c r="L3857" s="148" t="s">
        <v>65</v>
      </c>
      <c r="M3857" s="148" t="s">
        <v>66</v>
      </c>
      <c r="N3857" s="234">
        <v>46190.0</v>
      </c>
      <c r="O3857" s="148" t="s">
        <v>67</v>
      </c>
      <c r="P3857" s="148" t="s">
        <v>68</v>
      </c>
      <c r="Q3857" s="103"/>
      <c r="R3857" s="103"/>
      <c r="S3857" s="103"/>
      <c r="T3857" s="103"/>
      <c r="U3857" s="148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1">
        <v>3852.0</v>
      </c>
      <c r="B3858" s="180" t="s">
        <v>6481</v>
      </c>
      <c r="C3858" s="82" t="str">
        <f>VLOOKUP($B$7:$B$5000,SUM!$L$6:$L$500,1,FALSE)</f>
        <v>#N/A</v>
      </c>
      <c r="D3858" s="190" t="s">
        <v>6283</v>
      </c>
      <c r="E3858" s="198" t="s">
        <v>58</v>
      </c>
      <c r="F3858" s="199" t="s">
        <v>105</v>
      </c>
      <c r="G3858" s="125"/>
      <c r="H3858" s="239" t="s">
        <v>6399</v>
      </c>
      <c r="I3858" s="240" t="s">
        <v>6482</v>
      </c>
      <c r="J3858" s="148" t="s">
        <v>108</v>
      </c>
      <c r="K3858" s="148" t="s">
        <v>64</v>
      </c>
      <c r="L3858" s="148" t="s">
        <v>65</v>
      </c>
      <c r="M3858" s="148" t="s">
        <v>66</v>
      </c>
      <c r="N3858" s="234">
        <v>46190.0</v>
      </c>
      <c r="O3858" s="148" t="s">
        <v>67</v>
      </c>
      <c r="P3858" s="148" t="s">
        <v>68</v>
      </c>
      <c r="Q3858" s="103"/>
      <c r="R3858" s="103"/>
      <c r="S3858" s="103"/>
      <c r="T3858" s="103"/>
      <c r="U3858" s="148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1">
        <v>3853.0</v>
      </c>
      <c r="B3859" s="180" t="s">
        <v>6483</v>
      </c>
      <c r="C3859" s="82" t="str">
        <f>VLOOKUP($B$7:$B$5000,SUM!$L$6:$L$500,1,FALSE)</f>
        <v>#N/A</v>
      </c>
      <c r="D3859" s="190" t="s">
        <v>6283</v>
      </c>
      <c r="E3859" s="198" t="s">
        <v>58</v>
      </c>
      <c r="F3859" s="199" t="s">
        <v>105</v>
      </c>
      <c r="G3859" s="125"/>
      <c r="H3859" s="239" t="s">
        <v>6401</v>
      </c>
      <c r="I3859" s="197" t="s">
        <v>6464</v>
      </c>
      <c r="J3859" s="148" t="s">
        <v>108</v>
      </c>
      <c r="K3859" s="148" t="s">
        <v>64</v>
      </c>
      <c r="L3859" s="148" t="s">
        <v>65</v>
      </c>
      <c r="M3859" s="148" t="s">
        <v>66</v>
      </c>
      <c r="N3859" s="234">
        <v>46190.0</v>
      </c>
      <c r="O3859" s="148" t="s">
        <v>67</v>
      </c>
      <c r="P3859" s="148" t="s">
        <v>68</v>
      </c>
      <c r="Q3859" s="103"/>
      <c r="R3859" s="103"/>
      <c r="S3859" s="103"/>
      <c r="T3859" s="103"/>
      <c r="U3859" s="148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1">
        <v>3854.0</v>
      </c>
      <c r="B3860" s="180" t="s">
        <v>6484</v>
      </c>
      <c r="C3860" s="82" t="str">
        <f>VLOOKUP($B$7:$B$5000,SUM!$L$6:$L$500,1,FALSE)</f>
        <v>#N/A</v>
      </c>
      <c r="D3860" s="190" t="s">
        <v>6283</v>
      </c>
      <c r="E3860" s="198" t="s">
        <v>58</v>
      </c>
      <c r="F3860" s="199" t="s">
        <v>105</v>
      </c>
      <c r="G3860" s="125"/>
      <c r="H3860" s="239" t="s">
        <v>6403</v>
      </c>
      <c r="I3860" s="240" t="s">
        <v>6485</v>
      </c>
      <c r="J3860" s="148" t="s">
        <v>108</v>
      </c>
      <c r="K3860" s="148" t="s">
        <v>64</v>
      </c>
      <c r="L3860" s="148" t="s">
        <v>65</v>
      </c>
      <c r="M3860" s="148" t="s">
        <v>66</v>
      </c>
      <c r="N3860" s="234">
        <v>46190.0</v>
      </c>
      <c r="O3860" s="148" t="s">
        <v>67</v>
      </c>
      <c r="P3860" s="148" t="s">
        <v>68</v>
      </c>
      <c r="Q3860" s="103"/>
      <c r="R3860" s="103"/>
      <c r="S3860" s="103"/>
      <c r="T3860" s="103"/>
      <c r="U3860" s="148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1">
        <v>3855.0</v>
      </c>
      <c r="B3861" s="180" t="s">
        <v>6486</v>
      </c>
      <c r="C3861" s="82" t="str">
        <f>VLOOKUP($B$7:$B$5000,SUM!$L$6:$L$500,1,FALSE)</f>
        <v>#N/A</v>
      </c>
      <c r="D3861" s="190" t="s">
        <v>6283</v>
      </c>
      <c r="E3861" s="198" t="s">
        <v>58</v>
      </c>
      <c r="F3861" s="199" t="s">
        <v>105</v>
      </c>
      <c r="G3861" s="125"/>
      <c r="H3861" s="239" t="s">
        <v>6405</v>
      </c>
      <c r="I3861" s="197" t="s">
        <v>6464</v>
      </c>
      <c r="J3861" s="148" t="s">
        <v>108</v>
      </c>
      <c r="K3861" s="148" t="s">
        <v>64</v>
      </c>
      <c r="L3861" s="148" t="s">
        <v>65</v>
      </c>
      <c r="M3861" s="148" t="s">
        <v>66</v>
      </c>
      <c r="N3861" s="234">
        <v>46190.0</v>
      </c>
      <c r="O3861" s="148" t="s">
        <v>67</v>
      </c>
      <c r="P3861" s="148" t="s">
        <v>68</v>
      </c>
      <c r="Q3861" s="103"/>
      <c r="R3861" s="103"/>
      <c r="S3861" s="103"/>
      <c r="T3861" s="103"/>
      <c r="U3861" s="148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1">
        <v>3856.0</v>
      </c>
      <c r="B3862" s="180" t="s">
        <v>6487</v>
      </c>
      <c r="C3862" s="82" t="str">
        <f>VLOOKUP($B$7:$B$5000,SUM!$L$6:$L$500,1,FALSE)</f>
        <v>#N/A</v>
      </c>
      <c r="D3862" s="190" t="s">
        <v>6283</v>
      </c>
      <c r="E3862" s="198" t="s">
        <v>58</v>
      </c>
      <c r="F3862" s="199" t="s">
        <v>105</v>
      </c>
      <c r="G3862" s="125"/>
      <c r="H3862" s="239" t="s">
        <v>6407</v>
      </c>
      <c r="I3862" s="240" t="s">
        <v>6485</v>
      </c>
      <c r="J3862" s="148" t="s">
        <v>108</v>
      </c>
      <c r="K3862" s="148" t="s">
        <v>64</v>
      </c>
      <c r="L3862" s="148" t="s">
        <v>65</v>
      </c>
      <c r="M3862" s="148" t="s">
        <v>66</v>
      </c>
      <c r="N3862" s="234">
        <v>46190.0</v>
      </c>
      <c r="O3862" s="148" t="s">
        <v>67</v>
      </c>
      <c r="P3862" s="148" t="s">
        <v>68</v>
      </c>
      <c r="Q3862" s="103"/>
      <c r="R3862" s="103"/>
      <c r="S3862" s="103"/>
      <c r="T3862" s="103"/>
      <c r="U3862" s="148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1">
        <v>3857.0</v>
      </c>
      <c r="B3863" s="180" t="s">
        <v>6488</v>
      </c>
      <c r="C3863" s="82" t="str">
        <f>VLOOKUP($B$7:$B$5000,SUM!$L$6:$L$500,1,FALSE)</f>
        <v>#N/A</v>
      </c>
      <c r="D3863" s="190" t="s">
        <v>6283</v>
      </c>
      <c r="E3863" s="198" t="s">
        <v>58</v>
      </c>
      <c r="F3863" s="199" t="s">
        <v>105</v>
      </c>
      <c r="G3863" s="125"/>
      <c r="H3863" s="239" t="s">
        <v>6409</v>
      </c>
      <c r="I3863" s="197" t="s">
        <v>6464</v>
      </c>
      <c r="J3863" s="148" t="s">
        <v>108</v>
      </c>
      <c r="K3863" s="148" t="s">
        <v>64</v>
      </c>
      <c r="L3863" s="148" t="s">
        <v>65</v>
      </c>
      <c r="M3863" s="148" t="s">
        <v>66</v>
      </c>
      <c r="N3863" s="234">
        <v>46190.0</v>
      </c>
      <c r="O3863" s="148" t="s">
        <v>67</v>
      </c>
      <c r="P3863" s="148" t="s">
        <v>68</v>
      </c>
      <c r="Q3863" s="103"/>
      <c r="R3863" s="103"/>
      <c r="S3863" s="103"/>
      <c r="T3863" s="103"/>
      <c r="U3863" s="148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1">
        <v>3858.0</v>
      </c>
      <c r="B3864" s="180" t="s">
        <v>6489</v>
      </c>
      <c r="C3864" s="82" t="str">
        <f>VLOOKUP($B$7:$B$5000,SUM!$L$6:$L$500,1,FALSE)</f>
        <v>#N/A</v>
      </c>
      <c r="D3864" s="190" t="s">
        <v>6283</v>
      </c>
      <c r="E3864" s="198" t="s">
        <v>58</v>
      </c>
      <c r="F3864" s="199" t="s">
        <v>105</v>
      </c>
      <c r="G3864" s="125"/>
      <c r="H3864" s="239" t="s">
        <v>6411</v>
      </c>
      <c r="I3864" s="240" t="s">
        <v>6485</v>
      </c>
      <c r="J3864" s="148" t="s">
        <v>108</v>
      </c>
      <c r="K3864" s="148" t="s">
        <v>64</v>
      </c>
      <c r="L3864" s="148" t="s">
        <v>65</v>
      </c>
      <c r="M3864" s="148" t="s">
        <v>66</v>
      </c>
      <c r="N3864" s="234">
        <v>46190.0</v>
      </c>
      <c r="O3864" s="148" t="s">
        <v>67</v>
      </c>
      <c r="P3864" s="148" t="s">
        <v>68</v>
      </c>
      <c r="Q3864" s="103"/>
      <c r="R3864" s="103"/>
      <c r="S3864" s="103"/>
      <c r="T3864" s="103"/>
      <c r="U3864" s="148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1">
        <v>3859.0</v>
      </c>
      <c r="B3865" s="180" t="s">
        <v>6490</v>
      </c>
      <c r="C3865" s="82" t="str">
        <f>VLOOKUP($B$7:$B$5000,SUM!$L$6:$L$500,1,FALSE)</f>
        <v>#N/A</v>
      </c>
      <c r="D3865" s="190" t="s">
        <v>6283</v>
      </c>
      <c r="E3865" s="198" t="s">
        <v>58</v>
      </c>
      <c r="F3865" s="199" t="s">
        <v>105</v>
      </c>
      <c r="G3865" s="125"/>
      <c r="H3865" s="239" t="s">
        <v>6413</v>
      </c>
      <c r="I3865" s="197" t="s">
        <v>6464</v>
      </c>
      <c r="J3865" s="148" t="s">
        <v>108</v>
      </c>
      <c r="K3865" s="148" t="s">
        <v>64</v>
      </c>
      <c r="L3865" s="148" t="s">
        <v>65</v>
      </c>
      <c r="M3865" s="148" t="s">
        <v>66</v>
      </c>
      <c r="N3865" s="234">
        <v>46190.0</v>
      </c>
      <c r="O3865" s="148" t="s">
        <v>67</v>
      </c>
      <c r="P3865" s="148" t="s">
        <v>68</v>
      </c>
      <c r="Q3865" s="103"/>
      <c r="R3865" s="103"/>
      <c r="S3865" s="103"/>
      <c r="T3865" s="103"/>
      <c r="U3865" s="148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1">
        <v>3860.0</v>
      </c>
      <c r="B3866" s="180" t="s">
        <v>6491</v>
      </c>
      <c r="C3866" s="82" t="str">
        <f>VLOOKUP($B$7:$B$5000,SUM!$L$6:$L$500,1,FALSE)</f>
        <v>#N/A</v>
      </c>
      <c r="D3866" s="190" t="s">
        <v>6283</v>
      </c>
      <c r="E3866" s="198" t="s">
        <v>58</v>
      </c>
      <c r="F3866" s="199" t="s">
        <v>105</v>
      </c>
      <c r="G3866" s="125"/>
      <c r="H3866" s="239" t="s">
        <v>6415</v>
      </c>
      <c r="I3866" s="240" t="s">
        <v>6492</v>
      </c>
      <c r="J3866" s="148" t="s">
        <v>108</v>
      </c>
      <c r="K3866" s="148" t="s">
        <v>64</v>
      </c>
      <c r="L3866" s="148" t="s">
        <v>65</v>
      </c>
      <c r="M3866" s="148" t="s">
        <v>66</v>
      </c>
      <c r="N3866" s="234">
        <v>46190.0</v>
      </c>
      <c r="O3866" s="148" t="s">
        <v>67</v>
      </c>
      <c r="P3866" s="148" t="s">
        <v>68</v>
      </c>
      <c r="Q3866" s="103"/>
      <c r="R3866" s="103"/>
      <c r="S3866" s="103"/>
      <c r="T3866" s="103"/>
      <c r="U3866" s="148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1">
        <v>3861.0</v>
      </c>
      <c r="B3867" s="180" t="s">
        <v>6493</v>
      </c>
      <c r="C3867" s="82" t="str">
        <f>VLOOKUP($B$7:$B$5000,SUM!$L$6:$L$500,1,FALSE)</f>
        <v>#N/A</v>
      </c>
      <c r="D3867" s="190" t="s">
        <v>6283</v>
      </c>
      <c r="E3867" s="198" t="s">
        <v>58</v>
      </c>
      <c r="F3867" s="199" t="s">
        <v>105</v>
      </c>
      <c r="G3867" s="125"/>
      <c r="H3867" s="239" t="s">
        <v>6417</v>
      </c>
      <c r="I3867" s="197" t="s">
        <v>6464</v>
      </c>
      <c r="J3867" s="148" t="s">
        <v>108</v>
      </c>
      <c r="K3867" s="148" t="s">
        <v>64</v>
      </c>
      <c r="L3867" s="148" t="s">
        <v>65</v>
      </c>
      <c r="M3867" s="148" t="s">
        <v>66</v>
      </c>
      <c r="N3867" s="234">
        <v>46190.0</v>
      </c>
      <c r="O3867" s="148" t="s">
        <v>67</v>
      </c>
      <c r="P3867" s="148" t="s">
        <v>68</v>
      </c>
      <c r="Q3867" s="103"/>
      <c r="R3867" s="103"/>
      <c r="S3867" s="103"/>
      <c r="T3867" s="103"/>
      <c r="U3867" s="148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1">
        <v>3862.0</v>
      </c>
      <c r="B3868" s="180" t="s">
        <v>6494</v>
      </c>
      <c r="C3868" s="82" t="str">
        <f>VLOOKUP($B$7:$B$5000,SUM!$L$6:$L$500,1,FALSE)</f>
        <v>#N/A</v>
      </c>
      <c r="D3868" s="190" t="s">
        <v>6283</v>
      </c>
      <c r="E3868" s="198" t="s">
        <v>58</v>
      </c>
      <c r="F3868" s="199" t="s">
        <v>105</v>
      </c>
      <c r="G3868" s="125"/>
      <c r="H3868" s="239" t="s">
        <v>6419</v>
      </c>
      <c r="I3868" s="240" t="s">
        <v>6485</v>
      </c>
      <c r="J3868" s="148" t="s">
        <v>108</v>
      </c>
      <c r="K3868" s="148" t="s">
        <v>64</v>
      </c>
      <c r="L3868" s="148" t="s">
        <v>65</v>
      </c>
      <c r="M3868" s="148" t="s">
        <v>66</v>
      </c>
      <c r="N3868" s="234">
        <v>46190.0</v>
      </c>
      <c r="O3868" s="148" t="s">
        <v>67</v>
      </c>
      <c r="P3868" s="148" t="s">
        <v>68</v>
      </c>
      <c r="Q3868" s="103"/>
      <c r="R3868" s="103"/>
      <c r="S3868" s="103"/>
      <c r="T3868" s="103"/>
      <c r="U3868" s="148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1">
        <v>3863.0</v>
      </c>
      <c r="B3869" s="180" t="s">
        <v>6495</v>
      </c>
      <c r="C3869" s="82" t="str">
        <f>VLOOKUP($B$7:$B$5000,SUM!$L$6:$L$500,1,FALSE)</f>
        <v>#N/A</v>
      </c>
      <c r="D3869" s="190" t="s">
        <v>6283</v>
      </c>
      <c r="E3869" s="198" t="s">
        <v>58</v>
      </c>
      <c r="F3869" s="199" t="s">
        <v>105</v>
      </c>
      <c r="G3869" s="125"/>
      <c r="H3869" s="225" t="s">
        <v>6421</v>
      </c>
      <c r="I3869" s="197" t="s">
        <v>6496</v>
      </c>
      <c r="J3869" s="148" t="s">
        <v>108</v>
      </c>
      <c r="K3869" s="148" t="s">
        <v>64</v>
      </c>
      <c r="L3869" s="148" t="s">
        <v>65</v>
      </c>
      <c r="M3869" s="148" t="s">
        <v>66</v>
      </c>
      <c r="N3869" s="234">
        <v>46190.0</v>
      </c>
      <c r="O3869" s="148" t="s">
        <v>67</v>
      </c>
      <c r="P3869" s="148" t="s">
        <v>68</v>
      </c>
      <c r="Q3869" s="103"/>
      <c r="R3869" s="103"/>
      <c r="S3869" s="103"/>
      <c r="T3869" s="103"/>
      <c r="U3869" s="148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1">
        <v>3864.0</v>
      </c>
      <c r="B3870" s="180" t="s">
        <v>6497</v>
      </c>
      <c r="C3870" s="82" t="str">
        <f>VLOOKUP($B$7:$B$5000,SUM!$L$6:$L$500,1,FALSE)</f>
        <v>#N/A</v>
      </c>
      <c r="D3870" s="190" t="s">
        <v>6283</v>
      </c>
      <c r="E3870" s="198" t="s">
        <v>58</v>
      </c>
      <c r="F3870" s="199" t="s">
        <v>105</v>
      </c>
      <c r="G3870" s="125"/>
      <c r="H3870" s="225" t="s">
        <v>6423</v>
      </c>
      <c r="I3870" s="197" t="s">
        <v>6496</v>
      </c>
      <c r="J3870" s="148" t="s">
        <v>108</v>
      </c>
      <c r="K3870" s="148" t="s">
        <v>64</v>
      </c>
      <c r="L3870" s="148" t="s">
        <v>65</v>
      </c>
      <c r="M3870" s="148" t="s">
        <v>66</v>
      </c>
      <c r="N3870" s="234">
        <v>46190.0</v>
      </c>
      <c r="O3870" s="148" t="s">
        <v>67</v>
      </c>
      <c r="P3870" s="148" t="s">
        <v>68</v>
      </c>
      <c r="Q3870" s="103"/>
      <c r="R3870" s="103"/>
      <c r="S3870" s="103"/>
      <c r="T3870" s="103"/>
      <c r="U3870" s="148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1">
        <v>3865.0</v>
      </c>
      <c r="B3871" s="180" t="s">
        <v>6498</v>
      </c>
      <c r="C3871" s="82" t="str">
        <f>VLOOKUP($B$7:$B$5000,SUM!$L$6:$L$500,1,FALSE)</f>
        <v>#N/A</v>
      </c>
      <c r="D3871" s="190" t="s">
        <v>6283</v>
      </c>
      <c r="E3871" s="198" t="s">
        <v>58</v>
      </c>
      <c r="F3871" s="199" t="s">
        <v>105</v>
      </c>
      <c r="G3871" s="125"/>
      <c r="H3871" s="199" t="s">
        <v>6431</v>
      </c>
      <c r="I3871" s="197" t="s">
        <v>6485</v>
      </c>
      <c r="J3871" s="148" t="s">
        <v>108</v>
      </c>
      <c r="K3871" s="148" t="s">
        <v>64</v>
      </c>
      <c r="L3871" s="148" t="s">
        <v>65</v>
      </c>
      <c r="M3871" s="148" t="s">
        <v>66</v>
      </c>
      <c r="N3871" s="234">
        <v>46190.0</v>
      </c>
      <c r="O3871" s="148" t="s">
        <v>67</v>
      </c>
      <c r="P3871" s="148" t="s">
        <v>68</v>
      </c>
      <c r="Q3871" s="103"/>
      <c r="R3871" s="103"/>
      <c r="S3871" s="103"/>
      <c r="T3871" s="103"/>
      <c r="U3871" s="148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1">
        <v>3866.0</v>
      </c>
      <c r="B3872" s="180" t="s">
        <v>6499</v>
      </c>
      <c r="C3872" s="82" t="str">
        <f>VLOOKUP($B$7:$B$5000,SUM!$L$6:$L$500,1,FALSE)</f>
        <v>#N/A</v>
      </c>
      <c r="D3872" s="190" t="s">
        <v>6283</v>
      </c>
      <c r="E3872" s="198" t="s">
        <v>58</v>
      </c>
      <c r="F3872" s="199" t="s">
        <v>105</v>
      </c>
      <c r="G3872" s="125"/>
      <c r="H3872" s="225" t="s">
        <v>6433</v>
      </c>
      <c r="I3872" s="197" t="s">
        <v>6485</v>
      </c>
      <c r="J3872" s="148" t="s">
        <v>108</v>
      </c>
      <c r="K3872" s="148" t="s">
        <v>64</v>
      </c>
      <c r="L3872" s="148" t="s">
        <v>65</v>
      </c>
      <c r="M3872" s="148" t="s">
        <v>66</v>
      </c>
      <c r="N3872" s="234">
        <v>46190.0</v>
      </c>
      <c r="O3872" s="148" t="s">
        <v>67</v>
      </c>
      <c r="P3872" s="148" t="s">
        <v>68</v>
      </c>
      <c r="Q3872" s="103"/>
      <c r="R3872" s="103"/>
      <c r="S3872" s="103"/>
      <c r="T3872" s="103"/>
      <c r="U3872" s="148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1">
        <v>3867.0</v>
      </c>
      <c r="B3873" s="180" t="s">
        <v>6500</v>
      </c>
      <c r="C3873" s="82" t="str">
        <f>VLOOKUP($B$7:$B$5000,SUM!$L$6:$L$500,1,FALSE)</f>
        <v>#N/A</v>
      </c>
      <c r="D3873" s="190" t="s">
        <v>6283</v>
      </c>
      <c r="E3873" s="198" t="s">
        <v>58</v>
      </c>
      <c r="F3873" s="199" t="s">
        <v>105</v>
      </c>
      <c r="G3873" s="125"/>
      <c r="H3873" s="225" t="s">
        <v>6435</v>
      </c>
      <c r="I3873" s="197" t="s">
        <v>6485</v>
      </c>
      <c r="J3873" s="148" t="s">
        <v>108</v>
      </c>
      <c r="K3873" s="148" t="s">
        <v>64</v>
      </c>
      <c r="L3873" s="148" t="s">
        <v>65</v>
      </c>
      <c r="M3873" s="148" t="s">
        <v>66</v>
      </c>
      <c r="N3873" s="234">
        <v>46190.0</v>
      </c>
      <c r="O3873" s="148" t="s">
        <v>67</v>
      </c>
      <c r="P3873" s="148" t="s">
        <v>68</v>
      </c>
      <c r="Q3873" s="103"/>
      <c r="R3873" s="103"/>
      <c r="S3873" s="103"/>
      <c r="T3873" s="103"/>
      <c r="U3873" s="148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1">
        <v>3868.0</v>
      </c>
      <c r="B3874" s="180" t="s">
        <v>6501</v>
      </c>
      <c r="C3874" s="82" t="str">
        <f>VLOOKUP($B$7:$B$5000,SUM!$L$6:$L$500,1,FALSE)</f>
        <v>#N/A</v>
      </c>
      <c r="D3874" s="190" t="s">
        <v>6502</v>
      </c>
      <c r="E3874" s="165" t="s">
        <v>58</v>
      </c>
      <c r="F3874" s="81" t="s">
        <v>4749</v>
      </c>
      <c r="G3874" s="241" t="s">
        <v>6503</v>
      </c>
      <c r="H3874" s="242" t="s">
        <v>6504</v>
      </c>
      <c r="I3874" s="197" t="s">
        <v>5472</v>
      </c>
      <c r="J3874" s="148" t="s">
        <v>63</v>
      </c>
      <c r="K3874" s="148" t="s">
        <v>6505</v>
      </c>
      <c r="L3874" s="103" t="s">
        <v>65</v>
      </c>
      <c r="M3874" s="103" t="s">
        <v>66</v>
      </c>
      <c r="N3874" s="193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48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1">
        <v>3869.0</v>
      </c>
      <c r="B3875" s="180" t="s">
        <v>6506</v>
      </c>
      <c r="C3875" s="82" t="str">
        <f>VLOOKUP($B$7:$B$5000,SUM!$L$6:$L$500,1,FALSE)</f>
        <v>#N/A</v>
      </c>
      <c r="D3875" s="190" t="s">
        <v>6507</v>
      </c>
      <c r="E3875" s="165" t="s">
        <v>58</v>
      </c>
      <c r="F3875" s="81" t="s">
        <v>4749</v>
      </c>
      <c r="G3875" s="191" t="s">
        <v>5443</v>
      </c>
      <c r="H3875" s="243" t="s">
        <v>6508</v>
      </c>
      <c r="I3875" s="197" t="s">
        <v>5472</v>
      </c>
      <c r="J3875" s="148" t="s">
        <v>63</v>
      </c>
      <c r="K3875" s="103" t="s">
        <v>4434</v>
      </c>
      <c r="L3875" s="103" t="s">
        <v>65</v>
      </c>
      <c r="M3875" s="103" t="s">
        <v>66</v>
      </c>
      <c r="N3875" s="193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48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1">
        <v>3870.0</v>
      </c>
      <c r="B3876" s="180" t="s">
        <v>6509</v>
      </c>
      <c r="C3876" s="82" t="str">
        <f>VLOOKUP($B$7:$B$5000,SUM!$L$6:$L$500,1,FALSE)</f>
        <v>#N/A</v>
      </c>
      <c r="D3876" s="190" t="s">
        <v>6507</v>
      </c>
      <c r="E3876" s="165" t="s">
        <v>58</v>
      </c>
      <c r="F3876" s="81" t="s">
        <v>4749</v>
      </c>
      <c r="G3876" s="191" t="s">
        <v>5443</v>
      </c>
      <c r="H3876" s="199" t="s">
        <v>6510</v>
      </c>
      <c r="I3876" s="197" t="s">
        <v>6511</v>
      </c>
      <c r="J3876" s="148" t="s">
        <v>108</v>
      </c>
      <c r="K3876" s="103" t="s">
        <v>4434</v>
      </c>
      <c r="L3876" s="103" t="s">
        <v>65</v>
      </c>
      <c r="M3876" s="103" t="s">
        <v>66</v>
      </c>
      <c r="N3876" s="193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48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1">
        <v>3871.0</v>
      </c>
      <c r="B3877" s="180" t="s">
        <v>6512</v>
      </c>
      <c r="C3877" s="82" t="str">
        <f>VLOOKUP($B$7:$B$5000,SUM!$L$6:$L$500,1,FALSE)</f>
        <v>#N/A</v>
      </c>
      <c r="D3877" s="190" t="s">
        <v>6507</v>
      </c>
      <c r="E3877" s="165" t="s">
        <v>58</v>
      </c>
      <c r="F3877" s="81" t="s">
        <v>4749</v>
      </c>
      <c r="G3877" s="191" t="s">
        <v>5443</v>
      </c>
      <c r="H3877" s="199" t="s">
        <v>6513</v>
      </c>
      <c r="I3877" s="197" t="s">
        <v>6511</v>
      </c>
      <c r="J3877" s="148" t="s">
        <v>108</v>
      </c>
      <c r="K3877" s="103" t="s">
        <v>4434</v>
      </c>
      <c r="L3877" s="103" t="s">
        <v>65</v>
      </c>
      <c r="M3877" s="103" t="s">
        <v>66</v>
      </c>
      <c r="N3877" s="193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48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1">
        <v>3872.0</v>
      </c>
      <c r="B3878" s="180" t="s">
        <v>6514</v>
      </c>
      <c r="C3878" s="82" t="str">
        <f>VLOOKUP($B$7:$B$5000,SUM!$L$6:$L$500,1,FALSE)</f>
        <v>#N/A</v>
      </c>
      <c r="D3878" s="190" t="s">
        <v>6507</v>
      </c>
      <c r="E3878" s="165" t="s">
        <v>58</v>
      </c>
      <c r="F3878" s="81" t="s">
        <v>4749</v>
      </c>
      <c r="G3878" s="191" t="s">
        <v>5443</v>
      </c>
      <c r="H3878" s="199" t="s">
        <v>6515</v>
      </c>
      <c r="I3878" s="197" t="s">
        <v>6511</v>
      </c>
      <c r="J3878" s="148" t="s">
        <v>108</v>
      </c>
      <c r="K3878" s="103" t="s">
        <v>4434</v>
      </c>
      <c r="L3878" s="103" t="s">
        <v>65</v>
      </c>
      <c r="M3878" s="103" t="s">
        <v>66</v>
      </c>
      <c r="N3878" s="193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48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1">
        <v>3873.0</v>
      </c>
      <c r="B3879" s="180" t="s">
        <v>6516</v>
      </c>
      <c r="C3879" s="82" t="str">
        <f>VLOOKUP($B$7:$B$5000,SUM!$L$6:$L$500,1,FALSE)</f>
        <v>#N/A</v>
      </c>
      <c r="D3879" s="190" t="s">
        <v>6507</v>
      </c>
      <c r="E3879" s="165" t="s">
        <v>58</v>
      </c>
      <c r="F3879" s="81" t="s">
        <v>4749</v>
      </c>
      <c r="G3879" s="191" t="s">
        <v>5443</v>
      </c>
      <c r="H3879" s="199" t="s">
        <v>6508</v>
      </c>
      <c r="I3879" s="197" t="s">
        <v>6511</v>
      </c>
      <c r="J3879" s="148" t="s">
        <v>108</v>
      </c>
      <c r="K3879" s="103" t="s">
        <v>4434</v>
      </c>
      <c r="L3879" s="103" t="s">
        <v>65</v>
      </c>
      <c r="M3879" s="103" t="s">
        <v>66</v>
      </c>
      <c r="N3879" s="193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48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1">
        <v>3874.0</v>
      </c>
      <c r="B3880" s="180" t="s">
        <v>6517</v>
      </c>
      <c r="C3880" s="82" t="str">
        <f>VLOOKUP($B$7:$B$5000,SUM!$L$6:$L$500,1,FALSE)</f>
        <v>#N/A</v>
      </c>
      <c r="D3880" s="190" t="s">
        <v>6507</v>
      </c>
      <c r="E3880" s="165" t="s">
        <v>58</v>
      </c>
      <c r="F3880" s="81" t="s">
        <v>4749</v>
      </c>
      <c r="G3880" s="191" t="s">
        <v>5443</v>
      </c>
      <c r="H3880" s="199" t="s">
        <v>6518</v>
      </c>
      <c r="I3880" s="197" t="s">
        <v>6511</v>
      </c>
      <c r="J3880" s="148" t="s">
        <v>108</v>
      </c>
      <c r="K3880" s="103" t="s">
        <v>4434</v>
      </c>
      <c r="L3880" s="103" t="s">
        <v>65</v>
      </c>
      <c r="M3880" s="103" t="s">
        <v>66</v>
      </c>
      <c r="N3880" s="193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48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1">
        <v>3875.0</v>
      </c>
      <c r="B3881" s="180" t="s">
        <v>6519</v>
      </c>
      <c r="C3881" s="82" t="str">
        <f>VLOOKUP($B$7:$B$5000,SUM!$L$6:$L$500,1,FALSE)</f>
        <v>#N/A</v>
      </c>
      <c r="D3881" s="190" t="s">
        <v>6507</v>
      </c>
      <c r="E3881" s="165" t="s">
        <v>58</v>
      </c>
      <c r="F3881" s="81" t="s">
        <v>4749</v>
      </c>
      <c r="G3881" s="191" t="s">
        <v>5443</v>
      </c>
      <c r="H3881" s="199" t="s">
        <v>6520</v>
      </c>
      <c r="I3881" s="197" t="s">
        <v>6511</v>
      </c>
      <c r="J3881" s="148" t="s">
        <v>108</v>
      </c>
      <c r="K3881" s="103" t="s">
        <v>4434</v>
      </c>
      <c r="L3881" s="103" t="s">
        <v>65</v>
      </c>
      <c r="M3881" s="103" t="s">
        <v>66</v>
      </c>
      <c r="N3881" s="193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48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1">
        <v>3876.0</v>
      </c>
      <c r="B3882" s="180" t="s">
        <v>6521</v>
      </c>
      <c r="C3882" s="82" t="str">
        <f>VLOOKUP($B$7:$B$5000,SUM!$L$6:$L$500,1,FALSE)</f>
        <v>#N/A</v>
      </c>
      <c r="D3882" s="190" t="s">
        <v>6507</v>
      </c>
      <c r="E3882" s="165" t="s">
        <v>58</v>
      </c>
      <c r="F3882" s="81" t="s">
        <v>4749</v>
      </c>
      <c r="G3882" s="191" t="s">
        <v>5443</v>
      </c>
      <c r="H3882" s="199" t="s">
        <v>6522</v>
      </c>
      <c r="I3882" s="197" t="s">
        <v>6511</v>
      </c>
      <c r="J3882" s="148" t="s">
        <v>108</v>
      </c>
      <c r="K3882" s="103" t="s">
        <v>4434</v>
      </c>
      <c r="L3882" s="103" t="s">
        <v>65</v>
      </c>
      <c r="M3882" s="103" t="s">
        <v>66</v>
      </c>
      <c r="N3882" s="193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48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1">
        <v>3877.0</v>
      </c>
      <c r="B3883" s="180" t="s">
        <v>6523</v>
      </c>
      <c r="C3883" s="82" t="str">
        <f>VLOOKUP($B$7:$B$5000,SUM!$L$6:$L$500,1,FALSE)</f>
        <v>#N/A</v>
      </c>
      <c r="D3883" s="190" t="s">
        <v>6507</v>
      </c>
      <c r="E3883" s="165" t="s">
        <v>58</v>
      </c>
      <c r="F3883" s="81" t="s">
        <v>4749</v>
      </c>
      <c r="G3883" s="191" t="s">
        <v>5443</v>
      </c>
      <c r="H3883" s="199" t="s">
        <v>6524</v>
      </c>
      <c r="I3883" s="197" t="s">
        <v>6511</v>
      </c>
      <c r="J3883" s="148" t="s">
        <v>108</v>
      </c>
      <c r="K3883" s="103" t="s">
        <v>4434</v>
      </c>
      <c r="L3883" s="103" t="s">
        <v>65</v>
      </c>
      <c r="M3883" s="103" t="s">
        <v>66</v>
      </c>
      <c r="N3883" s="193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48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1">
        <v>3878.0</v>
      </c>
      <c r="B3884" s="180" t="s">
        <v>6525</v>
      </c>
      <c r="C3884" s="82" t="str">
        <f>VLOOKUP($B$7:$B$5000,SUM!$L$6:$L$500,1,FALSE)</f>
        <v>#N/A</v>
      </c>
      <c r="D3884" s="190" t="s">
        <v>6507</v>
      </c>
      <c r="E3884" s="165" t="s">
        <v>58</v>
      </c>
      <c r="F3884" s="81" t="s">
        <v>4749</v>
      </c>
      <c r="G3884" s="191" t="s">
        <v>5443</v>
      </c>
      <c r="H3884" s="199" t="s">
        <v>6526</v>
      </c>
      <c r="I3884" s="197" t="s">
        <v>6511</v>
      </c>
      <c r="J3884" s="148" t="s">
        <v>108</v>
      </c>
      <c r="K3884" s="103" t="s">
        <v>4434</v>
      </c>
      <c r="L3884" s="103" t="s">
        <v>65</v>
      </c>
      <c r="M3884" s="103" t="s">
        <v>66</v>
      </c>
      <c r="N3884" s="193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48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1">
        <v>3879.0</v>
      </c>
      <c r="B3885" s="180" t="s">
        <v>6527</v>
      </c>
      <c r="C3885" s="82" t="str">
        <f>VLOOKUP($B$7:$B$5000,SUM!$L$6:$L$500,1,FALSE)</f>
        <v>#N/A</v>
      </c>
      <c r="D3885" s="190" t="s">
        <v>6507</v>
      </c>
      <c r="E3885" s="165" t="s">
        <v>58</v>
      </c>
      <c r="F3885" s="81" t="s">
        <v>4749</v>
      </c>
      <c r="G3885" s="191" t="s">
        <v>5443</v>
      </c>
      <c r="H3885" s="199" t="s">
        <v>6528</v>
      </c>
      <c r="I3885" s="197" t="s">
        <v>6511</v>
      </c>
      <c r="J3885" s="148" t="s">
        <v>108</v>
      </c>
      <c r="K3885" s="103" t="s">
        <v>4434</v>
      </c>
      <c r="L3885" s="103" t="s">
        <v>65</v>
      </c>
      <c r="M3885" s="103" t="s">
        <v>66</v>
      </c>
      <c r="N3885" s="193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48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1">
        <v>3880.0</v>
      </c>
      <c r="B3886" s="180" t="s">
        <v>6529</v>
      </c>
      <c r="C3886" s="82" t="str">
        <f>VLOOKUP($B$7:$B$5000,SUM!$L$6:$L$500,1,FALSE)</f>
        <v>#N/A</v>
      </c>
      <c r="D3886" s="190" t="s">
        <v>6507</v>
      </c>
      <c r="E3886" s="165" t="s">
        <v>58</v>
      </c>
      <c r="F3886" s="81" t="s">
        <v>4749</v>
      </c>
      <c r="G3886" s="191" t="s">
        <v>5443</v>
      </c>
      <c r="H3886" s="199" t="s">
        <v>6530</v>
      </c>
      <c r="I3886" s="197" t="s">
        <v>6511</v>
      </c>
      <c r="J3886" s="148" t="s">
        <v>108</v>
      </c>
      <c r="K3886" s="103" t="s">
        <v>4434</v>
      </c>
      <c r="L3886" s="103" t="s">
        <v>65</v>
      </c>
      <c r="M3886" s="103" t="s">
        <v>66</v>
      </c>
      <c r="N3886" s="193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48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1">
        <v>3881.0</v>
      </c>
      <c r="B3887" s="180" t="s">
        <v>6531</v>
      </c>
      <c r="C3887" s="82" t="str">
        <f>VLOOKUP($B$7:$B$5000,SUM!$L$6:$L$500,1,FALSE)</f>
        <v>#N/A</v>
      </c>
      <c r="D3887" s="190" t="s">
        <v>6532</v>
      </c>
      <c r="E3887" s="198" t="s">
        <v>58</v>
      </c>
      <c r="F3887" s="199" t="s">
        <v>4099</v>
      </c>
      <c r="G3887" s="191" t="s">
        <v>2118</v>
      </c>
      <c r="H3887" s="199" t="s">
        <v>6533</v>
      </c>
      <c r="I3887" s="197" t="s">
        <v>6534</v>
      </c>
      <c r="J3887" s="148" t="s">
        <v>63</v>
      </c>
      <c r="K3887" s="148" t="s">
        <v>64</v>
      </c>
      <c r="L3887" s="148" t="s">
        <v>65</v>
      </c>
      <c r="M3887" s="148" t="s">
        <v>66</v>
      </c>
      <c r="N3887" s="212">
        <v>46179.0</v>
      </c>
      <c r="O3887" s="148" t="s">
        <v>67</v>
      </c>
      <c r="P3887" s="148" t="s">
        <v>68</v>
      </c>
      <c r="Q3887" s="103"/>
      <c r="R3887" s="103"/>
      <c r="S3887" s="103"/>
      <c r="T3887" s="103"/>
      <c r="U3887" s="148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1">
        <v>3882.0</v>
      </c>
      <c r="B3888" s="180" t="s">
        <v>6535</v>
      </c>
      <c r="C3888" s="82" t="str">
        <f>VLOOKUP($B$7:$B$5000,SUM!$L$6:$L$500,1,FALSE)</f>
        <v>#N/A</v>
      </c>
      <c r="D3888" s="190" t="s">
        <v>6532</v>
      </c>
      <c r="E3888" s="198" t="s">
        <v>58</v>
      </c>
      <c r="F3888" s="199" t="s">
        <v>4099</v>
      </c>
      <c r="G3888" s="191" t="s">
        <v>2118</v>
      </c>
      <c r="H3888" s="199" t="s">
        <v>6536</v>
      </c>
      <c r="I3888" s="197" t="s">
        <v>6534</v>
      </c>
      <c r="J3888" s="148" t="s">
        <v>63</v>
      </c>
      <c r="K3888" s="148" t="s">
        <v>64</v>
      </c>
      <c r="L3888" s="148" t="s">
        <v>65</v>
      </c>
      <c r="M3888" s="148" t="s">
        <v>66</v>
      </c>
      <c r="N3888" s="212">
        <v>46179.0</v>
      </c>
      <c r="O3888" s="148" t="s">
        <v>67</v>
      </c>
      <c r="P3888" s="148" t="s">
        <v>68</v>
      </c>
      <c r="Q3888" s="103"/>
      <c r="R3888" s="103"/>
      <c r="S3888" s="103"/>
      <c r="T3888" s="103"/>
      <c r="U3888" s="148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1">
        <v>3883.0</v>
      </c>
      <c r="B3889" s="180" t="s">
        <v>6537</v>
      </c>
      <c r="C3889" s="82" t="str">
        <f>VLOOKUP($B$7:$B$5000,SUM!$L$6:$L$500,1,FALSE)</f>
        <v>#N/A</v>
      </c>
      <c r="D3889" s="190" t="s">
        <v>6532</v>
      </c>
      <c r="E3889" s="198" t="s">
        <v>58</v>
      </c>
      <c r="F3889" s="199" t="s">
        <v>4099</v>
      </c>
      <c r="G3889" s="191" t="s">
        <v>2118</v>
      </c>
      <c r="H3889" s="199" t="s">
        <v>6538</v>
      </c>
      <c r="I3889" s="197" t="s">
        <v>6534</v>
      </c>
      <c r="J3889" s="148" t="s">
        <v>63</v>
      </c>
      <c r="K3889" s="148" t="s">
        <v>64</v>
      </c>
      <c r="L3889" s="148" t="s">
        <v>65</v>
      </c>
      <c r="M3889" s="148" t="s">
        <v>66</v>
      </c>
      <c r="N3889" s="212">
        <v>46179.0</v>
      </c>
      <c r="O3889" s="148" t="s">
        <v>67</v>
      </c>
      <c r="P3889" s="148" t="s">
        <v>68</v>
      </c>
      <c r="Q3889" s="103"/>
      <c r="R3889" s="103"/>
      <c r="S3889" s="103"/>
      <c r="T3889" s="103"/>
      <c r="U3889" s="148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1">
        <v>3884.0</v>
      </c>
      <c r="B3890" s="180" t="s">
        <v>6539</v>
      </c>
      <c r="C3890" s="82" t="str">
        <f>VLOOKUP($B$7:$B$5000,SUM!$L$6:$L$500,1,FALSE)</f>
        <v>#N/A</v>
      </c>
      <c r="D3890" s="190" t="s">
        <v>6532</v>
      </c>
      <c r="E3890" s="198" t="s">
        <v>58</v>
      </c>
      <c r="F3890" s="199" t="s">
        <v>4099</v>
      </c>
      <c r="G3890" s="191" t="s">
        <v>2118</v>
      </c>
      <c r="H3890" s="199" t="s">
        <v>6540</v>
      </c>
      <c r="I3890" s="197" t="s">
        <v>6534</v>
      </c>
      <c r="J3890" s="148" t="s">
        <v>63</v>
      </c>
      <c r="K3890" s="148" t="s">
        <v>64</v>
      </c>
      <c r="L3890" s="148" t="s">
        <v>65</v>
      </c>
      <c r="M3890" s="148" t="s">
        <v>66</v>
      </c>
      <c r="N3890" s="212">
        <v>46179.0</v>
      </c>
      <c r="O3890" s="148" t="s">
        <v>67</v>
      </c>
      <c r="P3890" s="148" t="s">
        <v>68</v>
      </c>
      <c r="Q3890" s="103"/>
      <c r="R3890" s="103"/>
      <c r="S3890" s="103"/>
      <c r="T3890" s="103"/>
      <c r="U3890" s="148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1">
        <v>3885.0</v>
      </c>
      <c r="B3891" s="180" t="s">
        <v>6541</v>
      </c>
      <c r="C3891" s="82" t="str">
        <f>VLOOKUP($B$7:$B$5000,SUM!$L$6:$L$500,1,FALSE)</f>
        <v>#N/A</v>
      </c>
      <c r="D3891" s="190" t="s">
        <v>6532</v>
      </c>
      <c r="E3891" s="198" t="s">
        <v>58</v>
      </c>
      <c r="F3891" s="199" t="s">
        <v>4099</v>
      </c>
      <c r="G3891" s="191" t="s">
        <v>2118</v>
      </c>
      <c r="H3891" s="199" t="s">
        <v>6542</v>
      </c>
      <c r="I3891" s="197" t="s">
        <v>6534</v>
      </c>
      <c r="J3891" s="148" t="s">
        <v>63</v>
      </c>
      <c r="K3891" s="148" t="s">
        <v>64</v>
      </c>
      <c r="L3891" s="148" t="s">
        <v>65</v>
      </c>
      <c r="M3891" s="148" t="s">
        <v>66</v>
      </c>
      <c r="N3891" s="212">
        <v>46179.0</v>
      </c>
      <c r="O3891" s="148" t="s">
        <v>67</v>
      </c>
      <c r="P3891" s="148" t="s">
        <v>68</v>
      </c>
      <c r="Q3891" s="103"/>
      <c r="R3891" s="103"/>
      <c r="S3891" s="103"/>
      <c r="T3891" s="103"/>
      <c r="U3891" s="148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1">
        <v>3886.0</v>
      </c>
      <c r="B3892" s="180" t="s">
        <v>6543</v>
      </c>
      <c r="C3892" s="82" t="str">
        <f>VLOOKUP($B$7:$B$5000,SUM!$L$6:$L$500,1,FALSE)</f>
        <v>#N/A</v>
      </c>
      <c r="D3892" s="190" t="s">
        <v>6532</v>
      </c>
      <c r="E3892" s="198" t="s">
        <v>58</v>
      </c>
      <c r="F3892" s="199" t="s">
        <v>4099</v>
      </c>
      <c r="G3892" s="191" t="s">
        <v>2118</v>
      </c>
      <c r="H3892" s="199" t="s">
        <v>6544</v>
      </c>
      <c r="I3892" s="197" t="s">
        <v>6534</v>
      </c>
      <c r="J3892" s="148" t="s">
        <v>63</v>
      </c>
      <c r="K3892" s="148" t="s">
        <v>64</v>
      </c>
      <c r="L3892" s="148" t="s">
        <v>65</v>
      </c>
      <c r="M3892" s="148" t="s">
        <v>66</v>
      </c>
      <c r="N3892" s="212">
        <v>46179.0</v>
      </c>
      <c r="O3892" s="148" t="s">
        <v>67</v>
      </c>
      <c r="P3892" s="148" t="s">
        <v>68</v>
      </c>
      <c r="Q3892" s="103"/>
      <c r="R3892" s="103"/>
      <c r="S3892" s="103"/>
      <c r="T3892" s="103"/>
      <c r="U3892" s="148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1">
        <v>3887.0</v>
      </c>
      <c r="B3893" s="180" t="s">
        <v>6545</v>
      </c>
      <c r="C3893" s="82" t="str">
        <f>VLOOKUP($B$7:$B$5000,SUM!$L$6:$L$500,1,FALSE)</f>
        <v>#N/A</v>
      </c>
      <c r="D3893" s="190" t="s">
        <v>6532</v>
      </c>
      <c r="E3893" s="198" t="s">
        <v>58</v>
      </c>
      <c r="F3893" s="199" t="s">
        <v>4099</v>
      </c>
      <c r="G3893" s="191" t="s">
        <v>2118</v>
      </c>
      <c r="H3893" s="199" t="s">
        <v>6546</v>
      </c>
      <c r="I3893" s="197" t="s">
        <v>6534</v>
      </c>
      <c r="J3893" s="148" t="s">
        <v>63</v>
      </c>
      <c r="K3893" s="148" t="s">
        <v>64</v>
      </c>
      <c r="L3893" s="148" t="s">
        <v>65</v>
      </c>
      <c r="M3893" s="148" t="s">
        <v>66</v>
      </c>
      <c r="N3893" s="212">
        <v>46179.0</v>
      </c>
      <c r="O3893" s="148" t="s">
        <v>67</v>
      </c>
      <c r="P3893" s="148" t="s">
        <v>68</v>
      </c>
      <c r="Q3893" s="103"/>
      <c r="R3893" s="103"/>
      <c r="S3893" s="103"/>
      <c r="T3893" s="103"/>
      <c r="U3893" s="148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1">
        <v>3888.0</v>
      </c>
      <c r="B3894" s="180" t="s">
        <v>6547</v>
      </c>
      <c r="C3894" s="82" t="str">
        <f>VLOOKUP($B$7:$B$5000,SUM!$L$6:$L$500,1,FALSE)</f>
        <v>#N/A</v>
      </c>
      <c r="D3894" s="190" t="s">
        <v>6532</v>
      </c>
      <c r="E3894" s="198" t="s">
        <v>58</v>
      </c>
      <c r="F3894" s="199" t="s">
        <v>4099</v>
      </c>
      <c r="G3894" s="191" t="s">
        <v>2118</v>
      </c>
      <c r="H3894" s="199" t="s">
        <v>6548</v>
      </c>
      <c r="I3894" s="197" t="s">
        <v>6534</v>
      </c>
      <c r="J3894" s="148" t="s">
        <v>63</v>
      </c>
      <c r="K3894" s="148" t="s">
        <v>64</v>
      </c>
      <c r="L3894" s="148" t="s">
        <v>65</v>
      </c>
      <c r="M3894" s="148" t="s">
        <v>66</v>
      </c>
      <c r="N3894" s="212">
        <v>46179.0</v>
      </c>
      <c r="O3894" s="148" t="s">
        <v>67</v>
      </c>
      <c r="P3894" s="148" t="s">
        <v>68</v>
      </c>
      <c r="Q3894" s="103"/>
      <c r="R3894" s="103"/>
      <c r="S3894" s="103"/>
      <c r="T3894" s="103"/>
      <c r="U3894" s="148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1">
        <v>3889.0</v>
      </c>
      <c r="B3895" s="180" t="s">
        <v>6549</v>
      </c>
      <c r="C3895" s="82" t="str">
        <f>VLOOKUP($B$7:$B$5000,SUM!$L$6:$L$500,1,FALSE)</f>
        <v>#N/A</v>
      </c>
      <c r="D3895" s="190" t="s">
        <v>6532</v>
      </c>
      <c r="E3895" s="198" t="s">
        <v>58</v>
      </c>
      <c r="F3895" s="199" t="s">
        <v>4099</v>
      </c>
      <c r="G3895" s="191" t="s">
        <v>2118</v>
      </c>
      <c r="H3895" s="199" t="s">
        <v>6550</v>
      </c>
      <c r="I3895" s="197" t="s">
        <v>6534</v>
      </c>
      <c r="J3895" s="148" t="s">
        <v>63</v>
      </c>
      <c r="K3895" s="148" t="s">
        <v>64</v>
      </c>
      <c r="L3895" s="148" t="s">
        <v>65</v>
      </c>
      <c r="M3895" s="148" t="s">
        <v>66</v>
      </c>
      <c r="N3895" s="212">
        <v>46179.0</v>
      </c>
      <c r="O3895" s="148" t="s">
        <v>67</v>
      </c>
      <c r="P3895" s="148" t="s">
        <v>68</v>
      </c>
      <c r="Q3895" s="103"/>
      <c r="R3895" s="103"/>
      <c r="S3895" s="103"/>
      <c r="T3895" s="103"/>
      <c r="U3895" s="148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1">
        <v>3890.0</v>
      </c>
      <c r="B3896" s="180" t="s">
        <v>6551</v>
      </c>
      <c r="C3896" s="82" t="str">
        <f>VLOOKUP($B$7:$B$5000,SUM!$L$6:$L$500,1,FALSE)</f>
        <v>#N/A</v>
      </c>
      <c r="D3896" s="190" t="s">
        <v>6532</v>
      </c>
      <c r="E3896" s="198" t="s">
        <v>58</v>
      </c>
      <c r="F3896" s="199" t="s">
        <v>4099</v>
      </c>
      <c r="G3896" s="191" t="s">
        <v>2118</v>
      </c>
      <c r="H3896" s="199" t="s">
        <v>6552</v>
      </c>
      <c r="I3896" s="197" t="s">
        <v>6534</v>
      </c>
      <c r="J3896" s="148" t="s">
        <v>63</v>
      </c>
      <c r="K3896" s="148" t="s">
        <v>64</v>
      </c>
      <c r="L3896" s="148" t="s">
        <v>65</v>
      </c>
      <c r="M3896" s="148" t="s">
        <v>66</v>
      </c>
      <c r="N3896" s="212">
        <v>46179.0</v>
      </c>
      <c r="O3896" s="148" t="s">
        <v>67</v>
      </c>
      <c r="P3896" s="148" t="s">
        <v>68</v>
      </c>
      <c r="Q3896" s="103"/>
      <c r="R3896" s="103"/>
      <c r="S3896" s="103"/>
      <c r="T3896" s="103"/>
      <c r="U3896" s="148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1">
        <v>3891.0</v>
      </c>
      <c r="B3897" s="180" t="s">
        <v>6553</v>
      </c>
      <c r="C3897" s="82" t="str">
        <f>VLOOKUP($B$7:$B$5000,SUM!$L$6:$L$500,1,FALSE)</f>
        <v>#N/A</v>
      </c>
      <c r="D3897" s="190" t="s">
        <v>6532</v>
      </c>
      <c r="E3897" s="198" t="s">
        <v>58</v>
      </c>
      <c r="F3897" s="199" t="s">
        <v>4099</v>
      </c>
      <c r="G3897" s="191" t="s">
        <v>2118</v>
      </c>
      <c r="H3897" s="199" t="s">
        <v>6554</v>
      </c>
      <c r="I3897" s="197" t="s">
        <v>6534</v>
      </c>
      <c r="J3897" s="148" t="s">
        <v>63</v>
      </c>
      <c r="K3897" s="148" t="s">
        <v>64</v>
      </c>
      <c r="L3897" s="148" t="s">
        <v>65</v>
      </c>
      <c r="M3897" s="148" t="s">
        <v>66</v>
      </c>
      <c r="N3897" s="212">
        <v>46179.0</v>
      </c>
      <c r="O3897" s="148" t="s">
        <v>67</v>
      </c>
      <c r="P3897" s="148" t="s">
        <v>68</v>
      </c>
      <c r="Q3897" s="103"/>
      <c r="R3897" s="103"/>
      <c r="S3897" s="103"/>
      <c r="T3897" s="103"/>
      <c r="U3897" s="148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1">
        <v>3892.0</v>
      </c>
      <c r="B3898" s="180" t="s">
        <v>6555</v>
      </c>
      <c r="C3898" s="82" t="str">
        <f>VLOOKUP($B$7:$B$5000,SUM!$L$6:$L$500,1,FALSE)</f>
        <v>#N/A</v>
      </c>
      <c r="D3898" s="190" t="s">
        <v>6532</v>
      </c>
      <c r="E3898" s="198" t="s">
        <v>58</v>
      </c>
      <c r="F3898" s="199" t="s">
        <v>4099</v>
      </c>
      <c r="G3898" s="191" t="s">
        <v>2118</v>
      </c>
      <c r="H3898" s="199" t="s">
        <v>6556</v>
      </c>
      <c r="I3898" s="197" t="s">
        <v>6534</v>
      </c>
      <c r="J3898" s="148" t="s">
        <v>63</v>
      </c>
      <c r="K3898" s="148" t="s">
        <v>64</v>
      </c>
      <c r="L3898" s="148" t="s">
        <v>65</v>
      </c>
      <c r="M3898" s="148" t="s">
        <v>66</v>
      </c>
      <c r="N3898" s="212">
        <v>46179.0</v>
      </c>
      <c r="O3898" s="148" t="s">
        <v>67</v>
      </c>
      <c r="P3898" s="148" t="s">
        <v>68</v>
      </c>
      <c r="Q3898" s="103"/>
      <c r="R3898" s="103"/>
      <c r="S3898" s="103"/>
      <c r="T3898" s="103"/>
      <c r="U3898" s="148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1">
        <v>3893.0</v>
      </c>
      <c r="B3899" s="180" t="s">
        <v>6557</v>
      </c>
      <c r="C3899" s="82" t="str">
        <f>VLOOKUP($B$7:$B$5000,SUM!$L$6:$L$500,1,FALSE)</f>
        <v>#N/A</v>
      </c>
      <c r="D3899" s="190" t="s">
        <v>6532</v>
      </c>
      <c r="E3899" s="198" t="s">
        <v>58</v>
      </c>
      <c r="F3899" s="199" t="s">
        <v>4099</v>
      </c>
      <c r="G3899" s="191" t="s">
        <v>2118</v>
      </c>
      <c r="H3899" s="199" t="s">
        <v>6558</v>
      </c>
      <c r="I3899" s="197" t="s">
        <v>6534</v>
      </c>
      <c r="J3899" s="148" t="s">
        <v>63</v>
      </c>
      <c r="K3899" s="148" t="s">
        <v>64</v>
      </c>
      <c r="L3899" s="148" t="s">
        <v>65</v>
      </c>
      <c r="M3899" s="148" t="s">
        <v>66</v>
      </c>
      <c r="N3899" s="212">
        <v>46179.0</v>
      </c>
      <c r="O3899" s="148" t="s">
        <v>67</v>
      </c>
      <c r="P3899" s="148" t="s">
        <v>68</v>
      </c>
      <c r="Q3899" s="103"/>
      <c r="R3899" s="103"/>
      <c r="S3899" s="103"/>
      <c r="T3899" s="103"/>
      <c r="U3899" s="148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1">
        <v>3894.0</v>
      </c>
      <c r="B3900" s="180" t="s">
        <v>6559</v>
      </c>
      <c r="C3900" s="82" t="str">
        <f>VLOOKUP($B$7:$B$5000,SUM!$L$6:$L$500,1,FALSE)</f>
        <v>#N/A</v>
      </c>
      <c r="D3900" s="190" t="s">
        <v>6532</v>
      </c>
      <c r="E3900" s="198" t="s">
        <v>58</v>
      </c>
      <c r="F3900" s="199" t="s">
        <v>4099</v>
      </c>
      <c r="G3900" s="191" t="s">
        <v>2118</v>
      </c>
      <c r="H3900" s="199" t="s">
        <v>6560</v>
      </c>
      <c r="I3900" s="197" t="s">
        <v>6534</v>
      </c>
      <c r="J3900" s="148" t="s">
        <v>63</v>
      </c>
      <c r="K3900" s="148" t="s">
        <v>64</v>
      </c>
      <c r="L3900" s="148" t="s">
        <v>65</v>
      </c>
      <c r="M3900" s="148" t="s">
        <v>66</v>
      </c>
      <c r="N3900" s="212">
        <v>46179.0</v>
      </c>
      <c r="O3900" s="148" t="s">
        <v>67</v>
      </c>
      <c r="P3900" s="148" t="s">
        <v>68</v>
      </c>
      <c r="Q3900" s="103"/>
      <c r="R3900" s="103"/>
      <c r="S3900" s="103"/>
      <c r="T3900" s="103"/>
      <c r="U3900" s="148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1">
        <v>3895.0</v>
      </c>
      <c r="B3901" s="180" t="s">
        <v>6561</v>
      </c>
      <c r="C3901" s="82" t="str">
        <f>VLOOKUP($B$7:$B$5000,SUM!$L$6:$L$500,1,FALSE)</f>
        <v>#N/A</v>
      </c>
      <c r="D3901" s="190" t="s">
        <v>6532</v>
      </c>
      <c r="E3901" s="198" t="s">
        <v>58</v>
      </c>
      <c r="F3901" s="199" t="s">
        <v>4099</v>
      </c>
      <c r="G3901" s="191" t="s">
        <v>2118</v>
      </c>
      <c r="H3901" s="199" t="s">
        <v>6562</v>
      </c>
      <c r="I3901" s="197" t="s">
        <v>6534</v>
      </c>
      <c r="J3901" s="148" t="s">
        <v>63</v>
      </c>
      <c r="K3901" s="148" t="s">
        <v>64</v>
      </c>
      <c r="L3901" s="148" t="s">
        <v>65</v>
      </c>
      <c r="M3901" s="148" t="s">
        <v>66</v>
      </c>
      <c r="N3901" s="212">
        <v>46179.0</v>
      </c>
      <c r="O3901" s="148" t="s">
        <v>67</v>
      </c>
      <c r="P3901" s="148" t="s">
        <v>68</v>
      </c>
      <c r="Q3901" s="103"/>
      <c r="R3901" s="103"/>
      <c r="S3901" s="103"/>
      <c r="T3901" s="103"/>
      <c r="U3901" s="148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1">
        <v>3896.0</v>
      </c>
      <c r="B3902" s="180" t="s">
        <v>6563</v>
      </c>
      <c r="C3902" s="82" t="str">
        <f>VLOOKUP($B$7:$B$5000,SUM!$L$6:$L$500,1,FALSE)</f>
        <v>#N/A</v>
      </c>
      <c r="D3902" s="190" t="s">
        <v>6532</v>
      </c>
      <c r="E3902" s="198" t="s">
        <v>58</v>
      </c>
      <c r="F3902" s="199" t="s">
        <v>4099</v>
      </c>
      <c r="G3902" s="191" t="s">
        <v>2118</v>
      </c>
      <c r="H3902" s="199" t="s">
        <v>6564</v>
      </c>
      <c r="I3902" s="197" t="s">
        <v>6534</v>
      </c>
      <c r="J3902" s="148" t="s">
        <v>63</v>
      </c>
      <c r="K3902" s="148" t="s">
        <v>64</v>
      </c>
      <c r="L3902" s="148" t="s">
        <v>65</v>
      </c>
      <c r="M3902" s="148" t="s">
        <v>66</v>
      </c>
      <c r="N3902" s="212">
        <v>46179.0</v>
      </c>
      <c r="O3902" s="148" t="s">
        <v>67</v>
      </c>
      <c r="P3902" s="148" t="s">
        <v>68</v>
      </c>
      <c r="Q3902" s="103"/>
      <c r="R3902" s="103"/>
      <c r="S3902" s="103"/>
      <c r="T3902" s="103"/>
      <c r="U3902" s="148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1">
        <v>3897.0</v>
      </c>
      <c r="B3903" s="180" t="s">
        <v>6565</v>
      </c>
      <c r="C3903" s="82" t="str">
        <f>VLOOKUP($B$7:$B$5000,SUM!$L$6:$L$500,1,FALSE)</f>
        <v>#N/A</v>
      </c>
      <c r="D3903" s="190" t="s">
        <v>6532</v>
      </c>
      <c r="E3903" s="198" t="s">
        <v>58</v>
      </c>
      <c r="F3903" s="199" t="s">
        <v>4099</v>
      </c>
      <c r="G3903" s="191" t="s">
        <v>2118</v>
      </c>
      <c r="H3903" s="199" t="s">
        <v>6566</v>
      </c>
      <c r="I3903" s="197" t="s">
        <v>6534</v>
      </c>
      <c r="J3903" s="148" t="s">
        <v>63</v>
      </c>
      <c r="K3903" s="148" t="s">
        <v>64</v>
      </c>
      <c r="L3903" s="148" t="s">
        <v>65</v>
      </c>
      <c r="M3903" s="148" t="s">
        <v>66</v>
      </c>
      <c r="N3903" s="212">
        <v>46179.0</v>
      </c>
      <c r="O3903" s="148" t="s">
        <v>67</v>
      </c>
      <c r="P3903" s="148" t="s">
        <v>68</v>
      </c>
      <c r="Q3903" s="103"/>
      <c r="R3903" s="103"/>
      <c r="S3903" s="103"/>
      <c r="T3903" s="103"/>
      <c r="U3903" s="148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1">
        <v>3898.0</v>
      </c>
      <c r="B3904" s="180" t="s">
        <v>6567</v>
      </c>
      <c r="C3904" s="82" t="str">
        <f>VLOOKUP($B$7:$B$5000,SUM!$L$6:$L$500,1,FALSE)</f>
        <v>#N/A</v>
      </c>
      <c r="D3904" s="190" t="s">
        <v>6532</v>
      </c>
      <c r="E3904" s="198" t="s">
        <v>58</v>
      </c>
      <c r="F3904" s="199" t="s">
        <v>4099</v>
      </c>
      <c r="G3904" s="191" t="s">
        <v>2118</v>
      </c>
      <c r="H3904" s="199" t="s">
        <v>6568</v>
      </c>
      <c r="I3904" s="197" t="s">
        <v>6534</v>
      </c>
      <c r="J3904" s="148" t="s">
        <v>63</v>
      </c>
      <c r="K3904" s="148" t="s">
        <v>64</v>
      </c>
      <c r="L3904" s="148" t="s">
        <v>65</v>
      </c>
      <c r="M3904" s="148" t="s">
        <v>66</v>
      </c>
      <c r="N3904" s="212">
        <v>46179.0</v>
      </c>
      <c r="O3904" s="148" t="s">
        <v>67</v>
      </c>
      <c r="P3904" s="148" t="s">
        <v>68</v>
      </c>
      <c r="Q3904" s="103"/>
      <c r="R3904" s="103"/>
      <c r="S3904" s="103"/>
      <c r="T3904" s="103"/>
      <c r="U3904" s="148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1">
        <v>3899.0</v>
      </c>
      <c r="B3905" s="180" t="s">
        <v>6569</v>
      </c>
      <c r="C3905" s="82" t="str">
        <f>VLOOKUP($B$7:$B$5000,SUM!$L$6:$L$500,1,FALSE)</f>
        <v>#N/A</v>
      </c>
      <c r="D3905" s="190" t="s">
        <v>6532</v>
      </c>
      <c r="E3905" s="198" t="s">
        <v>58</v>
      </c>
      <c r="F3905" s="199" t="s">
        <v>4099</v>
      </c>
      <c r="G3905" s="191" t="s">
        <v>2118</v>
      </c>
      <c r="H3905" s="199" t="s">
        <v>6570</v>
      </c>
      <c r="I3905" s="197" t="s">
        <v>6534</v>
      </c>
      <c r="J3905" s="148" t="s">
        <v>63</v>
      </c>
      <c r="K3905" s="148" t="s">
        <v>64</v>
      </c>
      <c r="L3905" s="148" t="s">
        <v>65</v>
      </c>
      <c r="M3905" s="148" t="s">
        <v>66</v>
      </c>
      <c r="N3905" s="212">
        <v>46179.0</v>
      </c>
      <c r="O3905" s="148" t="s">
        <v>67</v>
      </c>
      <c r="P3905" s="148" t="s">
        <v>68</v>
      </c>
      <c r="Q3905" s="103"/>
      <c r="R3905" s="103"/>
      <c r="S3905" s="103"/>
      <c r="T3905" s="103"/>
      <c r="U3905" s="148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1">
        <v>3900.0</v>
      </c>
      <c r="B3906" s="180" t="s">
        <v>6571</v>
      </c>
      <c r="C3906" s="82" t="str">
        <f>VLOOKUP($B$7:$B$5000,SUM!$L$6:$L$500,1,FALSE)</f>
        <v>#N/A</v>
      </c>
      <c r="D3906" s="190" t="s">
        <v>6532</v>
      </c>
      <c r="E3906" s="198" t="s">
        <v>58</v>
      </c>
      <c r="F3906" s="199" t="s">
        <v>4099</v>
      </c>
      <c r="G3906" s="191" t="s">
        <v>2118</v>
      </c>
      <c r="H3906" s="199" t="s">
        <v>6572</v>
      </c>
      <c r="I3906" s="197" t="s">
        <v>6534</v>
      </c>
      <c r="J3906" s="148" t="s">
        <v>63</v>
      </c>
      <c r="K3906" s="148" t="s">
        <v>64</v>
      </c>
      <c r="L3906" s="148" t="s">
        <v>65</v>
      </c>
      <c r="M3906" s="148" t="s">
        <v>66</v>
      </c>
      <c r="N3906" s="212">
        <v>46179.0</v>
      </c>
      <c r="O3906" s="148" t="s">
        <v>67</v>
      </c>
      <c r="P3906" s="148" t="s">
        <v>68</v>
      </c>
      <c r="Q3906" s="103"/>
      <c r="R3906" s="103"/>
      <c r="S3906" s="103"/>
      <c r="T3906" s="103"/>
      <c r="U3906" s="148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1">
        <v>3901.0</v>
      </c>
      <c r="B3907" s="180" t="s">
        <v>6573</v>
      </c>
      <c r="C3907" s="82" t="str">
        <f>VLOOKUP($B$7:$B$5000,SUM!$L$6:$L$500,1,FALSE)</f>
        <v>#N/A</v>
      </c>
      <c r="D3907" s="190" t="s">
        <v>6532</v>
      </c>
      <c r="E3907" s="198" t="s">
        <v>58</v>
      </c>
      <c r="F3907" s="199" t="s">
        <v>4099</v>
      </c>
      <c r="G3907" s="191" t="s">
        <v>2118</v>
      </c>
      <c r="H3907" s="199" t="s">
        <v>6574</v>
      </c>
      <c r="I3907" s="197" t="s">
        <v>6534</v>
      </c>
      <c r="J3907" s="148" t="s">
        <v>63</v>
      </c>
      <c r="K3907" s="148" t="s">
        <v>64</v>
      </c>
      <c r="L3907" s="148" t="s">
        <v>65</v>
      </c>
      <c r="M3907" s="148" t="s">
        <v>66</v>
      </c>
      <c r="N3907" s="212">
        <v>46179.0</v>
      </c>
      <c r="O3907" s="148" t="s">
        <v>67</v>
      </c>
      <c r="P3907" s="148" t="s">
        <v>68</v>
      </c>
      <c r="Q3907" s="103"/>
      <c r="R3907" s="103"/>
      <c r="S3907" s="103"/>
      <c r="T3907" s="103"/>
      <c r="U3907" s="148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1">
        <v>3902.0</v>
      </c>
      <c r="B3908" s="180" t="s">
        <v>6575</v>
      </c>
      <c r="C3908" s="82" t="str">
        <f>VLOOKUP($B$7:$B$5000,SUM!$L$6:$L$500,1,FALSE)</f>
        <v>#N/A</v>
      </c>
      <c r="D3908" s="190" t="s">
        <v>6532</v>
      </c>
      <c r="E3908" s="198" t="s">
        <v>58</v>
      </c>
      <c r="F3908" s="199" t="s">
        <v>4099</v>
      </c>
      <c r="G3908" s="191" t="s">
        <v>2118</v>
      </c>
      <c r="H3908" s="199" t="s">
        <v>6576</v>
      </c>
      <c r="I3908" s="197" t="s">
        <v>6534</v>
      </c>
      <c r="J3908" s="148" t="s">
        <v>63</v>
      </c>
      <c r="K3908" s="148" t="s">
        <v>64</v>
      </c>
      <c r="L3908" s="148" t="s">
        <v>65</v>
      </c>
      <c r="M3908" s="148" t="s">
        <v>66</v>
      </c>
      <c r="N3908" s="212">
        <v>46179.0</v>
      </c>
      <c r="O3908" s="148" t="s">
        <v>67</v>
      </c>
      <c r="P3908" s="148" t="s">
        <v>68</v>
      </c>
      <c r="Q3908" s="103"/>
      <c r="R3908" s="103"/>
      <c r="S3908" s="103"/>
      <c r="T3908" s="103"/>
      <c r="U3908" s="148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1">
        <v>3903.0</v>
      </c>
      <c r="B3909" s="180" t="s">
        <v>6577</v>
      </c>
      <c r="C3909" s="82" t="str">
        <f>VLOOKUP($B$7:$B$5000,SUM!$L$6:$L$500,1,FALSE)</f>
        <v>#N/A</v>
      </c>
      <c r="D3909" s="190" t="s">
        <v>6532</v>
      </c>
      <c r="E3909" s="198" t="s">
        <v>58</v>
      </c>
      <c r="F3909" s="199" t="s">
        <v>4099</v>
      </c>
      <c r="G3909" s="191" t="s">
        <v>2118</v>
      </c>
      <c r="H3909" s="199" t="s">
        <v>6578</v>
      </c>
      <c r="I3909" s="197" t="s">
        <v>6534</v>
      </c>
      <c r="J3909" s="148" t="s">
        <v>63</v>
      </c>
      <c r="K3909" s="148" t="s">
        <v>64</v>
      </c>
      <c r="L3909" s="148" t="s">
        <v>65</v>
      </c>
      <c r="M3909" s="148" t="s">
        <v>66</v>
      </c>
      <c r="N3909" s="212">
        <v>46179.0</v>
      </c>
      <c r="O3909" s="148" t="s">
        <v>67</v>
      </c>
      <c r="P3909" s="148" t="s">
        <v>68</v>
      </c>
      <c r="Q3909" s="103"/>
      <c r="R3909" s="103"/>
      <c r="S3909" s="103"/>
      <c r="T3909" s="103"/>
      <c r="U3909" s="148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1">
        <v>3904.0</v>
      </c>
      <c r="B3910" s="180" t="s">
        <v>6579</v>
      </c>
      <c r="C3910" s="82" t="str">
        <f>VLOOKUP($B$7:$B$5000,SUM!$L$6:$L$500,1,FALSE)</f>
        <v>#N/A</v>
      </c>
      <c r="D3910" s="190" t="s">
        <v>6532</v>
      </c>
      <c r="E3910" s="198" t="s">
        <v>58</v>
      </c>
      <c r="F3910" s="199" t="s">
        <v>4099</v>
      </c>
      <c r="G3910" s="191" t="s">
        <v>2118</v>
      </c>
      <c r="H3910" s="199" t="s">
        <v>6580</v>
      </c>
      <c r="I3910" s="197" t="s">
        <v>6534</v>
      </c>
      <c r="J3910" s="148" t="s">
        <v>63</v>
      </c>
      <c r="K3910" s="148" t="s">
        <v>64</v>
      </c>
      <c r="L3910" s="148" t="s">
        <v>65</v>
      </c>
      <c r="M3910" s="148" t="s">
        <v>66</v>
      </c>
      <c r="N3910" s="212">
        <v>46179.0</v>
      </c>
      <c r="O3910" s="148" t="s">
        <v>67</v>
      </c>
      <c r="P3910" s="148" t="s">
        <v>68</v>
      </c>
      <c r="Q3910" s="103"/>
      <c r="R3910" s="103"/>
      <c r="S3910" s="103"/>
      <c r="T3910" s="103"/>
      <c r="U3910" s="148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1">
        <v>3905.0</v>
      </c>
      <c r="B3911" s="180" t="s">
        <v>6581</v>
      </c>
      <c r="C3911" s="82" t="str">
        <f>VLOOKUP($B$7:$B$5000,SUM!$L$6:$L$500,1,FALSE)</f>
        <v>#N/A</v>
      </c>
      <c r="D3911" s="190" t="s">
        <v>6532</v>
      </c>
      <c r="E3911" s="198" t="s">
        <v>58</v>
      </c>
      <c r="F3911" s="199" t="s">
        <v>4099</v>
      </c>
      <c r="G3911" s="191" t="s">
        <v>2118</v>
      </c>
      <c r="H3911" s="199" t="s">
        <v>6582</v>
      </c>
      <c r="I3911" s="197" t="s">
        <v>6534</v>
      </c>
      <c r="J3911" s="148" t="s">
        <v>63</v>
      </c>
      <c r="K3911" s="148" t="s">
        <v>64</v>
      </c>
      <c r="L3911" s="148" t="s">
        <v>65</v>
      </c>
      <c r="M3911" s="148" t="s">
        <v>66</v>
      </c>
      <c r="N3911" s="212">
        <v>46179.0</v>
      </c>
      <c r="O3911" s="148" t="s">
        <v>67</v>
      </c>
      <c r="P3911" s="148" t="s">
        <v>68</v>
      </c>
      <c r="Q3911" s="103"/>
      <c r="R3911" s="103"/>
      <c r="S3911" s="103"/>
      <c r="T3911" s="103"/>
      <c r="U3911" s="148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1">
        <v>3906.0</v>
      </c>
      <c r="B3912" s="180" t="s">
        <v>6583</v>
      </c>
      <c r="C3912" s="82" t="str">
        <f>VLOOKUP($B$7:$B$5000,SUM!$L$6:$L$500,1,FALSE)</f>
        <v>#N/A</v>
      </c>
      <c r="D3912" s="190" t="s">
        <v>6532</v>
      </c>
      <c r="E3912" s="198" t="s">
        <v>58</v>
      </c>
      <c r="F3912" s="199" t="s">
        <v>4099</v>
      </c>
      <c r="G3912" s="191" t="s">
        <v>2118</v>
      </c>
      <c r="H3912" s="199" t="s">
        <v>6584</v>
      </c>
      <c r="I3912" s="197" t="s">
        <v>6534</v>
      </c>
      <c r="J3912" s="148" t="s">
        <v>63</v>
      </c>
      <c r="K3912" s="148" t="s">
        <v>64</v>
      </c>
      <c r="L3912" s="148" t="s">
        <v>65</v>
      </c>
      <c r="M3912" s="148" t="s">
        <v>66</v>
      </c>
      <c r="N3912" s="212">
        <v>46179.0</v>
      </c>
      <c r="O3912" s="148" t="s">
        <v>67</v>
      </c>
      <c r="P3912" s="148" t="s">
        <v>68</v>
      </c>
      <c r="Q3912" s="103"/>
      <c r="R3912" s="103"/>
      <c r="S3912" s="103"/>
      <c r="T3912" s="103"/>
      <c r="U3912" s="148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1">
        <v>3907.0</v>
      </c>
      <c r="B3913" s="180" t="s">
        <v>6585</v>
      </c>
      <c r="C3913" s="82" t="str">
        <f>VLOOKUP($B$7:$B$5000,SUM!$L$6:$L$500,1,FALSE)</f>
        <v>#N/A</v>
      </c>
      <c r="D3913" s="190" t="s">
        <v>6532</v>
      </c>
      <c r="E3913" s="198" t="s">
        <v>58</v>
      </c>
      <c r="F3913" s="199" t="s">
        <v>4099</v>
      </c>
      <c r="G3913" s="191" t="s">
        <v>2118</v>
      </c>
      <c r="H3913" s="199" t="s">
        <v>6586</v>
      </c>
      <c r="I3913" s="197" t="s">
        <v>6534</v>
      </c>
      <c r="J3913" s="148" t="s">
        <v>63</v>
      </c>
      <c r="K3913" s="148" t="s">
        <v>64</v>
      </c>
      <c r="L3913" s="148" t="s">
        <v>65</v>
      </c>
      <c r="M3913" s="148" t="s">
        <v>66</v>
      </c>
      <c r="N3913" s="212">
        <v>46179.0</v>
      </c>
      <c r="O3913" s="148" t="s">
        <v>67</v>
      </c>
      <c r="P3913" s="148" t="s">
        <v>68</v>
      </c>
      <c r="Q3913" s="103"/>
      <c r="R3913" s="103"/>
      <c r="S3913" s="103"/>
      <c r="T3913" s="103"/>
      <c r="U3913" s="148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1">
        <v>3908.0</v>
      </c>
      <c r="B3914" s="180" t="s">
        <v>6587</v>
      </c>
      <c r="C3914" s="82" t="str">
        <f>VLOOKUP($B$7:$B$5000,SUM!$L$6:$L$500,1,FALSE)</f>
        <v>#N/A</v>
      </c>
      <c r="D3914" s="190" t="s">
        <v>6532</v>
      </c>
      <c r="E3914" s="198" t="s">
        <v>58</v>
      </c>
      <c r="F3914" s="199" t="s">
        <v>4099</v>
      </c>
      <c r="G3914" s="191" t="s">
        <v>2118</v>
      </c>
      <c r="H3914" s="199" t="s">
        <v>6588</v>
      </c>
      <c r="I3914" s="197" t="s">
        <v>6589</v>
      </c>
      <c r="J3914" s="148" t="s">
        <v>63</v>
      </c>
      <c r="K3914" s="148" t="s">
        <v>64</v>
      </c>
      <c r="L3914" s="148" t="s">
        <v>65</v>
      </c>
      <c r="M3914" s="148" t="s">
        <v>66</v>
      </c>
      <c r="N3914" s="212">
        <v>46179.0</v>
      </c>
      <c r="O3914" s="148" t="s">
        <v>67</v>
      </c>
      <c r="P3914" s="148" t="s">
        <v>68</v>
      </c>
      <c r="Q3914" s="103"/>
      <c r="R3914" s="103"/>
      <c r="S3914" s="103"/>
      <c r="T3914" s="103"/>
      <c r="U3914" s="148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1">
        <v>3909.0</v>
      </c>
      <c r="B3915" s="180" t="s">
        <v>6590</v>
      </c>
      <c r="C3915" s="82" t="str">
        <f>VLOOKUP($B$7:$B$5000,SUM!$L$6:$L$500,1,FALSE)</f>
        <v>#N/A</v>
      </c>
      <c r="D3915" s="190" t="s">
        <v>6532</v>
      </c>
      <c r="E3915" s="198" t="s">
        <v>58</v>
      </c>
      <c r="F3915" s="199" t="s">
        <v>4099</v>
      </c>
      <c r="G3915" s="191" t="s">
        <v>2118</v>
      </c>
      <c r="H3915" s="199" t="s">
        <v>6591</v>
      </c>
      <c r="I3915" s="197" t="s">
        <v>6589</v>
      </c>
      <c r="J3915" s="148" t="s">
        <v>63</v>
      </c>
      <c r="K3915" s="148" t="s">
        <v>64</v>
      </c>
      <c r="L3915" s="148" t="s">
        <v>65</v>
      </c>
      <c r="M3915" s="148" t="s">
        <v>66</v>
      </c>
      <c r="N3915" s="212">
        <v>46179.0</v>
      </c>
      <c r="O3915" s="148" t="s">
        <v>67</v>
      </c>
      <c r="P3915" s="148" t="s">
        <v>68</v>
      </c>
      <c r="Q3915" s="103"/>
      <c r="R3915" s="103"/>
      <c r="S3915" s="103"/>
      <c r="T3915" s="103"/>
      <c r="U3915" s="148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1">
        <v>3910.0</v>
      </c>
      <c r="B3916" s="180" t="s">
        <v>6592</v>
      </c>
      <c r="C3916" s="82" t="str">
        <f>VLOOKUP($B$7:$B$5000,SUM!$L$6:$L$500,1,FALSE)</f>
        <v>#N/A</v>
      </c>
      <c r="D3916" s="190" t="s">
        <v>6532</v>
      </c>
      <c r="E3916" s="198" t="s">
        <v>58</v>
      </c>
      <c r="F3916" s="199" t="s">
        <v>4099</v>
      </c>
      <c r="G3916" s="191" t="s">
        <v>2118</v>
      </c>
      <c r="H3916" s="199" t="s">
        <v>6593</v>
      </c>
      <c r="I3916" s="197" t="s">
        <v>6589</v>
      </c>
      <c r="J3916" s="148" t="s">
        <v>63</v>
      </c>
      <c r="K3916" s="148" t="s">
        <v>64</v>
      </c>
      <c r="L3916" s="148" t="s">
        <v>65</v>
      </c>
      <c r="M3916" s="148" t="s">
        <v>66</v>
      </c>
      <c r="N3916" s="212">
        <v>46179.0</v>
      </c>
      <c r="O3916" s="148" t="s">
        <v>67</v>
      </c>
      <c r="P3916" s="148" t="s">
        <v>68</v>
      </c>
      <c r="Q3916" s="103"/>
      <c r="R3916" s="103"/>
      <c r="S3916" s="103"/>
      <c r="T3916" s="103"/>
      <c r="U3916" s="148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1">
        <v>3911.0</v>
      </c>
      <c r="B3917" s="180" t="s">
        <v>6594</v>
      </c>
      <c r="C3917" s="82" t="str">
        <f>VLOOKUP($B$7:$B$5000,SUM!$L$6:$L$500,1,FALSE)</f>
        <v>#N/A</v>
      </c>
      <c r="D3917" s="190" t="s">
        <v>6532</v>
      </c>
      <c r="E3917" s="198" t="s">
        <v>58</v>
      </c>
      <c r="F3917" s="199" t="s">
        <v>4099</v>
      </c>
      <c r="G3917" s="191" t="s">
        <v>2118</v>
      </c>
      <c r="H3917" s="199" t="s">
        <v>6595</v>
      </c>
      <c r="I3917" s="197" t="s">
        <v>6589</v>
      </c>
      <c r="J3917" s="148" t="s">
        <v>63</v>
      </c>
      <c r="K3917" s="148" t="s">
        <v>64</v>
      </c>
      <c r="L3917" s="148" t="s">
        <v>65</v>
      </c>
      <c r="M3917" s="148" t="s">
        <v>66</v>
      </c>
      <c r="N3917" s="212">
        <v>46179.0</v>
      </c>
      <c r="O3917" s="148" t="s">
        <v>67</v>
      </c>
      <c r="P3917" s="148" t="s">
        <v>68</v>
      </c>
      <c r="Q3917" s="103"/>
      <c r="R3917" s="103"/>
      <c r="S3917" s="103"/>
      <c r="T3917" s="103"/>
      <c r="U3917" s="148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1">
        <v>3912.0</v>
      </c>
      <c r="B3918" s="180" t="s">
        <v>6596</v>
      </c>
      <c r="C3918" s="82" t="str">
        <f>VLOOKUP($B$7:$B$5000,SUM!$L$6:$L$500,1,FALSE)</f>
        <v>#N/A</v>
      </c>
      <c r="D3918" s="190" t="s">
        <v>6532</v>
      </c>
      <c r="E3918" s="198" t="s">
        <v>58</v>
      </c>
      <c r="F3918" s="199" t="s">
        <v>4099</v>
      </c>
      <c r="G3918" s="191" t="s">
        <v>2118</v>
      </c>
      <c r="H3918" s="199" t="s">
        <v>6597</v>
      </c>
      <c r="I3918" s="197" t="s">
        <v>6589</v>
      </c>
      <c r="J3918" s="148" t="s">
        <v>63</v>
      </c>
      <c r="K3918" s="148" t="s">
        <v>64</v>
      </c>
      <c r="L3918" s="148" t="s">
        <v>65</v>
      </c>
      <c r="M3918" s="148" t="s">
        <v>66</v>
      </c>
      <c r="N3918" s="212">
        <v>46179.0</v>
      </c>
      <c r="O3918" s="148" t="s">
        <v>67</v>
      </c>
      <c r="P3918" s="148" t="s">
        <v>68</v>
      </c>
      <c r="Q3918" s="103"/>
      <c r="R3918" s="103"/>
      <c r="S3918" s="103"/>
      <c r="T3918" s="103"/>
      <c r="U3918" s="148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1">
        <v>3913.0</v>
      </c>
      <c r="B3919" s="180" t="s">
        <v>6598</v>
      </c>
      <c r="C3919" s="82" t="str">
        <f>VLOOKUP($B$7:$B$5000,SUM!$L$6:$L$500,1,FALSE)</f>
        <v>#N/A</v>
      </c>
      <c r="D3919" s="190" t="s">
        <v>6532</v>
      </c>
      <c r="E3919" s="198" t="s">
        <v>58</v>
      </c>
      <c r="F3919" s="199" t="s">
        <v>4099</v>
      </c>
      <c r="G3919" s="191" t="s">
        <v>2118</v>
      </c>
      <c r="H3919" s="199" t="s">
        <v>6599</v>
      </c>
      <c r="I3919" s="197" t="s">
        <v>6589</v>
      </c>
      <c r="J3919" s="148" t="s">
        <v>63</v>
      </c>
      <c r="K3919" s="148" t="s">
        <v>64</v>
      </c>
      <c r="L3919" s="148" t="s">
        <v>65</v>
      </c>
      <c r="M3919" s="148" t="s">
        <v>66</v>
      </c>
      <c r="N3919" s="212">
        <v>46179.0</v>
      </c>
      <c r="O3919" s="148" t="s">
        <v>67</v>
      </c>
      <c r="P3919" s="148" t="s">
        <v>68</v>
      </c>
      <c r="Q3919" s="103"/>
      <c r="R3919" s="103"/>
      <c r="S3919" s="103"/>
      <c r="T3919" s="103"/>
      <c r="U3919" s="148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1">
        <v>3914.0</v>
      </c>
      <c r="B3920" s="180" t="s">
        <v>6600</v>
      </c>
      <c r="C3920" s="82" t="str">
        <f>VLOOKUP($B$7:$B$5000,SUM!$L$6:$L$500,1,FALSE)</f>
        <v>#N/A</v>
      </c>
      <c r="D3920" s="190" t="s">
        <v>6532</v>
      </c>
      <c r="E3920" s="198" t="s">
        <v>58</v>
      </c>
      <c r="F3920" s="199" t="s">
        <v>4099</v>
      </c>
      <c r="G3920" s="191" t="s">
        <v>2118</v>
      </c>
      <c r="H3920" s="199" t="s">
        <v>6601</v>
      </c>
      <c r="I3920" s="197" t="s">
        <v>6589</v>
      </c>
      <c r="J3920" s="148" t="s">
        <v>63</v>
      </c>
      <c r="K3920" s="148" t="s">
        <v>64</v>
      </c>
      <c r="L3920" s="148" t="s">
        <v>65</v>
      </c>
      <c r="M3920" s="148" t="s">
        <v>66</v>
      </c>
      <c r="N3920" s="212">
        <v>46179.0</v>
      </c>
      <c r="O3920" s="148" t="s">
        <v>67</v>
      </c>
      <c r="P3920" s="148" t="s">
        <v>68</v>
      </c>
      <c r="Q3920" s="103"/>
      <c r="R3920" s="103"/>
      <c r="S3920" s="103"/>
      <c r="T3920" s="103"/>
      <c r="U3920" s="148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1">
        <v>3915.0</v>
      </c>
      <c r="B3921" s="180" t="s">
        <v>6602</v>
      </c>
      <c r="C3921" s="82" t="str">
        <f>VLOOKUP($B$7:$B$5000,SUM!$L$6:$L$500,1,FALSE)</f>
        <v>#N/A</v>
      </c>
      <c r="D3921" s="190" t="s">
        <v>6532</v>
      </c>
      <c r="E3921" s="198" t="s">
        <v>58</v>
      </c>
      <c r="F3921" s="199" t="s">
        <v>4099</v>
      </c>
      <c r="G3921" s="191" t="s">
        <v>2118</v>
      </c>
      <c r="H3921" s="199" t="s">
        <v>6603</v>
      </c>
      <c r="I3921" s="197" t="s">
        <v>6589</v>
      </c>
      <c r="J3921" s="148" t="s">
        <v>63</v>
      </c>
      <c r="K3921" s="148" t="s">
        <v>64</v>
      </c>
      <c r="L3921" s="148" t="s">
        <v>65</v>
      </c>
      <c r="M3921" s="148" t="s">
        <v>66</v>
      </c>
      <c r="N3921" s="212">
        <v>46179.0</v>
      </c>
      <c r="O3921" s="148" t="s">
        <v>67</v>
      </c>
      <c r="P3921" s="148" t="s">
        <v>68</v>
      </c>
      <c r="Q3921" s="103"/>
      <c r="R3921" s="103"/>
      <c r="S3921" s="103"/>
      <c r="T3921" s="103"/>
      <c r="U3921" s="148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1">
        <v>3916.0</v>
      </c>
      <c r="B3922" s="180" t="s">
        <v>6604</v>
      </c>
      <c r="C3922" s="82" t="str">
        <f>VLOOKUP($B$7:$B$5000,SUM!$L$6:$L$500,1,FALSE)</f>
        <v>#N/A</v>
      </c>
      <c r="D3922" s="190" t="s">
        <v>6532</v>
      </c>
      <c r="E3922" s="198" t="s">
        <v>58</v>
      </c>
      <c r="F3922" s="199" t="s">
        <v>4099</v>
      </c>
      <c r="G3922" s="191" t="s">
        <v>2118</v>
      </c>
      <c r="H3922" s="199" t="s">
        <v>6605</v>
      </c>
      <c r="I3922" s="197" t="s">
        <v>6589</v>
      </c>
      <c r="J3922" s="148" t="s">
        <v>63</v>
      </c>
      <c r="K3922" s="148" t="s">
        <v>64</v>
      </c>
      <c r="L3922" s="148" t="s">
        <v>65</v>
      </c>
      <c r="M3922" s="148" t="s">
        <v>66</v>
      </c>
      <c r="N3922" s="212">
        <v>46179.0</v>
      </c>
      <c r="O3922" s="148" t="s">
        <v>67</v>
      </c>
      <c r="P3922" s="148" t="s">
        <v>68</v>
      </c>
      <c r="Q3922" s="103"/>
      <c r="R3922" s="103"/>
      <c r="S3922" s="103"/>
      <c r="T3922" s="103"/>
      <c r="U3922" s="148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1">
        <v>3917.0</v>
      </c>
      <c r="B3923" s="180" t="s">
        <v>6606</v>
      </c>
      <c r="C3923" s="82" t="str">
        <f>VLOOKUP($B$7:$B$5000,SUM!$L$6:$L$500,1,FALSE)</f>
        <v>#N/A</v>
      </c>
      <c r="D3923" s="190" t="s">
        <v>6532</v>
      </c>
      <c r="E3923" s="198" t="s">
        <v>58</v>
      </c>
      <c r="F3923" s="199" t="s">
        <v>4099</v>
      </c>
      <c r="G3923" s="191" t="s">
        <v>2118</v>
      </c>
      <c r="H3923" s="199" t="s">
        <v>6607</v>
      </c>
      <c r="I3923" s="197" t="s">
        <v>6589</v>
      </c>
      <c r="J3923" s="148" t="s">
        <v>63</v>
      </c>
      <c r="K3923" s="148" t="s">
        <v>64</v>
      </c>
      <c r="L3923" s="148" t="s">
        <v>65</v>
      </c>
      <c r="M3923" s="148" t="s">
        <v>66</v>
      </c>
      <c r="N3923" s="212">
        <v>46179.0</v>
      </c>
      <c r="O3923" s="148" t="s">
        <v>67</v>
      </c>
      <c r="P3923" s="148" t="s">
        <v>68</v>
      </c>
      <c r="Q3923" s="103"/>
      <c r="R3923" s="103"/>
      <c r="S3923" s="103"/>
      <c r="T3923" s="103"/>
      <c r="U3923" s="148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1">
        <v>3918.0</v>
      </c>
      <c r="B3924" s="180" t="s">
        <v>6608</v>
      </c>
      <c r="C3924" s="82" t="str">
        <f>VLOOKUP($B$7:$B$5000,SUM!$L$6:$L$500,1,FALSE)</f>
        <v>#N/A</v>
      </c>
      <c r="D3924" s="190" t="s">
        <v>6532</v>
      </c>
      <c r="E3924" s="198" t="s">
        <v>58</v>
      </c>
      <c r="F3924" s="199" t="s">
        <v>4099</v>
      </c>
      <c r="G3924" s="191" t="s">
        <v>2118</v>
      </c>
      <c r="H3924" s="199" t="s">
        <v>6609</v>
      </c>
      <c r="I3924" s="197" t="s">
        <v>6589</v>
      </c>
      <c r="J3924" s="148" t="s">
        <v>63</v>
      </c>
      <c r="K3924" s="148" t="s">
        <v>64</v>
      </c>
      <c r="L3924" s="148" t="s">
        <v>65</v>
      </c>
      <c r="M3924" s="148" t="s">
        <v>66</v>
      </c>
      <c r="N3924" s="212">
        <v>46179.0</v>
      </c>
      <c r="O3924" s="148" t="s">
        <v>67</v>
      </c>
      <c r="P3924" s="148" t="s">
        <v>68</v>
      </c>
      <c r="Q3924" s="103"/>
      <c r="R3924" s="103"/>
      <c r="S3924" s="103"/>
      <c r="T3924" s="103"/>
      <c r="U3924" s="148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1">
        <v>3919.0</v>
      </c>
      <c r="B3925" s="180" t="s">
        <v>6610</v>
      </c>
      <c r="C3925" s="82" t="str">
        <f>VLOOKUP($B$7:$B$5000,SUM!$L$6:$L$500,1,FALSE)</f>
        <v>#N/A</v>
      </c>
      <c r="D3925" s="190" t="s">
        <v>6532</v>
      </c>
      <c r="E3925" s="198" t="s">
        <v>58</v>
      </c>
      <c r="F3925" s="199" t="s">
        <v>4099</v>
      </c>
      <c r="G3925" s="191" t="s">
        <v>2118</v>
      </c>
      <c r="H3925" s="199" t="s">
        <v>6611</v>
      </c>
      <c r="I3925" s="197" t="s">
        <v>6589</v>
      </c>
      <c r="J3925" s="148" t="s">
        <v>63</v>
      </c>
      <c r="K3925" s="148" t="s">
        <v>64</v>
      </c>
      <c r="L3925" s="148" t="s">
        <v>65</v>
      </c>
      <c r="M3925" s="148" t="s">
        <v>66</v>
      </c>
      <c r="N3925" s="212">
        <v>46179.0</v>
      </c>
      <c r="O3925" s="148" t="s">
        <v>67</v>
      </c>
      <c r="P3925" s="148" t="s">
        <v>68</v>
      </c>
      <c r="Q3925" s="103"/>
      <c r="R3925" s="103"/>
      <c r="S3925" s="103"/>
      <c r="T3925" s="103"/>
      <c r="U3925" s="148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1">
        <v>3920.0</v>
      </c>
      <c r="B3926" s="180" t="s">
        <v>6612</v>
      </c>
      <c r="C3926" s="82" t="str">
        <f>VLOOKUP($B$7:$B$5000,SUM!$L$6:$L$500,1,FALSE)</f>
        <v>#N/A</v>
      </c>
      <c r="D3926" s="190" t="s">
        <v>6532</v>
      </c>
      <c r="E3926" s="198" t="s">
        <v>58</v>
      </c>
      <c r="F3926" s="199" t="s">
        <v>4099</v>
      </c>
      <c r="G3926" s="191" t="s">
        <v>2118</v>
      </c>
      <c r="H3926" s="199" t="s">
        <v>6613</v>
      </c>
      <c r="I3926" s="197" t="s">
        <v>6589</v>
      </c>
      <c r="J3926" s="148" t="s">
        <v>63</v>
      </c>
      <c r="K3926" s="148" t="s">
        <v>64</v>
      </c>
      <c r="L3926" s="148" t="s">
        <v>65</v>
      </c>
      <c r="M3926" s="148" t="s">
        <v>66</v>
      </c>
      <c r="N3926" s="212">
        <v>46179.0</v>
      </c>
      <c r="O3926" s="148" t="s">
        <v>67</v>
      </c>
      <c r="P3926" s="148" t="s">
        <v>68</v>
      </c>
      <c r="Q3926" s="103"/>
      <c r="R3926" s="103"/>
      <c r="S3926" s="103"/>
      <c r="T3926" s="103"/>
      <c r="U3926" s="148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1">
        <v>3921.0</v>
      </c>
      <c r="B3927" s="180" t="s">
        <v>6614</v>
      </c>
      <c r="C3927" s="82" t="str">
        <f>VLOOKUP($B$7:$B$5000,SUM!$L$6:$L$500,1,FALSE)</f>
        <v>#N/A</v>
      </c>
      <c r="D3927" s="190" t="s">
        <v>6532</v>
      </c>
      <c r="E3927" s="198" t="s">
        <v>58</v>
      </c>
      <c r="F3927" s="199" t="s">
        <v>4099</v>
      </c>
      <c r="G3927" s="191" t="s">
        <v>2118</v>
      </c>
      <c r="H3927" s="199" t="s">
        <v>6615</v>
      </c>
      <c r="I3927" s="197" t="s">
        <v>6589</v>
      </c>
      <c r="J3927" s="148" t="s">
        <v>63</v>
      </c>
      <c r="K3927" s="148" t="s">
        <v>64</v>
      </c>
      <c r="L3927" s="148" t="s">
        <v>65</v>
      </c>
      <c r="M3927" s="148" t="s">
        <v>66</v>
      </c>
      <c r="N3927" s="212">
        <v>46179.0</v>
      </c>
      <c r="O3927" s="148" t="s">
        <v>67</v>
      </c>
      <c r="P3927" s="148" t="s">
        <v>68</v>
      </c>
      <c r="Q3927" s="103"/>
      <c r="R3927" s="103"/>
      <c r="S3927" s="103"/>
      <c r="T3927" s="103"/>
      <c r="U3927" s="148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1">
        <v>3922.0</v>
      </c>
      <c r="B3928" s="180" t="s">
        <v>6616</v>
      </c>
      <c r="C3928" s="82" t="str">
        <f>VLOOKUP($B$7:$B$5000,SUM!$L$6:$L$500,1,FALSE)</f>
        <v>#N/A</v>
      </c>
      <c r="D3928" s="190" t="s">
        <v>6532</v>
      </c>
      <c r="E3928" s="198" t="s">
        <v>58</v>
      </c>
      <c r="F3928" s="199" t="s">
        <v>4099</v>
      </c>
      <c r="G3928" s="191" t="s">
        <v>2118</v>
      </c>
      <c r="H3928" s="199" t="s">
        <v>6617</v>
      </c>
      <c r="I3928" s="197" t="s">
        <v>6589</v>
      </c>
      <c r="J3928" s="148" t="s">
        <v>63</v>
      </c>
      <c r="K3928" s="148" t="s">
        <v>64</v>
      </c>
      <c r="L3928" s="148" t="s">
        <v>65</v>
      </c>
      <c r="M3928" s="148" t="s">
        <v>66</v>
      </c>
      <c r="N3928" s="212">
        <v>46179.0</v>
      </c>
      <c r="O3928" s="148" t="s">
        <v>67</v>
      </c>
      <c r="P3928" s="148" t="s">
        <v>68</v>
      </c>
      <c r="Q3928" s="103"/>
      <c r="R3928" s="103"/>
      <c r="S3928" s="103"/>
      <c r="T3928" s="103"/>
      <c r="U3928" s="148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1">
        <v>3923.0</v>
      </c>
      <c r="B3929" s="180" t="s">
        <v>6618</v>
      </c>
      <c r="C3929" s="82" t="str">
        <f>VLOOKUP($B$7:$B$5000,SUM!$L$6:$L$500,1,FALSE)</f>
        <v>#N/A</v>
      </c>
      <c r="D3929" s="190" t="s">
        <v>6532</v>
      </c>
      <c r="E3929" s="198" t="s">
        <v>58</v>
      </c>
      <c r="F3929" s="199" t="s">
        <v>4099</v>
      </c>
      <c r="G3929" s="191" t="s">
        <v>2118</v>
      </c>
      <c r="H3929" s="199" t="s">
        <v>6619</v>
      </c>
      <c r="I3929" s="197" t="s">
        <v>6589</v>
      </c>
      <c r="J3929" s="148" t="s">
        <v>63</v>
      </c>
      <c r="K3929" s="148" t="s">
        <v>64</v>
      </c>
      <c r="L3929" s="148" t="s">
        <v>65</v>
      </c>
      <c r="M3929" s="148" t="s">
        <v>66</v>
      </c>
      <c r="N3929" s="212">
        <v>46179.0</v>
      </c>
      <c r="O3929" s="148" t="s">
        <v>67</v>
      </c>
      <c r="P3929" s="148" t="s">
        <v>68</v>
      </c>
      <c r="Q3929" s="103"/>
      <c r="R3929" s="103"/>
      <c r="S3929" s="103"/>
      <c r="T3929" s="103"/>
      <c r="U3929" s="148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1">
        <v>3924.0</v>
      </c>
      <c r="B3930" s="180" t="s">
        <v>6620</v>
      </c>
      <c r="C3930" s="82" t="str">
        <f>VLOOKUP($B$7:$B$5000,SUM!$L$6:$L$500,1,FALSE)</f>
        <v>#N/A</v>
      </c>
      <c r="D3930" s="190" t="s">
        <v>6532</v>
      </c>
      <c r="E3930" s="198" t="s">
        <v>58</v>
      </c>
      <c r="F3930" s="199" t="s">
        <v>4099</v>
      </c>
      <c r="G3930" s="191" t="s">
        <v>2118</v>
      </c>
      <c r="H3930" s="199" t="s">
        <v>6621</v>
      </c>
      <c r="I3930" s="197" t="s">
        <v>6589</v>
      </c>
      <c r="J3930" s="148" t="s">
        <v>63</v>
      </c>
      <c r="K3930" s="148" t="s">
        <v>64</v>
      </c>
      <c r="L3930" s="148" t="s">
        <v>65</v>
      </c>
      <c r="M3930" s="148" t="s">
        <v>66</v>
      </c>
      <c r="N3930" s="212">
        <v>46179.0</v>
      </c>
      <c r="O3930" s="148" t="s">
        <v>67</v>
      </c>
      <c r="P3930" s="148" t="s">
        <v>68</v>
      </c>
      <c r="Q3930" s="103"/>
      <c r="R3930" s="103"/>
      <c r="S3930" s="103"/>
      <c r="T3930" s="103"/>
      <c r="U3930" s="148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1">
        <v>3925.0</v>
      </c>
      <c r="B3931" s="180" t="s">
        <v>6622</v>
      </c>
      <c r="C3931" s="82" t="str">
        <f>VLOOKUP($B$7:$B$5000,SUM!$L$6:$L$500,1,FALSE)</f>
        <v>#N/A</v>
      </c>
      <c r="D3931" s="190" t="s">
        <v>6532</v>
      </c>
      <c r="E3931" s="198" t="s">
        <v>58</v>
      </c>
      <c r="F3931" s="199" t="s">
        <v>4099</v>
      </c>
      <c r="G3931" s="191" t="s">
        <v>2118</v>
      </c>
      <c r="H3931" s="199" t="s">
        <v>6623</v>
      </c>
      <c r="I3931" s="197" t="s">
        <v>6589</v>
      </c>
      <c r="J3931" s="148" t="s">
        <v>63</v>
      </c>
      <c r="K3931" s="148" t="s">
        <v>64</v>
      </c>
      <c r="L3931" s="148" t="s">
        <v>65</v>
      </c>
      <c r="M3931" s="148" t="s">
        <v>66</v>
      </c>
      <c r="N3931" s="212">
        <v>46179.0</v>
      </c>
      <c r="O3931" s="148" t="s">
        <v>67</v>
      </c>
      <c r="P3931" s="148" t="s">
        <v>68</v>
      </c>
      <c r="Q3931" s="103"/>
      <c r="R3931" s="103"/>
      <c r="S3931" s="103"/>
      <c r="T3931" s="103"/>
      <c r="U3931" s="148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1">
        <v>3926.0</v>
      </c>
      <c r="B3932" s="180" t="s">
        <v>6624</v>
      </c>
      <c r="C3932" s="82" t="str">
        <f>VLOOKUP($B$7:$B$5000,SUM!$L$6:$L$500,1,FALSE)</f>
        <v>#N/A</v>
      </c>
      <c r="D3932" s="190" t="s">
        <v>6532</v>
      </c>
      <c r="E3932" s="198" t="s">
        <v>58</v>
      </c>
      <c r="F3932" s="199" t="s">
        <v>4099</v>
      </c>
      <c r="G3932" s="191" t="s">
        <v>2118</v>
      </c>
      <c r="H3932" s="199" t="s">
        <v>6625</v>
      </c>
      <c r="I3932" s="197" t="s">
        <v>6589</v>
      </c>
      <c r="J3932" s="148" t="s">
        <v>63</v>
      </c>
      <c r="K3932" s="148" t="s">
        <v>64</v>
      </c>
      <c r="L3932" s="148" t="s">
        <v>65</v>
      </c>
      <c r="M3932" s="148" t="s">
        <v>66</v>
      </c>
      <c r="N3932" s="212">
        <v>46179.0</v>
      </c>
      <c r="O3932" s="148" t="s">
        <v>67</v>
      </c>
      <c r="P3932" s="148" t="s">
        <v>68</v>
      </c>
      <c r="Q3932" s="103"/>
      <c r="R3932" s="103"/>
      <c r="S3932" s="103"/>
      <c r="T3932" s="103"/>
      <c r="U3932" s="148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1">
        <v>3927.0</v>
      </c>
      <c r="B3933" s="180" t="s">
        <v>6626</v>
      </c>
      <c r="C3933" s="82" t="str">
        <f>VLOOKUP($B$7:$B$5000,SUM!$L$6:$L$500,1,FALSE)</f>
        <v>#N/A</v>
      </c>
      <c r="D3933" s="190" t="s">
        <v>6532</v>
      </c>
      <c r="E3933" s="198" t="s">
        <v>58</v>
      </c>
      <c r="F3933" s="199" t="s">
        <v>4099</v>
      </c>
      <c r="G3933" s="191" t="s">
        <v>2118</v>
      </c>
      <c r="H3933" s="199" t="s">
        <v>6627</v>
      </c>
      <c r="I3933" s="197" t="s">
        <v>6589</v>
      </c>
      <c r="J3933" s="148" t="s">
        <v>63</v>
      </c>
      <c r="K3933" s="148" t="s">
        <v>64</v>
      </c>
      <c r="L3933" s="148" t="s">
        <v>65</v>
      </c>
      <c r="M3933" s="148" t="s">
        <v>66</v>
      </c>
      <c r="N3933" s="212">
        <v>46179.0</v>
      </c>
      <c r="O3933" s="148" t="s">
        <v>67</v>
      </c>
      <c r="P3933" s="148" t="s">
        <v>68</v>
      </c>
      <c r="Q3933" s="103"/>
      <c r="R3933" s="103"/>
      <c r="S3933" s="103"/>
      <c r="T3933" s="103"/>
      <c r="U3933" s="148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1">
        <v>3928.0</v>
      </c>
      <c r="B3934" s="180" t="s">
        <v>6628</v>
      </c>
      <c r="C3934" s="82" t="str">
        <f>VLOOKUP($B$7:$B$5000,SUM!$L$6:$L$500,1,FALSE)</f>
        <v>#N/A</v>
      </c>
      <c r="D3934" s="190" t="s">
        <v>6532</v>
      </c>
      <c r="E3934" s="198" t="s">
        <v>58</v>
      </c>
      <c r="F3934" s="199" t="s">
        <v>4099</v>
      </c>
      <c r="G3934" s="191" t="s">
        <v>2118</v>
      </c>
      <c r="H3934" s="199" t="s">
        <v>6629</v>
      </c>
      <c r="I3934" s="197" t="s">
        <v>6589</v>
      </c>
      <c r="J3934" s="148" t="s">
        <v>63</v>
      </c>
      <c r="K3934" s="148" t="s">
        <v>64</v>
      </c>
      <c r="L3934" s="148" t="s">
        <v>65</v>
      </c>
      <c r="M3934" s="148" t="s">
        <v>66</v>
      </c>
      <c r="N3934" s="212">
        <v>46179.0</v>
      </c>
      <c r="O3934" s="148" t="s">
        <v>67</v>
      </c>
      <c r="P3934" s="148" t="s">
        <v>68</v>
      </c>
      <c r="Q3934" s="103"/>
      <c r="R3934" s="103"/>
      <c r="S3934" s="103"/>
      <c r="T3934" s="103"/>
      <c r="U3934" s="148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1">
        <v>3929.0</v>
      </c>
      <c r="B3935" s="180" t="s">
        <v>6630</v>
      </c>
      <c r="C3935" s="82" t="str">
        <f>VLOOKUP($B$7:$B$5000,SUM!$L$6:$L$500,1,FALSE)</f>
        <v>#N/A</v>
      </c>
      <c r="D3935" s="190" t="s">
        <v>6532</v>
      </c>
      <c r="E3935" s="198" t="s">
        <v>58</v>
      </c>
      <c r="F3935" s="199" t="s">
        <v>4099</v>
      </c>
      <c r="G3935" s="191" t="s">
        <v>2118</v>
      </c>
      <c r="H3935" s="199" t="s">
        <v>6631</v>
      </c>
      <c r="I3935" s="197" t="s">
        <v>6589</v>
      </c>
      <c r="J3935" s="148" t="s">
        <v>63</v>
      </c>
      <c r="K3935" s="148" t="s">
        <v>64</v>
      </c>
      <c r="L3935" s="148" t="s">
        <v>65</v>
      </c>
      <c r="M3935" s="148" t="s">
        <v>66</v>
      </c>
      <c r="N3935" s="212">
        <v>46179.0</v>
      </c>
      <c r="O3935" s="148" t="s">
        <v>67</v>
      </c>
      <c r="P3935" s="148" t="s">
        <v>68</v>
      </c>
      <c r="Q3935" s="103"/>
      <c r="R3935" s="103"/>
      <c r="S3935" s="103"/>
      <c r="T3935" s="103"/>
      <c r="U3935" s="148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1">
        <v>3930.0</v>
      </c>
      <c r="B3936" s="180" t="s">
        <v>6632</v>
      </c>
      <c r="C3936" s="82" t="str">
        <f>VLOOKUP($B$7:$B$5000,SUM!$L$6:$L$500,1,FALSE)</f>
        <v>#N/A</v>
      </c>
      <c r="D3936" s="190" t="s">
        <v>6532</v>
      </c>
      <c r="E3936" s="198" t="s">
        <v>58</v>
      </c>
      <c r="F3936" s="199" t="s">
        <v>4099</v>
      </c>
      <c r="G3936" s="191" t="s">
        <v>2118</v>
      </c>
      <c r="H3936" s="199" t="s">
        <v>6633</v>
      </c>
      <c r="I3936" s="197" t="s">
        <v>6589</v>
      </c>
      <c r="J3936" s="148" t="s">
        <v>63</v>
      </c>
      <c r="K3936" s="148" t="s">
        <v>64</v>
      </c>
      <c r="L3936" s="148" t="s">
        <v>65</v>
      </c>
      <c r="M3936" s="148" t="s">
        <v>66</v>
      </c>
      <c r="N3936" s="212">
        <v>46179.0</v>
      </c>
      <c r="O3936" s="148" t="s">
        <v>67</v>
      </c>
      <c r="P3936" s="148" t="s">
        <v>68</v>
      </c>
      <c r="Q3936" s="103"/>
      <c r="R3936" s="103"/>
      <c r="S3936" s="103"/>
      <c r="T3936" s="103"/>
      <c r="U3936" s="148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1">
        <v>3931.0</v>
      </c>
      <c r="B3937" s="180" t="s">
        <v>6634</v>
      </c>
      <c r="C3937" s="82" t="str">
        <f>VLOOKUP($B$7:$B$5000,SUM!$L$6:$L$500,1,FALSE)</f>
        <v>#N/A</v>
      </c>
      <c r="D3937" s="190" t="s">
        <v>6532</v>
      </c>
      <c r="E3937" s="198" t="s">
        <v>58</v>
      </c>
      <c r="F3937" s="199" t="s">
        <v>4099</v>
      </c>
      <c r="G3937" s="191" t="s">
        <v>2118</v>
      </c>
      <c r="H3937" s="199" t="s">
        <v>6635</v>
      </c>
      <c r="I3937" s="197" t="s">
        <v>6589</v>
      </c>
      <c r="J3937" s="148" t="s">
        <v>63</v>
      </c>
      <c r="K3937" s="148" t="s">
        <v>64</v>
      </c>
      <c r="L3937" s="148" t="s">
        <v>65</v>
      </c>
      <c r="M3937" s="148" t="s">
        <v>66</v>
      </c>
      <c r="N3937" s="212">
        <v>46179.0</v>
      </c>
      <c r="O3937" s="148" t="s">
        <v>67</v>
      </c>
      <c r="P3937" s="148" t="s">
        <v>68</v>
      </c>
      <c r="Q3937" s="103"/>
      <c r="R3937" s="103"/>
      <c r="S3937" s="103"/>
      <c r="T3937" s="103"/>
      <c r="U3937" s="148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1">
        <v>3932.0</v>
      </c>
      <c r="B3938" s="180" t="s">
        <v>6636</v>
      </c>
      <c r="C3938" s="82" t="str">
        <f>VLOOKUP($B$7:$B$5000,SUM!$L$6:$L$500,1,FALSE)</f>
        <v>#N/A</v>
      </c>
      <c r="D3938" s="190" t="s">
        <v>6532</v>
      </c>
      <c r="E3938" s="198" t="s">
        <v>58</v>
      </c>
      <c r="F3938" s="199" t="s">
        <v>4099</v>
      </c>
      <c r="G3938" s="191" t="s">
        <v>2118</v>
      </c>
      <c r="H3938" s="199" t="s">
        <v>6637</v>
      </c>
      <c r="I3938" s="197" t="s">
        <v>6589</v>
      </c>
      <c r="J3938" s="148" t="s">
        <v>63</v>
      </c>
      <c r="K3938" s="148" t="s">
        <v>64</v>
      </c>
      <c r="L3938" s="148" t="s">
        <v>65</v>
      </c>
      <c r="M3938" s="148" t="s">
        <v>66</v>
      </c>
      <c r="N3938" s="212">
        <v>46179.0</v>
      </c>
      <c r="O3938" s="148" t="s">
        <v>67</v>
      </c>
      <c r="P3938" s="148" t="s">
        <v>68</v>
      </c>
      <c r="Q3938" s="103"/>
      <c r="R3938" s="103"/>
      <c r="S3938" s="103"/>
      <c r="T3938" s="103"/>
      <c r="U3938" s="148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1">
        <v>3933.0</v>
      </c>
      <c r="B3939" s="180" t="s">
        <v>6638</v>
      </c>
      <c r="C3939" s="82" t="str">
        <f>VLOOKUP($B$7:$B$5000,SUM!$L$6:$L$500,1,FALSE)</f>
        <v>#N/A</v>
      </c>
      <c r="D3939" s="190" t="s">
        <v>6532</v>
      </c>
      <c r="E3939" s="198" t="s">
        <v>58</v>
      </c>
      <c r="F3939" s="199" t="s">
        <v>4099</v>
      </c>
      <c r="G3939" s="191" t="s">
        <v>2118</v>
      </c>
      <c r="H3939" s="199" t="s">
        <v>6639</v>
      </c>
      <c r="I3939" s="197" t="s">
        <v>6589</v>
      </c>
      <c r="J3939" s="148" t="s">
        <v>63</v>
      </c>
      <c r="K3939" s="148" t="s">
        <v>64</v>
      </c>
      <c r="L3939" s="148" t="s">
        <v>65</v>
      </c>
      <c r="M3939" s="148" t="s">
        <v>66</v>
      </c>
      <c r="N3939" s="212">
        <v>46179.0</v>
      </c>
      <c r="O3939" s="148" t="s">
        <v>67</v>
      </c>
      <c r="P3939" s="148" t="s">
        <v>68</v>
      </c>
      <c r="Q3939" s="103"/>
      <c r="R3939" s="103"/>
      <c r="S3939" s="103"/>
      <c r="T3939" s="103"/>
      <c r="U3939" s="148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1">
        <v>3934.0</v>
      </c>
      <c r="B3940" s="180" t="s">
        <v>6640</v>
      </c>
      <c r="C3940" s="82" t="str">
        <f>VLOOKUP($B$7:$B$5000,SUM!$L$6:$L$500,1,FALSE)</f>
        <v>#N/A</v>
      </c>
      <c r="D3940" s="190" t="s">
        <v>6532</v>
      </c>
      <c r="E3940" s="198" t="s">
        <v>58</v>
      </c>
      <c r="F3940" s="199" t="s">
        <v>4099</v>
      </c>
      <c r="G3940" s="191" t="s">
        <v>2118</v>
      </c>
      <c r="H3940" s="199" t="s">
        <v>6641</v>
      </c>
      <c r="I3940" s="197" t="s">
        <v>6589</v>
      </c>
      <c r="J3940" s="148" t="s">
        <v>63</v>
      </c>
      <c r="K3940" s="148" t="s">
        <v>64</v>
      </c>
      <c r="L3940" s="148" t="s">
        <v>65</v>
      </c>
      <c r="M3940" s="148" t="s">
        <v>66</v>
      </c>
      <c r="N3940" s="212">
        <v>46179.0</v>
      </c>
      <c r="O3940" s="148" t="s">
        <v>67</v>
      </c>
      <c r="P3940" s="148" t="s">
        <v>68</v>
      </c>
      <c r="Q3940" s="103"/>
      <c r="R3940" s="103"/>
      <c r="S3940" s="103"/>
      <c r="T3940" s="103"/>
      <c r="U3940" s="148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1">
        <v>3935.0</v>
      </c>
      <c r="B3941" s="180" t="s">
        <v>6642</v>
      </c>
      <c r="C3941" s="82" t="str">
        <f>VLOOKUP($B$7:$B$5000,SUM!$L$6:$L$500,1,FALSE)</f>
        <v>#N/A</v>
      </c>
      <c r="D3941" s="190" t="s">
        <v>6532</v>
      </c>
      <c r="E3941" s="198" t="s">
        <v>58</v>
      </c>
      <c r="F3941" s="199" t="s">
        <v>4099</v>
      </c>
      <c r="G3941" s="191" t="s">
        <v>2118</v>
      </c>
      <c r="H3941" s="199" t="s">
        <v>6533</v>
      </c>
      <c r="I3941" s="197" t="s">
        <v>4171</v>
      </c>
      <c r="J3941" s="148" t="s">
        <v>63</v>
      </c>
      <c r="K3941" s="148" t="s">
        <v>64</v>
      </c>
      <c r="L3941" s="148" t="s">
        <v>65</v>
      </c>
      <c r="M3941" s="148" t="s">
        <v>66</v>
      </c>
      <c r="N3941" s="212">
        <v>46179.0</v>
      </c>
      <c r="O3941" s="148" t="s">
        <v>67</v>
      </c>
      <c r="P3941" s="148" t="s">
        <v>68</v>
      </c>
      <c r="Q3941" s="103"/>
      <c r="R3941" s="103"/>
      <c r="S3941" s="103"/>
      <c r="T3941" s="103"/>
      <c r="U3941" s="148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1">
        <v>3936.0</v>
      </c>
      <c r="B3942" s="180" t="s">
        <v>6643</v>
      </c>
      <c r="C3942" s="82" t="str">
        <f>VLOOKUP($B$7:$B$5000,SUM!$L$6:$L$500,1,FALSE)</f>
        <v>#N/A</v>
      </c>
      <c r="D3942" s="190" t="s">
        <v>6532</v>
      </c>
      <c r="E3942" s="198" t="s">
        <v>58</v>
      </c>
      <c r="F3942" s="199" t="s">
        <v>4099</v>
      </c>
      <c r="G3942" s="191" t="s">
        <v>2118</v>
      </c>
      <c r="H3942" s="199" t="s">
        <v>6536</v>
      </c>
      <c r="I3942" s="197" t="s">
        <v>4171</v>
      </c>
      <c r="J3942" s="148" t="s">
        <v>63</v>
      </c>
      <c r="K3942" s="148" t="s">
        <v>64</v>
      </c>
      <c r="L3942" s="148" t="s">
        <v>65</v>
      </c>
      <c r="M3942" s="148" t="s">
        <v>66</v>
      </c>
      <c r="N3942" s="212">
        <v>46179.0</v>
      </c>
      <c r="O3942" s="148" t="s">
        <v>67</v>
      </c>
      <c r="P3942" s="148" t="s">
        <v>68</v>
      </c>
      <c r="Q3942" s="103"/>
      <c r="R3942" s="103"/>
      <c r="S3942" s="103"/>
      <c r="T3942" s="103"/>
      <c r="U3942" s="148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1">
        <v>3937.0</v>
      </c>
      <c r="B3943" s="180" t="s">
        <v>6644</v>
      </c>
      <c r="C3943" s="82" t="str">
        <f>VLOOKUP($B$7:$B$5000,SUM!$L$6:$L$500,1,FALSE)</f>
        <v>#N/A</v>
      </c>
      <c r="D3943" s="190" t="s">
        <v>6532</v>
      </c>
      <c r="E3943" s="198" t="s">
        <v>58</v>
      </c>
      <c r="F3943" s="199" t="s">
        <v>4099</v>
      </c>
      <c r="G3943" s="191" t="s">
        <v>2118</v>
      </c>
      <c r="H3943" s="199" t="s">
        <v>6538</v>
      </c>
      <c r="I3943" s="197" t="s">
        <v>4171</v>
      </c>
      <c r="J3943" s="148" t="s">
        <v>63</v>
      </c>
      <c r="K3943" s="148" t="s">
        <v>64</v>
      </c>
      <c r="L3943" s="148" t="s">
        <v>65</v>
      </c>
      <c r="M3943" s="148" t="s">
        <v>66</v>
      </c>
      <c r="N3943" s="212">
        <v>46179.0</v>
      </c>
      <c r="O3943" s="148" t="s">
        <v>67</v>
      </c>
      <c r="P3943" s="148" t="s">
        <v>68</v>
      </c>
      <c r="Q3943" s="103"/>
      <c r="R3943" s="103"/>
      <c r="S3943" s="103"/>
      <c r="T3943" s="103"/>
      <c r="U3943" s="148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1">
        <v>3938.0</v>
      </c>
      <c r="B3944" s="180" t="s">
        <v>6645</v>
      </c>
      <c r="C3944" s="82" t="str">
        <f>VLOOKUP($B$7:$B$5000,SUM!$L$6:$L$500,1,FALSE)</f>
        <v>#N/A</v>
      </c>
      <c r="D3944" s="190" t="s">
        <v>6532</v>
      </c>
      <c r="E3944" s="198" t="s">
        <v>58</v>
      </c>
      <c r="F3944" s="199" t="s">
        <v>4099</v>
      </c>
      <c r="G3944" s="191" t="s">
        <v>2118</v>
      </c>
      <c r="H3944" s="199" t="s">
        <v>6540</v>
      </c>
      <c r="I3944" s="197" t="s">
        <v>4171</v>
      </c>
      <c r="J3944" s="148" t="s">
        <v>63</v>
      </c>
      <c r="K3944" s="148" t="s">
        <v>64</v>
      </c>
      <c r="L3944" s="148" t="s">
        <v>65</v>
      </c>
      <c r="M3944" s="148" t="s">
        <v>66</v>
      </c>
      <c r="N3944" s="212">
        <v>46179.0</v>
      </c>
      <c r="O3944" s="148" t="s">
        <v>67</v>
      </c>
      <c r="P3944" s="148" t="s">
        <v>68</v>
      </c>
      <c r="Q3944" s="103"/>
      <c r="R3944" s="103"/>
      <c r="S3944" s="103"/>
      <c r="T3944" s="103"/>
      <c r="U3944" s="148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1">
        <v>3939.0</v>
      </c>
      <c r="B3945" s="180" t="s">
        <v>6646</v>
      </c>
      <c r="C3945" s="82" t="str">
        <f>VLOOKUP($B$7:$B$5000,SUM!$L$6:$L$500,1,FALSE)</f>
        <v>#N/A</v>
      </c>
      <c r="D3945" s="190" t="s">
        <v>6532</v>
      </c>
      <c r="E3945" s="198" t="s">
        <v>58</v>
      </c>
      <c r="F3945" s="199" t="s">
        <v>4099</v>
      </c>
      <c r="G3945" s="191" t="s">
        <v>2118</v>
      </c>
      <c r="H3945" s="199" t="s">
        <v>6542</v>
      </c>
      <c r="I3945" s="197" t="s">
        <v>4171</v>
      </c>
      <c r="J3945" s="148" t="s">
        <v>63</v>
      </c>
      <c r="K3945" s="148" t="s">
        <v>64</v>
      </c>
      <c r="L3945" s="148" t="s">
        <v>65</v>
      </c>
      <c r="M3945" s="148" t="s">
        <v>66</v>
      </c>
      <c r="N3945" s="212">
        <v>46179.0</v>
      </c>
      <c r="O3945" s="148" t="s">
        <v>67</v>
      </c>
      <c r="P3945" s="148" t="s">
        <v>68</v>
      </c>
      <c r="Q3945" s="103"/>
      <c r="R3945" s="103"/>
      <c r="S3945" s="103"/>
      <c r="T3945" s="103"/>
      <c r="U3945" s="148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1">
        <v>3940.0</v>
      </c>
      <c r="B3946" s="180" t="s">
        <v>6647</v>
      </c>
      <c r="C3946" s="82" t="str">
        <f>VLOOKUP($B$7:$B$5000,SUM!$L$6:$L$500,1,FALSE)</f>
        <v>#N/A</v>
      </c>
      <c r="D3946" s="190" t="s">
        <v>6532</v>
      </c>
      <c r="E3946" s="198" t="s">
        <v>58</v>
      </c>
      <c r="F3946" s="199" t="s">
        <v>4099</v>
      </c>
      <c r="G3946" s="191" t="s">
        <v>2118</v>
      </c>
      <c r="H3946" s="199" t="s">
        <v>6544</v>
      </c>
      <c r="I3946" s="197" t="s">
        <v>4171</v>
      </c>
      <c r="J3946" s="148" t="s">
        <v>63</v>
      </c>
      <c r="K3946" s="148" t="s">
        <v>64</v>
      </c>
      <c r="L3946" s="148" t="s">
        <v>65</v>
      </c>
      <c r="M3946" s="148" t="s">
        <v>66</v>
      </c>
      <c r="N3946" s="212">
        <v>46179.0</v>
      </c>
      <c r="O3946" s="148" t="s">
        <v>67</v>
      </c>
      <c r="P3946" s="148" t="s">
        <v>68</v>
      </c>
      <c r="Q3946" s="103"/>
      <c r="R3946" s="103"/>
      <c r="S3946" s="103"/>
      <c r="T3946" s="103"/>
      <c r="U3946" s="148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1">
        <v>3941.0</v>
      </c>
      <c r="B3947" s="180" t="s">
        <v>6648</v>
      </c>
      <c r="C3947" s="82" t="str">
        <f>VLOOKUP($B$7:$B$5000,SUM!$L$6:$L$500,1,FALSE)</f>
        <v>#N/A</v>
      </c>
      <c r="D3947" s="190" t="s">
        <v>6532</v>
      </c>
      <c r="E3947" s="198" t="s">
        <v>58</v>
      </c>
      <c r="F3947" s="199" t="s">
        <v>4099</v>
      </c>
      <c r="G3947" s="191" t="s">
        <v>2118</v>
      </c>
      <c r="H3947" s="199" t="s">
        <v>6546</v>
      </c>
      <c r="I3947" s="197" t="s">
        <v>4171</v>
      </c>
      <c r="J3947" s="148" t="s">
        <v>63</v>
      </c>
      <c r="K3947" s="148" t="s">
        <v>64</v>
      </c>
      <c r="L3947" s="148" t="s">
        <v>65</v>
      </c>
      <c r="M3947" s="148" t="s">
        <v>66</v>
      </c>
      <c r="N3947" s="212">
        <v>46179.0</v>
      </c>
      <c r="O3947" s="148" t="s">
        <v>67</v>
      </c>
      <c r="P3947" s="148" t="s">
        <v>68</v>
      </c>
      <c r="Q3947" s="103"/>
      <c r="R3947" s="103"/>
      <c r="S3947" s="103"/>
      <c r="T3947" s="103"/>
      <c r="U3947" s="148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1">
        <v>3942.0</v>
      </c>
      <c r="B3948" s="180" t="s">
        <v>6649</v>
      </c>
      <c r="C3948" s="82" t="str">
        <f>VLOOKUP($B$7:$B$5000,SUM!$L$6:$L$500,1,FALSE)</f>
        <v>#N/A</v>
      </c>
      <c r="D3948" s="190" t="s">
        <v>6532</v>
      </c>
      <c r="E3948" s="198" t="s">
        <v>58</v>
      </c>
      <c r="F3948" s="199" t="s">
        <v>4099</v>
      </c>
      <c r="G3948" s="191" t="s">
        <v>2118</v>
      </c>
      <c r="H3948" s="199" t="s">
        <v>6548</v>
      </c>
      <c r="I3948" s="197" t="s">
        <v>4171</v>
      </c>
      <c r="J3948" s="148" t="s">
        <v>63</v>
      </c>
      <c r="K3948" s="148" t="s">
        <v>64</v>
      </c>
      <c r="L3948" s="148" t="s">
        <v>65</v>
      </c>
      <c r="M3948" s="148" t="s">
        <v>66</v>
      </c>
      <c r="N3948" s="212">
        <v>46179.0</v>
      </c>
      <c r="O3948" s="148" t="s">
        <v>67</v>
      </c>
      <c r="P3948" s="148" t="s">
        <v>68</v>
      </c>
      <c r="Q3948" s="103"/>
      <c r="R3948" s="103"/>
      <c r="S3948" s="103"/>
      <c r="T3948" s="103"/>
      <c r="U3948" s="148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1">
        <v>3943.0</v>
      </c>
      <c r="B3949" s="180" t="s">
        <v>6650</v>
      </c>
      <c r="C3949" s="82" t="str">
        <f>VLOOKUP($B$7:$B$5000,SUM!$L$6:$L$500,1,FALSE)</f>
        <v>#N/A</v>
      </c>
      <c r="D3949" s="190" t="s">
        <v>6532</v>
      </c>
      <c r="E3949" s="198" t="s">
        <v>58</v>
      </c>
      <c r="F3949" s="199" t="s">
        <v>4099</v>
      </c>
      <c r="G3949" s="191" t="s">
        <v>2118</v>
      </c>
      <c r="H3949" s="199" t="s">
        <v>6550</v>
      </c>
      <c r="I3949" s="197" t="s">
        <v>4171</v>
      </c>
      <c r="J3949" s="148" t="s">
        <v>63</v>
      </c>
      <c r="K3949" s="148" t="s">
        <v>64</v>
      </c>
      <c r="L3949" s="148" t="s">
        <v>65</v>
      </c>
      <c r="M3949" s="148" t="s">
        <v>66</v>
      </c>
      <c r="N3949" s="212">
        <v>46179.0</v>
      </c>
      <c r="O3949" s="148" t="s">
        <v>67</v>
      </c>
      <c r="P3949" s="148" t="s">
        <v>68</v>
      </c>
      <c r="Q3949" s="103"/>
      <c r="R3949" s="103"/>
      <c r="S3949" s="103"/>
      <c r="T3949" s="103"/>
      <c r="U3949" s="148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1">
        <v>3944.0</v>
      </c>
      <c r="B3950" s="180" t="s">
        <v>6651</v>
      </c>
      <c r="C3950" s="82" t="str">
        <f>VLOOKUP($B$7:$B$5000,SUM!$L$6:$L$500,1,FALSE)</f>
        <v>#N/A</v>
      </c>
      <c r="D3950" s="190" t="s">
        <v>6532</v>
      </c>
      <c r="E3950" s="198" t="s">
        <v>58</v>
      </c>
      <c r="F3950" s="199" t="s">
        <v>4099</v>
      </c>
      <c r="G3950" s="191" t="s">
        <v>2118</v>
      </c>
      <c r="H3950" s="199" t="s">
        <v>6552</v>
      </c>
      <c r="I3950" s="197" t="s">
        <v>4171</v>
      </c>
      <c r="J3950" s="148" t="s">
        <v>63</v>
      </c>
      <c r="K3950" s="148" t="s">
        <v>64</v>
      </c>
      <c r="L3950" s="148" t="s">
        <v>65</v>
      </c>
      <c r="M3950" s="148" t="s">
        <v>66</v>
      </c>
      <c r="N3950" s="212">
        <v>46179.0</v>
      </c>
      <c r="O3950" s="148" t="s">
        <v>67</v>
      </c>
      <c r="P3950" s="148" t="s">
        <v>68</v>
      </c>
      <c r="Q3950" s="103"/>
      <c r="R3950" s="103"/>
      <c r="S3950" s="103"/>
      <c r="T3950" s="103"/>
      <c r="U3950" s="148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1">
        <v>3945.0</v>
      </c>
      <c r="B3951" s="180" t="s">
        <v>6652</v>
      </c>
      <c r="C3951" s="82" t="str">
        <f>VLOOKUP($B$7:$B$5000,SUM!$L$6:$L$500,1,FALSE)</f>
        <v>#N/A</v>
      </c>
      <c r="D3951" s="190" t="s">
        <v>6532</v>
      </c>
      <c r="E3951" s="198" t="s">
        <v>58</v>
      </c>
      <c r="F3951" s="199" t="s">
        <v>4099</v>
      </c>
      <c r="G3951" s="191" t="s">
        <v>2118</v>
      </c>
      <c r="H3951" s="199" t="s">
        <v>6554</v>
      </c>
      <c r="I3951" s="197" t="s">
        <v>4171</v>
      </c>
      <c r="J3951" s="148" t="s">
        <v>63</v>
      </c>
      <c r="K3951" s="148" t="s">
        <v>64</v>
      </c>
      <c r="L3951" s="148" t="s">
        <v>65</v>
      </c>
      <c r="M3951" s="148" t="s">
        <v>66</v>
      </c>
      <c r="N3951" s="212">
        <v>46179.0</v>
      </c>
      <c r="O3951" s="148" t="s">
        <v>67</v>
      </c>
      <c r="P3951" s="148" t="s">
        <v>68</v>
      </c>
      <c r="Q3951" s="103"/>
      <c r="R3951" s="103"/>
      <c r="S3951" s="103"/>
      <c r="T3951" s="103"/>
      <c r="U3951" s="148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1">
        <v>3946.0</v>
      </c>
      <c r="B3952" s="180" t="s">
        <v>6653</v>
      </c>
      <c r="C3952" s="82" t="str">
        <f>VLOOKUP($B$7:$B$5000,SUM!$L$6:$L$500,1,FALSE)</f>
        <v>#N/A</v>
      </c>
      <c r="D3952" s="190" t="s">
        <v>6532</v>
      </c>
      <c r="E3952" s="198" t="s">
        <v>58</v>
      </c>
      <c r="F3952" s="199" t="s">
        <v>4099</v>
      </c>
      <c r="G3952" s="191" t="s">
        <v>2118</v>
      </c>
      <c r="H3952" s="199" t="s">
        <v>6556</v>
      </c>
      <c r="I3952" s="197" t="s">
        <v>4171</v>
      </c>
      <c r="J3952" s="148" t="s">
        <v>63</v>
      </c>
      <c r="K3952" s="148" t="s">
        <v>64</v>
      </c>
      <c r="L3952" s="148" t="s">
        <v>65</v>
      </c>
      <c r="M3952" s="148" t="s">
        <v>66</v>
      </c>
      <c r="N3952" s="212">
        <v>46179.0</v>
      </c>
      <c r="O3952" s="148" t="s">
        <v>67</v>
      </c>
      <c r="P3952" s="148" t="s">
        <v>68</v>
      </c>
      <c r="Q3952" s="103"/>
      <c r="R3952" s="103"/>
      <c r="S3952" s="103"/>
      <c r="T3952" s="103"/>
      <c r="U3952" s="148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1">
        <v>3947.0</v>
      </c>
      <c r="B3953" s="180" t="s">
        <v>6654</v>
      </c>
      <c r="C3953" s="82" t="str">
        <f>VLOOKUP($B$7:$B$5000,SUM!$L$6:$L$500,1,FALSE)</f>
        <v>#N/A</v>
      </c>
      <c r="D3953" s="190" t="s">
        <v>6532</v>
      </c>
      <c r="E3953" s="198" t="s">
        <v>58</v>
      </c>
      <c r="F3953" s="199" t="s">
        <v>4099</v>
      </c>
      <c r="G3953" s="191" t="s">
        <v>2118</v>
      </c>
      <c r="H3953" s="199" t="s">
        <v>6558</v>
      </c>
      <c r="I3953" s="197" t="s">
        <v>4171</v>
      </c>
      <c r="J3953" s="148" t="s">
        <v>63</v>
      </c>
      <c r="K3953" s="148" t="s">
        <v>64</v>
      </c>
      <c r="L3953" s="148" t="s">
        <v>65</v>
      </c>
      <c r="M3953" s="148" t="s">
        <v>66</v>
      </c>
      <c r="N3953" s="212">
        <v>46179.0</v>
      </c>
      <c r="O3953" s="148" t="s">
        <v>67</v>
      </c>
      <c r="P3953" s="148" t="s">
        <v>68</v>
      </c>
      <c r="Q3953" s="103"/>
      <c r="R3953" s="103"/>
      <c r="S3953" s="103"/>
      <c r="T3953" s="103"/>
      <c r="U3953" s="148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1">
        <v>3948.0</v>
      </c>
      <c r="B3954" s="180" t="s">
        <v>6655</v>
      </c>
      <c r="C3954" s="82" t="str">
        <f>VLOOKUP($B$7:$B$5000,SUM!$L$6:$L$500,1,FALSE)</f>
        <v>#N/A</v>
      </c>
      <c r="D3954" s="190" t="s">
        <v>6532</v>
      </c>
      <c r="E3954" s="198" t="s">
        <v>58</v>
      </c>
      <c r="F3954" s="199" t="s">
        <v>4099</v>
      </c>
      <c r="G3954" s="191" t="s">
        <v>2118</v>
      </c>
      <c r="H3954" s="199" t="s">
        <v>6560</v>
      </c>
      <c r="I3954" s="197" t="s">
        <v>4171</v>
      </c>
      <c r="J3954" s="148" t="s">
        <v>63</v>
      </c>
      <c r="K3954" s="148" t="s">
        <v>64</v>
      </c>
      <c r="L3954" s="148" t="s">
        <v>65</v>
      </c>
      <c r="M3954" s="148" t="s">
        <v>66</v>
      </c>
      <c r="N3954" s="212">
        <v>46179.0</v>
      </c>
      <c r="O3954" s="148" t="s">
        <v>67</v>
      </c>
      <c r="P3954" s="148" t="s">
        <v>68</v>
      </c>
      <c r="Q3954" s="103"/>
      <c r="R3954" s="103"/>
      <c r="S3954" s="103"/>
      <c r="T3954" s="103"/>
      <c r="U3954" s="148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1">
        <v>3949.0</v>
      </c>
      <c r="B3955" s="180" t="s">
        <v>6656</v>
      </c>
      <c r="C3955" s="82" t="str">
        <f>VLOOKUP($B$7:$B$5000,SUM!$L$6:$L$500,1,FALSE)</f>
        <v>#N/A</v>
      </c>
      <c r="D3955" s="190" t="s">
        <v>6532</v>
      </c>
      <c r="E3955" s="198" t="s">
        <v>58</v>
      </c>
      <c r="F3955" s="199" t="s">
        <v>4099</v>
      </c>
      <c r="G3955" s="191" t="s">
        <v>2118</v>
      </c>
      <c r="H3955" s="199" t="s">
        <v>6562</v>
      </c>
      <c r="I3955" s="197" t="s">
        <v>4171</v>
      </c>
      <c r="J3955" s="148" t="s">
        <v>63</v>
      </c>
      <c r="K3955" s="148" t="s">
        <v>64</v>
      </c>
      <c r="L3955" s="148" t="s">
        <v>65</v>
      </c>
      <c r="M3955" s="148" t="s">
        <v>66</v>
      </c>
      <c r="N3955" s="212">
        <v>46179.0</v>
      </c>
      <c r="O3955" s="148" t="s">
        <v>67</v>
      </c>
      <c r="P3955" s="148" t="s">
        <v>68</v>
      </c>
      <c r="Q3955" s="103"/>
      <c r="R3955" s="103"/>
      <c r="S3955" s="103"/>
      <c r="T3955" s="103"/>
      <c r="U3955" s="148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1">
        <v>3950.0</v>
      </c>
      <c r="B3956" s="180" t="s">
        <v>6657</v>
      </c>
      <c r="C3956" s="82" t="str">
        <f>VLOOKUP($B$7:$B$5000,SUM!$L$6:$L$500,1,FALSE)</f>
        <v>#N/A</v>
      </c>
      <c r="D3956" s="190" t="s">
        <v>6532</v>
      </c>
      <c r="E3956" s="198" t="s">
        <v>58</v>
      </c>
      <c r="F3956" s="199" t="s">
        <v>4099</v>
      </c>
      <c r="G3956" s="191" t="s">
        <v>2118</v>
      </c>
      <c r="H3956" s="199" t="s">
        <v>6564</v>
      </c>
      <c r="I3956" s="197" t="s">
        <v>4171</v>
      </c>
      <c r="J3956" s="148" t="s">
        <v>63</v>
      </c>
      <c r="K3956" s="148" t="s">
        <v>64</v>
      </c>
      <c r="L3956" s="148" t="s">
        <v>65</v>
      </c>
      <c r="M3956" s="148" t="s">
        <v>66</v>
      </c>
      <c r="N3956" s="212">
        <v>46179.0</v>
      </c>
      <c r="O3956" s="148" t="s">
        <v>67</v>
      </c>
      <c r="P3956" s="148" t="s">
        <v>68</v>
      </c>
      <c r="Q3956" s="103"/>
      <c r="R3956" s="103"/>
      <c r="S3956" s="103"/>
      <c r="T3956" s="103"/>
      <c r="U3956" s="148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1">
        <v>3951.0</v>
      </c>
      <c r="B3957" s="180" t="s">
        <v>6658</v>
      </c>
      <c r="C3957" s="82" t="str">
        <f>VLOOKUP($B$7:$B$5000,SUM!$L$6:$L$500,1,FALSE)</f>
        <v>#N/A</v>
      </c>
      <c r="D3957" s="190" t="s">
        <v>6532</v>
      </c>
      <c r="E3957" s="198" t="s">
        <v>58</v>
      </c>
      <c r="F3957" s="199" t="s">
        <v>4099</v>
      </c>
      <c r="G3957" s="191" t="s">
        <v>2118</v>
      </c>
      <c r="H3957" s="199" t="s">
        <v>6566</v>
      </c>
      <c r="I3957" s="197" t="s">
        <v>4171</v>
      </c>
      <c r="J3957" s="148" t="s">
        <v>63</v>
      </c>
      <c r="K3957" s="148" t="s">
        <v>64</v>
      </c>
      <c r="L3957" s="148" t="s">
        <v>65</v>
      </c>
      <c r="M3957" s="148" t="s">
        <v>66</v>
      </c>
      <c r="N3957" s="212">
        <v>46179.0</v>
      </c>
      <c r="O3957" s="148" t="s">
        <v>67</v>
      </c>
      <c r="P3957" s="148" t="s">
        <v>68</v>
      </c>
      <c r="Q3957" s="103"/>
      <c r="R3957" s="103"/>
      <c r="S3957" s="103"/>
      <c r="T3957" s="103"/>
      <c r="U3957" s="148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1">
        <v>3952.0</v>
      </c>
      <c r="B3958" s="180" t="s">
        <v>6659</v>
      </c>
      <c r="C3958" s="82" t="str">
        <f>VLOOKUP($B$7:$B$5000,SUM!$L$6:$L$500,1,FALSE)</f>
        <v>#N/A</v>
      </c>
      <c r="D3958" s="190" t="s">
        <v>6532</v>
      </c>
      <c r="E3958" s="198" t="s">
        <v>58</v>
      </c>
      <c r="F3958" s="199" t="s">
        <v>4099</v>
      </c>
      <c r="G3958" s="191" t="s">
        <v>2118</v>
      </c>
      <c r="H3958" s="199" t="s">
        <v>6568</v>
      </c>
      <c r="I3958" s="197" t="s">
        <v>4171</v>
      </c>
      <c r="J3958" s="148" t="s">
        <v>63</v>
      </c>
      <c r="K3958" s="148" t="s">
        <v>64</v>
      </c>
      <c r="L3958" s="148" t="s">
        <v>65</v>
      </c>
      <c r="M3958" s="148" t="s">
        <v>66</v>
      </c>
      <c r="N3958" s="212">
        <v>46179.0</v>
      </c>
      <c r="O3958" s="148" t="s">
        <v>67</v>
      </c>
      <c r="P3958" s="148" t="s">
        <v>68</v>
      </c>
      <c r="Q3958" s="103"/>
      <c r="R3958" s="103"/>
      <c r="S3958" s="103"/>
      <c r="T3958" s="103"/>
      <c r="U3958" s="148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1">
        <v>3953.0</v>
      </c>
      <c r="B3959" s="180" t="s">
        <v>6660</v>
      </c>
      <c r="C3959" s="82" t="str">
        <f>VLOOKUP($B$7:$B$5000,SUM!$L$6:$L$500,1,FALSE)</f>
        <v>#N/A</v>
      </c>
      <c r="D3959" s="190" t="s">
        <v>6532</v>
      </c>
      <c r="E3959" s="198" t="s">
        <v>58</v>
      </c>
      <c r="F3959" s="199" t="s">
        <v>4099</v>
      </c>
      <c r="G3959" s="191" t="s">
        <v>2118</v>
      </c>
      <c r="H3959" s="199" t="s">
        <v>6570</v>
      </c>
      <c r="I3959" s="197" t="s">
        <v>4171</v>
      </c>
      <c r="J3959" s="148" t="s">
        <v>63</v>
      </c>
      <c r="K3959" s="148" t="s">
        <v>64</v>
      </c>
      <c r="L3959" s="148" t="s">
        <v>65</v>
      </c>
      <c r="M3959" s="148" t="s">
        <v>66</v>
      </c>
      <c r="N3959" s="212">
        <v>46179.0</v>
      </c>
      <c r="O3959" s="148" t="s">
        <v>67</v>
      </c>
      <c r="P3959" s="148" t="s">
        <v>68</v>
      </c>
      <c r="Q3959" s="103"/>
      <c r="R3959" s="103"/>
      <c r="S3959" s="103"/>
      <c r="T3959" s="103"/>
      <c r="U3959" s="148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1">
        <v>3954.0</v>
      </c>
      <c r="B3960" s="180" t="s">
        <v>6661</v>
      </c>
      <c r="C3960" s="82" t="str">
        <f>VLOOKUP($B$7:$B$5000,SUM!$L$6:$L$500,1,FALSE)</f>
        <v>#N/A</v>
      </c>
      <c r="D3960" s="190" t="s">
        <v>6532</v>
      </c>
      <c r="E3960" s="198" t="s">
        <v>58</v>
      </c>
      <c r="F3960" s="199" t="s">
        <v>4099</v>
      </c>
      <c r="G3960" s="191" t="s">
        <v>2118</v>
      </c>
      <c r="H3960" s="199" t="s">
        <v>6572</v>
      </c>
      <c r="I3960" s="197" t="s">
        <v>4171</v>
      </c>
      <c r="J3960" s="148" t="s">
        <v>63</v>
      </c>
      <c r="K3960" s="148" t="s">
        <v>64</v>
      </c>
      <c r="L3960" s="148" t="s">
        <v>65</v>
      </c>
      <c r="M3960" s="148" t="s">
        <v>66</v>
      </c>
      <c r="N3960" s="212">
        <v>46179.0</v>
      </c>
      <c r="O3960" s="148" t="s">
        <v>67</v>
      </c>
      <c r="P3960" s="148" t="s">
        <v>68</v>
      </c>
      <c r="Q3960" s="103"/>
      <c r="R3960" s="103"/>
      <c r="S3960" s="103"/>
      <c r="T3960" s="103"/>
      <c r="U3960" s="148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1">
        <v>3955.0</v>
      </c>
      <c r="B3961" s="180" t="s">
        <v>6662</v>
      </c>
      <c r="C3961" s="82" t="str">
        <f>VLOOKUP($B$7:$B$5000,SUM!$L$6:$L$500,1,FALSE)</f>
        <v>#N/A</v>
      </c>
      <c r="D3961" s="190" t="s">
        <v>6532</v>
      </c>
      <c r="E3961" s="198" t="s">
        <v>58</v>
      </c>
      <c r="F3961" s="199" t="s">
        <v>4099</v>
      </c>
      <c r="G3961" s="191" t="s">
        <v>2118</v>
      </c>
      <c r="H3961" s="199" t="s">
        <v>6574</v>
      </c>
      <c r="I3961" s="197" t="s">
        <v>4171</v>
      </c>
      <c r="J3961" s="148" t="s">
        <v>63</v>
      </c>
      <c r="K3961" s="148" t="s">
        <v>64</v>
      </c>
      <c r="L3961" s="148" t="s">
        <v>65</v>
      </c>
      <c r="M3961" s="148" t="s">
        <v>66</v>
      </c>
      <c r="N3961" s="212">
        <v>46179.0</v>
      </c>
      <c r="O3961" s="148" t="s">
        <v>67</v>
      </c>
      <c r="P3961" s="148" t="s">
        <v>68</v>
      </c>
      <c r="Q3961" s="103"/>
      <c r="R3961" s="103"/>
      <c r="S3961" s="103"/>
      <c r="T3961" s="103"/>
      <c r="U3961" s="148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1">
        <v>3956.0</v>
      </c>
      <c r="B3962" s="180" t="s">
        <v>6663</v>
      </c>
      <c r="C3962" s="82" t="str">
        <f>VLOOKUP($B$7:$B$5000,SUM!$L$6:$L$500,1,FALSE)</f>
        <v>#N/A</v>
      </c>
      <c r="D3962" s="190" t="s">
        <v>6532</v>
      </c>
      <c r="E3962" s="198" t="s">
        <v>58</v>
      </c>
      <c r="F3962" s="199" t="s">
        <v>4099</v>
      </c>
      <c r="G3962" s="191" t="s">
        <v>2118</v>
      </c>
      <c r="H3962" s="199" t="s">
        <v>6576</v>
      </c>
      <c r="I3962" s="197" t="s">
        <v>4171</v>
      </c>
      <c r="J3962" s="148" t="s">
        <v>63</v>
      </c>
      <c r="K3962" s="148" t="s">
        <v>64</v>
      </c>
      <c r="L3962" s="148" t="s">
        <v>65</v>
      </c>
      <c r="M3962" s="148" t="s">
        <v>66</v>
      </c>
      <c r="N3962" s="212">
        <v>46179.0</v>
      </c>
      <c r="O3962" s="148" t="s">
        <v>67</v>
      </c>
      <c r="P3962" s="148" t="s">
        <v>68</v>
      </c>
      <c r="Q3962" s="103"/>
      <c r="R3962" s="103"/>
      <c r="S3962" s="103"/>
      <c r="T3962" s="103"/>
      <c r="U3962" s="148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1">
        <v>3957.0</v>
      </c>
      <c r="B3963" s="180" t="s">
        <v>6664</v>
      </c>
      <c r="C3963" s="82" t="str">
        <f>VLOOKUP($B$7:$B$5000,SUM!$L$6:$L$500,1,FALSE)</f>
        <v>#N/A</v>
      </c>
      <c r="D3963" s="190" t="s">
        <v>6532</v>
      </c>
      <c r="E3963" s="198" t="s">
        <v>58</v>
      </c>
      <c r="F3963" s="199" t="s">
        <v>4099</v>
      </c>
      <c r="G3963" s="191" t="s">
        <v>2118</v>
      </c>
      <c r="H3963" s="199" t="s">
        <v>6578</v>
      </c>
      <c r="I3963" s="197" t="s">
        <v>4171</v>
      </c>
      <c r="J3963" s="148" t="s">
        <v>63</v>
      </c>
      <c r="K3963" s="148" t="s">
        <v>64</v>
      </c>
      <c r="L3963" s="148" t="s">
        <v>65</v>
      </c>
      <c r="M3963" s="148" t="s">
        <v>66</v>
      </c>
      <c r="N3963" s="212">
        <v>46179.0</v>
      </c>
      <c r="O3963" s="148" t="s">
        <v>67</v>
      </c>
      <c r="P3963" s="148" t="s">
        <v>68</v>
      </c>
      <c r="Q3963" s="103"/>
      <c r="R3963" s="103"/>
      <c r="S3963" s="103"/>
      <c r="T3963" s="103"/>
      <c r="U3963" s="148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1">
        <v>3958.0</v>
      </c>
      <c r="B3964" s="180" t="s">
        <v>6665</v>
      </c>
      <c r="C3964" s="82" t="str">
        <f>VLOOKUP($B$7:$B$5000,SUM!$L$6:$L$500,1,FALSE)</f>
        <v>#N/A</v>
      </c>
      <c r="D3964" s="190" t="s">
        <v>6532</v>
      </c>
      <c r="E3964" s="198" t="s">
        <v>58</v>
      </c>
      <c r="F3964" s="199" t="s">
        <v>4099</v>
      </c>
      <c r="G3964" s="191" t="s">
        <v>2118</v>
      </c>
      <c r="H3964" s="199" t="s">
        <v>6580</v>
      </c>
      <c r="I3964" s="197" t="s">
        <v>4171</v>
      </c>
      <c r="J3964" s="148" t="s">
        <v>63</v>
      </c>
      <c r="K3964" s="148" t="s">
        <v>64</v>
      </c>
      <c r="L3964" s="148" t="s">
        <v>65</v>
      </c>
      <c r="M3964" s="148" t="s">
        <v>66</v>
      </c>
      <c r="N3964" s="212">
        <v>46179.0</v>
      </c>
      <c r="O3964" s="148" t="s">
        <v>67</v>
      </c>
      <c r="P3964" s="148" t="s">
        <v>68</v>
      </c>
      <c r="Q3964" s="103"/>
      <c r="R3964" s="103"/>
      <c r="S3964" s="103"/>
      <c r="T3964" s="103"/>
      <c r="U3964" s="148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1">
        <v>3959.0</v>
      </c>
      <c r="B3965" s="180" t="s">
        <v>6666</v>
      </c>
      <c r="C3965" s="82" t="str">
        <f>VLOOKUP($B$7:$B$5000,SUM!$L$6:$L$500,1,FALSE)</f>
        <v>#N/A</v>
      </c>
      <c r="D3965" s="190" t="s">
        <v>6532</v>
      </c>
      <c r="E3965" s="198" t="s">
        <v>58</v>
      </c>
      <c r="F3965" s="199" t="s">
        <v>4099</v>
      </c>
      <c r="G3965" s="191" t="s">
        <v>2118</v>
      </c>
      <c r="H3965" s="199" t="s">
        <v>6582</v>
      </c>
      <c r="I3965" s="197" t="s">
        <v>4171</v>
      </c>
      <c r="J3965" s="148" t="s">
        <v>63</v>
      </c>
      <c r="K3965" s="148" t="s">
        <v>64</v>
      </c>
      <c r="L3965" s="148" t="s">
        <v>65</v>
      </c>
      <c r="M3965" s="148" t="s">
        <v>66</v>
      </c>
      <c r="N3965" s="212">
        <v>46179.0</v>
      </c>
      <c r="O3965" s="148" t="s">
        <v>67</v>
      </c>
      <c r="P3965" s="148" t="s">
        <v>68</v>
      </c>
      <c r="Q3965" s="103"/>
      <c r="R3965" s="103"/>
      <c r="S3965" s="103"/>
      <c r="T3965" s="103"/>
      <c r="U3965" s="148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1">
        <v>3960.0</v>
      </c>
      <c r="B3966" s="180" t="s">
        <v>6667</v>
      </c>
      <c r="C3966" s="82" t="str">
        <f>VLOOKUP($B$7:$B$5000,SUM!$L$6:$L$500,1,FALSE)</f>
        <v>#N/A</v>
      </c>
      <c r="D3966" s="190" t="s">
        <v>6532</v>
      </c>
      <c r="E3966" s="198" t="s">
        <v>58</v>
      </c>
      <c r="F3966" s="199" t="s">
        <v>4099</v>
      </c>
      <c r="G3966" s="191" t="s">
        <v>2118</v>
      </c>
      <c r="H3966" s="199" t="s">
        <v>6584</v>
      </c>
      <c r="I3966" s="197" t="s">
        <v>4171</v>
      </c>
      <c r="J3966" s="148" t="s">
        <v>63</v>
      </c>
      <c r="K3966" s="148" t="s">
        <v>64</v>
      </c>
      <c r="L3966" s="148" t="s">
        <v>65</v>
      </c>
      <c r="M3966" s="148" t="s">
        <v>66</v>
      </c>
      <c r="N3966" s="212">
        <v>46179.0</v>
      </c>
      <c r="O3966" s="148" t="s">
        <v>67</v>
      </c>
      <c r="P3966" s="148" t="s">
        <v>68</v>
      </c>
      <c r="Q3966" s="103"/>
      <c r="R3966" s="103"/>
      <c r="S3966" s="103"/>
      <c r="T3966" s="103"/>
      <c r="U3966" s="148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1">
        <v>3961.0</v>
      </c>
      <c r="B3967" s="180" t="s">
        <v>6668</v>
      </c>
      <c r="C3967" s="82" t="str">
        <f>VLOOKUP($B$7:$B$5000,SUM!$L$6:$L$500,1,FALSE)</f>
        <v>#N/A</v>
      </c>
      <c r="D3967" s="190" t="s">
        <v>6532</v>
      </c>
      <c r="E3967" s="198" t="s">
        <v>58</v>
      </c>
      <c r="F3967" s="199" t="s">
        <v>4099</v>
      </c>
      <c r="G3967" s="191" t="s">
        <v>2118</v>
      </c>
      <c r="H3967" s="199" t="s">
        <v>6586</v>
      </c>
      <c r="I3967" s="197" t="s">
        <v>4171</v>
      </c>
      <c r="J3967" s="148" t="s">
        <v>63</v>
      </c>
      <c r="K3967" s="148" t="s">
        <v>64</v>
      </c>
      <c r="L3967" s="148" t="s">
        <v>65</v>
      </c>
      <c r="M3967" s="148" t="s">
        <v>66</v>
      </c>
      <c r="N3967" s="212">
        <v>46179.0</v>
      </c>
      <c r="O3967" s="148" t="s">
        <v>67</v>
      </c>
      <c r="P3967" s="148" t="s">
        <v>68</v>
      </c>
      <c r="Q3967" s="103"/>
      <c r="R3967" s="103"/>
      <c r="S3967" s="103"/>
      <c r="T3967" s="103"/>
      <c r="U3967" s="148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1">
        <v>3962.0</v>
      </c>
      <c r="B3968" s="180" t="s">
        <v>6669</v>
      </c>
      <c r="C3968" s="82" t="str">
        <f>VLOOKUP($B$7:$B$5000,SUM!$L$6:$L$500,1,FALSE)</f>
        <v>#N/A</v>
      </c>
      <c r="D3968" s="190" t="s">
        <v>6532</v>
      </c>
      <c r="E3968" s="198" t="s">
        <v>58</v>
      </c>
      <c r="F3968" s="199" t="s">
        <v>4099</v>
      </c>
      <c r="G3968" s="191" t="s">
        <v>2118</v>
      </c>
      <c r="H3968" s="199" t="s">
        <v>6588</v>
      </c>
      <c r="I3968" s="197" t="s">
        <v>4190</v>
      </c>
      <c r="J3968" s="148" t="s">
        <v>63</v>
      </c>
      <c r="K3968" s="148" t="s">
        <v>64</v>
      </c>
      <c r="L3968" s="148" t="s">
        <v>65</v>
      </c>
      <c r="M3968" s="148" t="s">
        <v>66</v>
      </c>
      <c r="N3968" s="212">
        <v>46179.0</v>
      </c>
      <c r="O3968" s="148" t="s">
        <v>67</v>
      </c>
      <c r="P3968" s="148" t="s">
        <v>68</v>
      </c>
      <c r="Q3968" s="103"/>
      <c r="R3968" s="103"/>
      <c r="S3968" s="103"/>
      <c r="T3968" s="103"/>
      <c r="U3968" s="148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1">
        <v>3963.0</v>
      </c>
      <c r="B3969" s="180" t="s">
        <v>6670</v>
      </c>
      <c r="C3969" s="82" t="str">
        <f>VLOOKUP($B$7:$B$5000,SUM!$L$6:$L$500,1,FALSE)</f>
        <v>#N/A</v>
      </c>
      <c r="D3969" s="190" t="s">
        <v>6532</v>
      </c>
      <c r="E3969" s="198" t="s">
        <v>58</v>
      </c>
      <c r="F3969" s="199" t="s">
        <v>4099</v>
      </c>
      <c r="G3969" s="191" t="s">
        <v>2118</v>
      </c>
      <c r="H3969" s="199" t="s">
        <v>6591</v>
      </c>
      <c r="I3969" s="197" t="s">
        <v>4190</v>
      </c>
      <c r="J3969" s="148" t="s">
        <v>63</v>
      </c>
      <c r="K3969" s="148" t="s">
        <v>64</v>
      </c>
      <c r="L3969" s="148" t="s">
        <v>65</v>
      </c>
      <c r="M3969" s="148" t="s">
        <v>66</v>
      </c>
      <c r="N3969" s="212">
        <v>46179.0</v>
      </c>
      <c r="O3969" s="148" t="s">
        <v>67</v>
      </c>
      <c r="P3969" s="148" t="s">
        <v>68</v>
      </c>
      <c r="Q3969" s="103"/>
      <c r="R3969" s="103"/>
      <c r="S3969" s="103"/>
      <c r="T3969" s="103"/>
      <c r="U3969" s="148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1">
        <v>3964.0</v>
      </c>
      <c r="B3970" s="180" t="s">
        <v>6671</v>
      </c>
      <c r="C3970" s="82" t="str">
        <f>VLOOKUP($B$7:$B$5000,SUM!$L$6:$L$500,1,FALSE)</f>
        <v>#N/A</v>
      </c>
      <c r="D3970" s="190" t="s">
        <v>6532</v>
      </c>
      <c r="E3970" s="198" t="s">
        <v>58</v>
      </c>
      <c r="F3970" s="199" t="s">
        <v>4099</v>
      </c>
      <c r="G3970" s="191" t="s">
        <v>2118</v>
      </c>
      <c r="H3970" s="199" t="s">
        <v>6593</v>
      </c>
      <c r="I3970" s="197" t="s">
        <v>4190</v>
      </c>
      <c r="J3970" s="148" t="s">
        <v>63</v>
      </c>
      <c r="K3970" s="148" t="s">
        <v>64</v>
      </c>
      <c r="L3970" s="148" t="s">
        <v>65</v>
      </c>
      <c r="M3970" s="148" t="s">
        <v>66</v>
      </c>
      <c r="N3970" s="212">
        <v>46179.0</v>
      </c>
      <c r="O3970" s="148" t="s">
        <v>67</v>
      </c>
      <c r="P3970" s="148" t="s">
        <v>68</v>
      </c>
      <c r="Q3970" s="103"/>
      <c r="R3970" s="103"/>
      <c r="S3970" s="103"/>
      <c r="T3970" s="103"/>
      <c r="U3970" s="148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1">
        <v>3965.0</v>
      </c>
      <c r="B3971" s="180" t="s">
        <v>6672</v>
      </c>
      <c r="C3971" s="82" t="str">
        <f>VLOOKUP($B$7:$B$5000,SUM!$L$6:$L$500,1,FALSE)</f>
        <v>#N/A</v>
      </c>
      <c r="D3971" s="190" t="s">
        <v>6532</v>
      </c>
      <c r="E3971" s="198" t="s">
        <v>58</v>
      </c>
      <c r="F3971" s="199" t="s">
        <v>4099</v>
      </c>
      <c r="G3971" s="191" t="s">
        <v>2118</v>
      </c>
      <c r="H3971" s="199" t="s">
        <v>6595</v>
      </c>
      <c r="I3971" s="197" t="s">
        <v>4190</v>
      </c>
      <c r="J3971" s="148" t="s">
        <v>63</v>
      </c>
      <c r="K3971" s="148" t="s">
        <v>64</v>
      </c>
      <c r="L3971" s="148" t="s">
        <v>65</v>
      </c>
      <c r="M3971" s="148" t="s">
        <v>66</v>
      </c>
      <c r="N3971" s="212">
        <v>46179.0</v>
      </c>
      <c r="O3971" s="148" t="s">
        <v>67</v>
      </c>
      <c r="P3971" s="148" t="s">
        <v>68</v>
      </c>
      <c r="Q3971" s="103"/>
      <c r="R3971" s="103"/>
      <c r="S3971" s="103"/>
      <c r="T3971" s="103"/>
      <c r="U3971" s="148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1">
        <v>3966.0</v>
      </c>
      <c r="B3972" s="180" t="s">
        <v>6673</v>
      </c>
      <c r="C3972" s="82" t="str">
        <f>VLOOKUP($B$7:$B$5000,SUM!$L$6:$L$500,1,FALSE)</f>
        <v>#N/A</v>
      </c>
      <c r="D3972" s="190" t="s">
        <v>6532</v>
      </c>
      <c r="E3972" s="198" t="s">
        <v>58</v>
      </c>
      <c r="F3972" s="199" t="s">
        <v>4099</v>
      </c>
      <c r="G3972" s="191" t="s">
        <v>2118</v>
      </c>
      <c r="H3972" s="199" t="s">
        <v>6597</v>
      </c>
      <c r="I3972" s="197" t="s">
        <v>4190</v>
      </c>
      <c r="J3972" s="148" t="s">
        <v>63</v>
      </c>
      <c r="K3972" s="148" t="s">
        <v>64</v>
      </c>
      <c r="L3972" s="148" t="s">
        <v>65</v>
      </c>
      <c r="M3972" s="148" t="s">
        <v>66</v>
      </c>
      <c r="N3972" s="212">
        <v>46179.0</v>
      </c>
      <c r="O3972" s="148" t="s">
        <v>67</v>
      </c>
      <c r="P3972" s="148" t="s">
        <v>68</v>
      </c>
      <c r="Q3972" s="103"/>
      <c r="R3972" s="103"/>
      <c r="S3972" s="103"/>
      <c r="T3972" s="103"/>
      <c r="U3972" s="148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1">
        <v>3967.0</v>
      </c>
      <c r="B3973" s="180" t="s">
        <v>6674</v>
      </c>
      <c r="C3973" s="82" t="str">
        <f>VLOOKUP($B$7:$B$5000,SUM!$L$6:$L$500,1,FALSE)</f>
        <v>#N/A</v>
      </c>
      <c r="D3973" s="190" t="s">
        <v>6532</v>
      </c>
      <c r="E3973" s="198" t="s">
        <v>58</v>
      </c>
      <c r="F3973" s="199" t="s">
        <v>4099</v>
      </c>
      <c r="G3973" s="191" t="s">
        <v>2118</v>
      </c>
      <c r="H3973" s="199" t="s">
        <v>6599</v>
      </c>
      <c r="I3973" s="197" t="s">
        <v>4190</v>
      </c>
      <c r="J3973" s="148" t="s">
        <v>63</v>
      </c>
      <c r="K3973" s="148" t="s">
        <v>64</v>
      </c>
      <c r="L3973" s="148" t="s">
        <v>65</v>
      </c>
      <c r="M3973" s="148" t="s">
        <v>66</v>
      </c>
      <c r="N3973" s="212">
        <v>46179.0</v>
      </c>
      <c r="O3973" s="148" t="s">
        <v>67</v>
      </c>
      <c r="P3973" s="148" t="s">
        <v>68</v>
      </c>
      <c r="Q3973" s="103"/>
      <c r="R3973" s="103"/>
      <c r="S3973" s="103"/>
      <c r="T3973" s="103"/>
      <c r="U3973" s="148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1">
        <v>3968.0</v>
      </c>
      <c r="B3974" s="180" t="s">
        <v>6675</v>
      </c>
      <c r="C3974" s="82" t="str">
        <f>VLOOKUP($B$7:$B$5000,SUM!$L$6:$L$500,1,FALSE)</f>
        <v>#N/A</v>
      </c>
      <c r="D3974" s="190" t="s">
        <v>6532</v>
      </c>
      <c r="E3974" s="198" t="s">
        <v>58</v>
      </c>
      <c r="F3974" s="199" t="s">
        <v>4099</v>
      </c>
      <c r="G3974" s="191" t="s">
        <v>2118</v>
      </c>
      <c r="H3974" s="199" t="s">
        <v>6601</v>
      </c>
      <c r="I3974" s="197" t="s">
        <v>4190</v>
      </c>
      <c r="J3974" s="148" t="s">
        <v>63</v>
      </c>
      <c r="K3974" s="148" t="s">
        <v>64</v>
      </c>
      <c r="L3974" s="148" t="s">
        <v>65</v>
      </c>
      <c r="M3974" s="148" t="s">
        <v>66</v>
      </c>
      <c r="N3974" s="212">
        <v>46179.0</v>
      </c>
      <c r="O3974" s="148" t="s">
        <v>67</v>
      </c>
      <c r="P3974" s="148" t="s">
        <v>68</v>
      </c>
      <c r="Q3974" s="103"/>
      <c r="R3974" s="103"/>
      <c r="S3974" s="103"/>
      <c r="T3974" s="103"/>
      <c r="U3974" s="148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1">
        <v>3969.0</v>
      </c>
      <c r="B3975" s="180" t="s">
        <v>6676</v>
      </c>
      <c r="C3975" s="82" t="str">
        <f>VLOOKUP($B$7:$B$5000,SUM!$L$6:$L$500,1,FALSE)</f>
        <v>#N/A</v>
      </c>
      <c r="D3975" s="190" t="s">
        <v>6532</v>
      </c>
      <c r="E3975" s="198" t="s">
        <v>58</v>
      </c>
      <c r="F3975" s="199" t="s">
        <v>4099</v>
      </c>
      <c r="G3975" s="191" t="s">
        <v>2118</v>
      </c>
      <c r="H3975" s="199" t="s">
        <v>6603</v>
      </c>
      <c r="I3975" s="197" t="s">
        <v>4190</v>
      </c>
      <c r="J3975" s="148" t="s">
        <v>63</v>
      </c>
      <c r="K3975" s="148" t="s">
        <v>64</v>
      </c>
      <c r="L3975" s="148" t="s">
        <v>65</v>
      </c>
      <c r="M3975" s="148" t="s">
        <v>66</v>
      </c>
      <c r="N3975" s="212">
        <v>46179.0</v>
      </c>
      <c r="O3975" s="148" t="s">
        <v>67</v>
      </c>
      <c r="P3975" s="148" t="s">
        <v>68</v>
      </c>
      <c r="Q3975" s="103"/>
      <c r="R3975" s="103"/>
      <c r="S3975" s="103"/>
      <c r="T3975" s="103"/>
      <c r="U3975" s="148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1">
        <v>3970.0</v>
      </c>
      <c r="B3976" s="180" t="s">
        <v>6677</v>
      </c>
      <c r="C3976" s="82" t="str">
        <f>VLOOKUP($B$7:$B$5000,SUM!$L$6:$L$500,1,FALSE)</f>
        <v>#N/A</v>
      </c>
      <c r="D3976" s="190" t="s">
        <v>6532</v>
      </c>
      <c r="E3976" s="198" t="s">
        <v>58</v>
      </c>
      <c r="F3976" s="199" t="s">
        <v>4099</v>
      </c>
      <c r="G3976" s="191" t="s">
        <v>2118</v>
      </c>
      <c r="H3976" s="199" t="s">
        <v>6605</v>
      </c>
      <c r="I3976" s="197" t="s">
        <v>4190</v>
      </c>
      <c r="J3976" s="148" t="s">
        <v>63</v>
      </c>
      <c r="K3976" s="148" t="s">
        <v>64</v>
      </c>
      <c r="L3976" s="148" t="s">
        <v>65</v>
      </c>
      <c r="M3976" s="148" t="s">
        <v>66</v>
      </c>
      <c r="N3976" s="212">
        <v>46179.0</v>
      </c>
      <c r="O3976" s="148" t="s">
        <v>67</v>
      </c>
      <c r="P3976" s="148" t="s">
        <v>68</v>
      </c>
      <c r="Q3976" s="103"/>
      <c r="R3976" s="103"/>
      <c r="S3976" s="103"/>
      <c r="T3976" s="103"/>
      <c r="U3976" s="148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1">
        <v>3971.0</v>
      </c>
      <c r="B3977" s="180" t="s">
        <v>6678</v>
      </c>
      <c r="C3977" s="82" t="str">
        <f>VLOOKUP($B$7:$B$5000,SUM!$L$6:$L$500,1,FALSE)</f>
        <v>#N/A</v>
      </c>
      <c r="D3977" s="190" t="s">
        <v>6532</v>
      </c>
      <c r="E3977" s="198" t="s">
        <v>58</v>
      </c>
      <c r="F3977" s="199" t="s">
        <v>4099</v>
      </c>
      <c r="G3977" s="191" t="s">
        <v>2118</v>
      </c>
      <c r="H3977" s="199" t="s">
        <v>6607</v>
      </c>
      <c r="I3977" s="197" t="s">
        <v>4190</v>
      </c>
      <c r="J3977" s="148" t="s">
        <v>63</v>
      </c>
      <c r="K3977" s="148" t="s">
        <v>64</v>
      </c>
      <c r="L3977" s="148" t="s">
        <v>65</v>
      </c>
      <c r="M3977" s="148" t="s">
        <v>66</v>
      </c>
      <c r="N3977" s="212">
        <v>46179.0</v>
      </c>
      <c r="O3977" s="148" t="s">
        <v>67</v>
      </c>
      <c r="P3977" s="148" t="s">
        <v>68</v>
      </c>
      <c r="Q3977" s="103"/>
      <c r="R3977" s="103"/>
      <c r="S3977" s="103"/>
      <c r="T3977" s="103"/>
      <c r="U3977" s="148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1">
        <v>3972.0</v>
      </c>
      <c r="B3978" s="180" t="s">
        <v>6679</v>
      </c>
      <c r="C3978" s="82" t="str">
        <f>VLOOKUP($B$7:$B$5000,SUM!$L$6:$L$500,1,FALSE)</f>
        <v>#N/A</v>
      </c>
      <c r="D3978" s="190" t="s">
        <v>6532</v>
      </c>
      <c r="E3978" s="198" t="s">
        <v>58</v>
      </c>
      <c r="F3978" s="199" t="s">
        <v>4099</v>
      </c>
      <c r="G3978" s="191" t="s">
        <v>2118</v>
      </c>
      <c r="H3978" s="199" t="s">
        <v>6609</v>
      </c>
      <c r="I3978" s="197" t="s">
        <v>4190</v>
      </c>
      <c r="J3978" s="148" t="s">
        <v>63</v>
      </c>
      <c r="K3978" s="148" t="s">
        <v>64</v>
      </c>
      <c r="L3978" s="148" t="s">
        <v>65</v>
      </c>
      <c r="M3978" s="148" t="s">
        <v>66</v>
      </c>
      <c r="N3978" s="212">
        <v>46179.0</v>
      </c>
      <c r="O3978" s="148" t="s">
        <v>67</v>
      </c>
      <c r="P3978" s="148" t="s">
        <v>68</v>
      </c>
      <c r="Q3978" s="103"/>
      <c r="R3978" s="103"/>
      <c r="S3978" s="103"/>
      <c r="T3978" s="103"/>
      <c r="U3978" s="148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1">
        <v>3973.0</v>
      </c>
      <c r="B3979" s="180" t="s">
        <v>6680</v>
      </c>
      <c r="C3979" s="82" t="str">
        <f>VLOOKUP($B$7:$B$5000,SUM!$L$6:$L$500,1,FALSE)</f>
        <v>#N/A</v>
      </c>
      <c r="D3979" s="190" t="s">
        <v>6532</v>
      </c>
      <c r="E3979" s="198" t="s">
        <v>58</v>
      </c>
      <c r="F3979" s="199" t="s">
        <v>4099</v>
      </c>
      <c r="G3979" s="191" t="s">
        <v>2118</v>
      </c>
      <c r="H3979" s="199" t="s">
        <v>6611</v>
      </c>
      <c r="I3979" s="197" t="s">
        <v>4190</v>
      </c>
      <c r="J3979" s="148" t="s">
        <v>63</v>
      </c>
      <c r="K3979" s="148" t="s">
        <v>64</v>
      </c>
      <c r="L3979" s="148" t="s">
        <v>65</v>
      </c>
      <c r="M3979" s="148" t="s">
        <v>66</v>
      </c>
      <c r="N3979" s="212">
        <v>46179.0</v>
      </c>
      <c r="O3979" s="148" t="s">
        <v>67</v>
      </c>
      <c r="P3979" s="148" t="s">
        <v>68</v>
      </c>
      <c r="Q3979" s="103"/>
      <c r="R3979" s="103"/>
      <c r="S3979" s="103"/>
      <c r="T3979" s="103"/>
      <c r="U3979" s="148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1">
        <v>3974.0</v>
      </c>
      <c r="B3980" s="180" t="s">
        <v>6681</v>
      </c>
      <c r="C3980" s="82" t="str">
        <f>VLOOKUP($B$7:$B$5000,SUM!$L$6:$L$500,1,FALSE)</f>
        <v>#N/A</v>
      </c>
      <c r="D3980" s="190" t="s">
        <v>6532</v>
      </c>
      <c r="E3980" s="198" t="s">
        <v>58</v>
      </c>
      <c r="F3980" s="199" t="s">
        <v>4099</v>
      </c>
      <c r="G3980" s="191" t="s">
        <v>2118</v>
      </c>
      <c r="H3980" s="199" t="s">
        <v>6613</v>
      </c>
      <c r="I3980" s="197" t="s">
        <v>4190</v>
      </c>
      <c r="J3980" s="148" t="s">
        <v>63</v>
      </c>
      <c r="K3980" s="148" t="s">
        <v>64</v>
      </c>
      <c r="L3980" s="148" t="s">
        <v>65</v>
      </c>
      <c r="M3980" s="148" t="s">
        <v>66</v>
      </c>
      <c r="N3980" s="212">
        <v>46179.0</v>
      </c>
      <c r="O3980" s="148" t="s">
        <v>67</v>
      </c>
      <c r="P3980" s="148" t="s">
        <v>68</v>
      </c>
      <c r="Q3980" s="103"/>
      <c r="R3980" s="103"/>
      <c r="S3980" s="103"/>
      <c r="T3980" s="103"/>
      <c r="U3980" s="148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1">
        <v>3975.0</v>
      </c>
      <c r="B3981" s="180" t="s">
        <v>6682</v>
      </c>
      <c r="C3981" s="82" t="str">
        <f>VLOOKUP($B$7:$B$5000,SUM!$L$6:$L$500,1,FALSE)</f>
        <v>#N/A</v>
      </c>
      <c r="D3981" s="190" t="s">
        <v>6532</v>
      </c>
      <c r="E3981" s="198" t="s">
        <v>58</v>
      </c>
      <c r="F3981" s="199" t="s">
        <v>4099</v>
      </c>
      <c r="G3981" s="191" t="s">
        <v>2118</v>
      </c>
      <c r="H3981" s="199" t="s">
        <v>6615</v>
      </c>
      <c r="I3981" s="197" t="s">
        <v>4190</v>
      </c>
      <c r="J3981" s="148" t="s">
        <v>63</v>
      </c>
      <c r="K3981" s="148" t="s">
        <v>64</v>
      </c>
      <c r="L3981" s="148" t="s">
        <v>65</v>
      </c>
      <c r="M3981" s="148" t="s">
        <v>66</v>
      </c>
      <c r="N3981" s="212">
        <v>46179.0</v>
      </c>
      <c r="O3981" s="148" t="s">
        <v>67</v>
      </c>
      <c r="P3981" s="148" t="s">
        <v>68</v>
      </c>
      <c r="Q3981" s="103"/>
      <c r="R3981" s="103"/>
      <c r="S3981" s="103"/>
      <c r="T3981" s="103"/>
      <c r="U3981" s="148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1">
        <v>3976.0</v>
      </c>
      <c r="B3982" s="180" t="s">
        <v>6683</v>
      </c>
      <c r="C3982" s="82" t="str">
        <f>VLOOKUP($B$7:$B$5000,SUM!$L$6:$L$500,1,FALSE)</f>
        <v>#N/A</v>
      </c>
      <c r="D3982" s="190" t="s">
        <v>6532</v>
      </c>
      <c r="E3982" s="198" t="s">
        <v>58</v>
      </c>
      <c r="F3982" s="199" t="s">
        <v>4099</v>
      </c>
      <c r="G3982" s="191" t="s">
        <v>2118</v>
      </c>
      <c r="H3982" s="199" t="s">
        <v>6617</v>
      </c>
      <c r="I3982" s="197" t="s">
        <v>4190</v>
      </c>
      <c r="J3982" s="148" t="s">
        <v>63</v>
      </c>
      <c r="K3982" s="148" t="s">
        <v>64</v>
      </c>
      <c r="L3982" s="148" t="s">
        <v>65</v>
      </c>
      <c r="M3982" s="148" t="s">
        <v>66</v>
      </c>
      <c r="N3982" s="212">
        <v>46179.0</v>
      </c>
      <c r="O3982" s="148" t="s">
        <v>67</v>
      </c>
      <c r="P3982" s="148" t="s">
        <v>68</v>
      </c>
      <c r="Q3982" s="103"/>
      <c r="R3982" s="103"/>
      <c r="S3982" s="103"/>
      <c r="T3982" s="103"/>
      <c r="U3982" s="148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1">
        <v>3977.0</v>
      </c>
      <c r="B3983" s="180" t="s">
        <v>6684</v>
      </c>
      <c r="C3983" s="82" t="str">
        <f>VLOOKUP($B$7:$B$5000,SUM!$L$6:$L$500,1,FALSE)</f>
        <v>#N/A</v>
      </c>
      <c r="D3983" s="190" t="s">
        <v>6532</v>
      </c>
      <c r="E3983" s="198" t="s">
        <v>58</v>
      </c>
      <c r="F3983" s="199" t="s">
        <v>4099</v>
      </c>
      <c r="G3983" s="191" t="s">
        <v>2118</v>
      </c>
      <c r="H3983" s="199" t="s">
        <v>6619</v>
      </c>
      <c r="I3983" s="197" t="s">
        <v>4190</v>
      </c>
      <c r="J3983" s="148" t="s">
        <v>63</v>
      </c>
      <c r="K3983" s="148" t="s">
        <v>64</v>
      </c>
      <c r="L3983" s="148" t="s">
        <v>65</v>
      </c>
      <c r="M3983" s="148" t="s">
        <v>66</v>
      </c>
      <c r="N3983" s="212">
        <v>46179.0</v>
      </c>
      <c r="O3983" s="148" t="s">
        <v>67</v>
      </c>
      <c r="P3983" s="148" t="s">
        <v>68</v>
      </c>
      <c r="Q3983" s="103"/>
      <c r="R3983" s="103"/>
      <c r="S3983" s="103"/>
      <c r="T3983" s="103"/>
      <c r="U3983" s="148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1">
        <v>3978.0</v>
      </c>
      <c r="B3984" s="180" t="s">
        <v>6685</v>
      </c>
      <c r="C3984" s="82" t="str">
        <f>VLOOKUP($B$7:$B$5000,SUM!$L$6:$L$500,1,FALSE)</f>
        <v>#N/A</v>
      </c>
      <c r="D3984" s="190" t="s">
        <v>6532</v>
      </c>
      <c r="E3984" s="198" t="s">
        <v>58</v>
      </c>
      <c r="F3984" s="199" t="s">
        <v>4099</v>
      </c>
      <c r="G3984" s="191" t="s">
        <v>2118</v>
      </c>
      <c r="H3984" s="199" t="s">
        <v>6621</v>
      </c>
      <c r="I3984" s="197" t="s">
        <v>4190</v>
      </c>
      <c r="J3984" s="148" t="s">
        <v>63</v>
      </c>
      <c r="K3984" s="148" t="s">
        <v>64</v>
      </c>
      <c r="L3984" s="148" t="s">
        <v>65</v>
      </c>
      <c r="M3984" s="148" t="s">
        <v>66</v>
      </c>
      <c r="N3984" s="212">
        <v>46179.0</v>
      </c>
      <c r="O3984" s="148" t="s">
        <v>67</v>
      </c>
      <c r="P3984" s="148" t="s">
        <v>68</v>
      </c>
      <c r="Q3984" s="103"/>
      <c r="R3984" s="103"/>
      <c r="S3984" s="103"/>
      <c r="T3984" s="103"/>
      <c r="U3984" s="148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1">
        <v>3979.0</v>
      </c>
      <c r="B3985" s="180" t="s">
        <v>6686</v>
      </c>
      <c r="C3985" s="82" t="str">
        <f>VLOOKUP($B$7:$B$5000,SUM!$L$6:$L$500,1,FALSE)</f>
        <v>#N/A</v>
      </c>
      <c r="D3985" s="190" t="s">
        <v>6532</v>
      </c>
      <c r="E3985" s="198" t="s">
        <v>58</v>
      </c>
      <c r="F3985" s="199" t="s">
        <v>4099</v>
      </c>
      <c r="G3985" s="191" t="s">
        <v>2118</v>
      </c>
      <c r="H3985" s="199" t="s">
        <v>6623</v>
      </c>
      <c r="I3985" s="197" t="s">
        <v>4190</v>
      </c>
      <c r="J3985" s="148" t="s">
        <v>63</v>
      </c>
      <c r="K3985" s="148" t="s">
        <v>64</v>
      </c>
      <c r="L3985" s="148" t="s">
        <v>65</v>
      </c>
      <c r="M3985" s="148" t="s">
        <v>66</v>
      </c>
      <c r="N3985" s="212">
        <v>46179.0</v>
      </c>
      <c r="O3985" s="148" t="s">
        <v>67</v>
      </c>
      <c r="P3985" s="148" t="s">
        <v>68</v>
      </c>
      <c r="Q3985" s="103"/>
      <c r="R3985" s="103"/>
      <c r="S3985" s="103"/>
      <c r="T3985" s="103"/>
      <c r="U3985" s="148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1">
        <v>3980.0</v>
      </c>
      <c r="B3986" s="180" t="s">
        <v>6687</v>
      </c>
      <c r="C3986" s="82" t="str">
        <f>VLOOKUP($B$7:$B$5000,SUM!$L$6:$L$500,1,FALSE)</f>
        <v>#N/A</v>
      </c>
      <c r="D3986" s="190" t="s">
        <v>6532</v>
      </c>
      <c r="E3986" s="198" t="s">
        <v>58</v>
      </c>
      <c r="F3986" s="199" t="s">
        <v>4099</v>
      </c>
      <c r="G3986" s="191" t="s">
        <v>2118</v>
      </c>
      <c r="H3986" s="199" t="s">
        <v>6625</v>
      </c>
      <c r="I3986" s="197" t="s">
        <v>4190</v>
      </c>
      <c r="J3986" s="148" t="s">
        <v>63</v>
      </c>
      <c r="K3986" s="148" t="s">
        <v>64</v>
      </c>
      <c r="L3986" s="148" t="s">
        <v>65</v>
      </c>
      <c r="M3986" s="148" t="s">
        <v>66</v>
      </c>
      <c r="N3986" s="212">
        <v>46179.0</v>
      </c>
      <c r="O3986" s="148" t="s">
        <v>67</v>
      </c>
      <c r="P3986" s="148" t="s">
        <v>68</v>
      </c>
      <c r="Q3986" s="103"/>
      <c r="R3986" s="103"/>
      <c r="S3986" s="103"/>
      <c r="T3986" s="103"/>
      <c r="U3986" s="148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1">
        <v>3981.0</v>
      </c>
      <c r="B3987" s="180" t="s">
        <v>6688</v>
      </c>
      <c r="C3987" s="82" t="str">
        <f>VLOOKUP($B$7:$B$5000,SUM!$L$6:$L$500,1,FALSE)</f>
        <v>#N/A</v>
      </c>
      <c r="D3987" s="190" t="s">
        <v>6532</v>
      </c>
      <c r="E3987" s="198" t="s">
        <v>58</v>
      </c>
      <c r="F3987" s="199" t="s">
        <v>4099</v>
      </c>
      <c r="G3987" s="191" t="s">
        <v>2118</v>
      </c>
      <c r="H3987" s="199" t="s">
        <v>6627</v>
      </c>
      <c r="I3987" s="197" t="s">
        <v>4190</v>
      </c>
      <c r="J3987" s="148" t="s">
        <v>63</v>
      </c>
      <c r="K3987" s="148" t="s">
        <v>64</v>
      </c>
      <c r="L3987" s="148" t="s">
        <v>65</v>
      </c>
      <c r="M3987" s="148" t="s">
        <v>66</v>
      </c>
      <c r="N3987" s="212">
        <v>46179.0</v>
      </c>
      <c r="O3987" s="148" t="s">
        <v>67</v>
      </c>
      <c r="P3987" s="148" t="s">
        <v>68</v>
      </c>
      <c r="Q3987" s="103"/>
      <c r="R3987" s="103"/>
      <c r="S3987" s="103"/>
      <c r="T3987" s="103"/>
      <c r="U3987" s="148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1">
        <v>3982.0</v>
      </c>
      <c r="B3988" s="180" t="s">
        <v>6689</v>
      </c>
      <c r="C3988" s="82" t="str">
        <f>VLOOKUP($B$7:$B$5000,SUM!$L$6:$L$500,1,FALSE)</f>
        <v>#N/A</v>
      </c>
      <c r="D3988" s="190" t="s">
        <v>6532</v>
      </c>
      <c r="E3988" s="198" t="s">
        <v>58</v>
      </c>
      <c r="F3988" s="199" t="s">
        <v>4099</v>
      </c>
      <c r="G3988" s="191" t="s">
        <v>2118</v>
      </c>
      <c r="H3988" s="199" t="s">
        <v>6629</v>
      </c>
      <c r="I3988" s="197" t="s">
        <v>4190</v>
      </c>
      <c r="J3988" s="148" t="s">
        <v>63</v>
      </c>
      <c r="K3988" s="148" t="s">
        <v>64</v>
      </c>
      <c r="L3988" s="148" t="s">
        <v>65</v>
      </c>
      <c r="M3988" s="148" t="s">
        <v>66</v>
      </c>
      <c r="N3988" s="212">
        <v>46179.0</v>
      </c>
      <c r="O3988" s="148" t="s">
        <v>67</v>
      </c>
      <c r="P3988" s="148" t="s">
        <v>68</v>
      </c>
      <c r="Q3988" s="103"/>
      <c r="R3988" s="103"/>
      <c r="S3988" s="103"/>
      <c r="T3988" s="103"/>
      <c r="U3988" s="148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1">
        <v>3983.0</v>
      </c>
      <c r="B3989" s="180" t="s">
        <v>6690</v>
      </c>
      <c r="C3989" s="82" t="str">
        <f>VLOOKUP($B$7:$B$5000,SUM!$L$6:$L$500,1,FALSE)</f>
        <v>#N/A</v>
      </c>
      <c r="D3989" s="190" t="s">
        <v>6532</v>
      </c>
      <c r="E3989" s="198" t="s">
        <v>58</v>
      </c>
      <c r="F3989" s="199" t="s">
        <v>4099</v>
      </c>
      <c r="G3989" s="191" t="s">
        <v>2118</v>
      </c>
      <c r="H3989" s="199" t="s">
        <v>6631</v>
      </c>
      <c r="I3989" s="197" t="s">
        <v>4190</v>
      </c>
      <c r="J3989" s="148" t="s">
        <v>63</v>
      </c>
      <c r="K3989" s="148" t="s">
        <v>64</v>
      </c>
      <c r="L3989" s="148" t="s">
        <v>65</v>
      </c>
      <c r="M3989" s="148" t="s">
        <v>66</v>
      </c>
      <c r="N3989" s="212">
        <v>46179.0</v>
      </c>
      <c r="O3989" s="148" t="s">
        <v>67</v>
      </c>
      <c r="P3989" s="148" t="s">
        <v>68</v>
      </c>
      <c r="Q3989" s="103"/>
      <c r="R3989" s="103"/>
      <c r="S3989" s="103"/>
      <c r="T3989" s="103"/>
      <c r="U3989" s="148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1">
        <v>3984.0</v>
      </c>
      <c r="B3990" s="180" t="s">
        <v>6691</v>
      </c>
      <c r="C3990" s="82" t="str">
        <f>VLOOKUP($B$7:$B$5000,SUM!$L$6:$L$500,1,FALSE)</f>
        <v>#N/A</v>
      </c>
      <c r="D3990" s="190" t="s">
        <v>6532</v>
      </c>
      <c r="E3990" s="198" t="s">
        <v>58</v>
      </c>
      <c r="F3990" s="199" t="s">
        <v>4099</v>
      </c>
      <c r="G3990" s="191" t="s">
        <v>2118</v>
      </c>
      <c r="H3990" s="199" t="s">
        <v>6633</v>
      </c>
      <c r="I3990" s="197" t="s">
        <v>4190</v>
      </c>
      <c r="J3990" s="148" t="s">
        <v>63</v>
      </c>
      <c r="K3990" s="148" t="s">
        <v>64</v>
      </c>
      <c r="L3990" s="148" t="s">
        <v>65</v>
      </c>
      <c r="M3990" s="148" t="s">
        <v>66</v>
      </c>
      <c r="N3990" s="212">
        <v>46179.0</v>
      </c>
      <c r="O3990" s="148" t="s">
        <v>67</v>
      </c>
      <c r="P3990" s="148" t="s">
        <v>68</v>
      </c>
      <c r="Q3990" s="103"/>
      <c r="R3990" s="103"/>
      <c r="S3990" s="103"/>
      <c r="T3990" s="103"/>
      <c r="U3990" s="148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1">
        <v>3985.0</v>
      </c>
      <c r="B3991" s="180" t="s">
        <v>6692</v>
      </c>
      <c r="C3991" s="82" t="str">
        <f>VLOOKUP($B$7:$B$5000,SUM!$L$6:$L$500,1,FALSE)</f>
        <v>#N/A</v>
      </c>
      <c r="D3991" s="190" t="s">
        <v>6532</v>
      </c>
      <c r="E3991" s="198" t="s">
        <v>58</v>
      </c>
      <c r="F3991" s="199" t="s">
        <v>4099</v>
      </c>
      <c r="G3991" s="191" t="s">
        <v>2118</v>
      </c>
      <c r="H3991" s="199" t="s">
        <v>6635</v>
      </c>
      <c r="I3991" s="197" t="s">
        <v>4190</v>
      </c>
      <c r="J3991" s="148" t="s">
        <v>63</v>
      </c>
      <c r="K3991" s="148" t="s">
        <v>64</v>
      </c>
      <c r="L3991" s="148" t="s">
        <v>65</v>
      </c>
      <c r="M3991" s="148" t="s">
        <v>66</v>
      </c>
      <c r="N3991" s="212">
        <v>46179.0</v>
      </c>
      <c r="O3991" s="148" t="s">
        <v>67</v>
      </c>
      <c r="P3991" s="148" t="s">
        <v>68</v>
      </c>
      <c r="Q3991" s="103"/>
      <c r="R3991" s="103"/>
      <c r="S3991" s="103"/>
      <c r="T3991" s="103"/>
      <c r="U3991" s="148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1">
        <v>3986.0</v>
      </c>
      <c r="B3992" s="180" t="s">
        <v>6693</v>
      </c>
      <c r="C3992" s="82" t="str">
        <f>VLOOKUP($B$7:$B$5000,SUM!$L$6:$L$500,1,FALSE)</f>
        <v>#N/A</v>
      </c>
      <c r="D3992" s="190" t="s">
        <v>6532</v>
      </c>
      <c r="E3992" s="198" t="s">
        <v>58</v>
      </c>
      <c r="F3992" s="199" t="s">
        <v>4099</v>
      </c>
      <c r="G3992" s="191" t="s">
        <v>2118</v>
      </c>
      <c r="H3992" s="199" t="s">
        <v>6637</v>
      </c>
      <c r="I3992" s="197" t="s">
        <v>4190</v>
      </c>
      <c r="J3992" s="148" t="s">
        <v>63</v>
      </c>
      <c r="K3992" s="148" t="s">
        <v>64</v>
      </c>
      <c r="L3992" s="148" t="s">
        <v>65</v>
      </c>
      <c r="M3992" s="148" t="s">
        <v>66</v>
      </c>
      <c r="N3992" s="212">
        <v>46179.0</v>
      </c>
      <c r="O3992" s="148" t="s">
        <v>67</v>
      </c>
      <c r="P3992" s="148" t="s">
        <v>68</v>
      </c>
      <c r="Q3992" s="103"/>
      <c r="R3992" s="103"/>
      <c r="S3992" s="103"/>
      <c r="T3992" s="103"/>
      <c r="U3992" s="148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1">
        <v>3987.0</v>
      </c>
      <c r="B3993" s="180" t="s">
        <v>6694</v>
      </c>
      <c r="C3993" s="82" t="str">
        <f>VLOOKUP($B$7:$B$5000,SUM!$L$6:$L$500,1,FALSE)</f>
        <v>#N/A</v>
      </c>
      <c r="D3993" s="190" t="s">
        <v>6532</v>
      </c>
      <c r="E3993" s="198" t="s">
        <v>58</v>
      </c>
      <c r="F3993" s="199" t="s">
        <v>4099</v>
      </c>
      <c r="G3993" s="191" t="s">
        <v>2118</v>
      </c>
      <c r="H3993" s="199" t="s">
        <v>6639</v>
      </c>
      <c r="I3993" s="197" t="s">
        <v>4190</v>
      </c>
      <c r="J3993" s="148" t="s">
        <v>63</v>
      </c>
      <c r="K3993" s="148" t="s">
        <v>64</v>
      </c>
      <c r="L3993" s="148" t="s">
        <v>65</v>
      </c>
      <c r="M3993" s="148" t="s">
        <v>66</v>
      </c>
      <c r="N3993" s="212">
        <v>46179.0</v>
      </c>
      <c r="O3993" s="148" t="s">
        <v>67</v>
      </c>
      <c r="P3993" s="148" t="s">
        <v>68</v>
      </c>
      <c r="Q3993" s="103"/>
      <c r="R3993" s="103"/>
      <c r="S3993" s="103"/>
      <c r="T3993" s="103"/>
      <c r="U3993" s="148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1">
        <v>3988.0</v>
      </c>
      <c r="B3994" s="180" t="s">
        <v>6695</v>
      </c>
      <c r="C3994" s="82" t="str">
        <f>VLOOKUP($B$7:$B$5000,SUM!$L$6:$L$500,1,FALSE)</f>
        <v>#N/A</v>
      </c>
      <c r="D3994" s="190" t="s">
        <v>6532</v>
      </c>
      <c r="E3994" s="198" t="s">
        <v>58</v>
      </c>
      <c r="F3994" s="199" t="s">
        <v>4099</v>
      </c>
      <c r="G3994" s="191" t="s">
        <v>2118</v>
      </c>
      <c r="H3994" s="199" t="s">
        <v>6641</v>
      </c>
      <c r="I3994" s="197" t="s">
        <v>4190</v>
      </c>
      <c r="J3994" s="148" t="s">
        <v>63</v>
      </c>
      <c r="K3994" s="148" t="s">
        <v>64</v>
      </c>
      <c r="L3994" s="148" t="s">
        <v>65</v>
      </c>
      <c r="M3994" s="148" t="s">
        <v>66</v>
      </c>
      <c r="N3994" s="212">
        <v>46179.0</v>
      </c>
      <c r="O3994" s="148" t="s">
        <v>67</v>
      </c>
      <c r="P3994" s="148" t="s">
        <v>68</v>
      </c>
      <c r="Q3994" s="103"/>
      <c r="R3994" s="103"/>
      <c r="S3994" s="103"/>
      <c r="T3994" s="103"/>
      <c r="U3994" s="148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1">
        <v>3989.0</v>
      </c>
      <c r="B3995" s="180" t="s">
        <v>6696</v>
      </c>
      <c r="C3995" s="82" t="str">
        <f>VLOOKUP($B$7:$B$5000,SUM!$L$6:$L$500,1,FALSE)</f>
        <v>#N/A</v>
      </c>
      <c r="D3995" s="190" t="s">
        <v>6532</v>
      </c>
      <c r="E3995" s="198" t="s">
        <v>58</v>
      </c>
      <c r="F3995" s="199" t="s">
        <v>4099</v>
      </c>
      <c r="G3995" s="191" t="s">
        <v>2118</v>
      </c>
      <c r="H3995" s="199" t="s">
        <v>6538</v>
      </c>
      <c r="I3995" s="197" t="s">
        <v>6697</v>
      </c>
      <c r="J3995" s="148" t="s">
        <v>108</v>
      </c>
      <c r="K3995" s="148" t="s">
        <v>64</v>
      </c>
      <c r="L3995" s="148" t="s">
        <v>65</v>
      </c>
      <c r="M3995" s="148" t="s">
        <v>66</v>
      </c>
      <c r="N3995" s="212">
        <v>46179.0</v>
      </c>
      <c r="O3995" s="148" t="s">
        <v>67</v>
      </c>
      <c r="P3995" s="148" t="s">
        <v>68</v>
      </c>
      <c r="Q3995" s="103"/>
      <c r="R3995" s="103"/>
      <c r="S3995" s="103"/>
      <c r="T3995" s="103"/>
      <c r="U3995" s="148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1">
        <v>3990.0</v>
      </c>
      <c r="B3996" s="180" t="s">
        <v>6698</v>
      </c>
      <c r="C3996" s="82" t="str">
        <f>VLOOKUP($B$7:$B$5000,SUM!$L$6:$L$500,1,FALSE)</f>
        <v>#N/A</v>
      </c>
      <c r="D3996" s="190" t="s">
        <v>6532</v>
      </c>
      <c r="E3996" s="198" t="s">
        <v>58</v>
      </c>
      <c r="F3996" s="199" t="s">
        <v>4099</v>
      </c>
      <c r="G3996" s="191" t="s">
        <v>2118</v>
      </c>
      <c r="H3996" s="199" t="s">
        <v>6540</v>
      </c>
      <c r="I3996" s="197" t="s">
        <v>6697</v>
      </c>
      <c r="J3996" s="148" t="s">
        <v>108</v>
      </c>
      <c r="K3996" s="148" t="s">
        <v>64</v>
      </c>
      <c r="L3996" s="148" t="s">
        <v>65</v>
      </c>
      <c r="M3996" s="148" t="s">
        <v>66</v>
      </c>
      <c r="N3996" s="212">
        <v>46179.0</v>
      </c>
      <c r="O3996" s="148" t="s">
        <v>67</v>
      </c>
      <c r="P3996" s="148" t="s">
        <v>68</v>
      </c>
      <c r="Q3996" s="103"/>
      <c r="R3996" s="103"/>
      <c r="S3996" s="103"/>
      <c r="T3996" s="103"/>
      <c r="U3996" s="148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1">
        <v>3991.0</v>
      </c>
      <c r="B3997" s="180" t="s">
        <v>6699</v>
      </c>
      <c r="C3997" s="82" t="str">
        <f>VLOOKUP($B$7:$B$5000,SUM!$L$6:$L$500,1,FALSE)</f>
        <v>#N/A</v>
      </c>
      <c r="D3997" s="190" t="s">
        <v>6532</v>
      </c>
      <c r="E3997" s="198" t="s">
        <v>58</v>
      </c>
      <c r="F3997" s="199" t="s">
        <v>4099</v>
      </c>
      <c r="G3997" s="191" t="s">
        <v>2118</v>
      </c>
      <c r="H3997" s="199" t="s">
        <v>6542</v>
      </c>
      <c r="I3997" s="197" t="s">
        <v>6697</v>
      </c>
      <c r="J3997" s="148" t="s">
        <v>108</v>
      </c>
      <c r="K3997" s="148" t="s">
        <v>64</v>
      </c>
      <c r="L3997" s="148" t="s">
        <v>65</v>
      </c>
      <c r="M3997" s="148" t="s">
        <v>66</v>
      </c>
      <c r="N3997" s="212">
        <v>46179.0</v>
      </c>
      <c r="O3997" s="148" t="s">
        <v>67</v>
      </c>
      <c r="P3997" s="148" t="s">
        <v>68</v>
      </c>
      <c r="Q3997" s="103"/>
      <c r="R3997" s="103"/>
      <c r="S3997" s="103"/>
      <c r="T3997" s="103"/>
      <c r="U3997" s="148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1">
        <v>3992.0</v>
      </c>
      <c r="B3998" s="180" t="s">
        <v>6700</v>
      </c>
      <c r="C3998" s="82" t="str">
        <f>VLOOKUP($B$7:$B$5000,SUM!$L$6:$L$500,1,FALSE)</f>
        <v>#N/A</v>
      </c>
      <c r="D3998" s="190" t="s">
        <v>6532</v>
      </c>
      <c r="E3998" s="198" t="s">
        <v>58</v>
      </c>
      <c r="F3998" s="199" t="s">
        <v>4099</v>
      </c>
      <c r="G3998" s="191" t="s">
        <v>2118</v>
      </c>
      <c r="H3998" s="199" t="s">
        <v>6548</v>
      </c>
      <c r="I3998" s="197" t="s">
        <v>6697</v>
      </c>
      <c r="J3998" s="148" t="s">
        <v>108</v>
      </c>
      <c r="K3998" s="148" t="s">
        <v>64</v>
      </c>
      <c r="L3998" s="148" t="s">
        <v>65</v>
      </c>
      <c r="M3998" s="148" t="s">
        <v>66</v>
      </c>
      <c r="N3998" s="212">
        <v>46179.0</v>
      </c>
      <c r="O3998" s="148" t="s">
        <v>67</v>
      </c>
      <c r="P3998" s="148" t="s">
        <v>68</v>
      </c>
      <c r="Q3998" s="103"/>
      <c r="R3998" s="103"/>
      <c r="S3998" s="103"/>
      <c r="T3998" s="103"/>
      <c r="U3998" s="148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1">
        <v>3993.0</v>
      </c>
      <c r="B3999" s="180" t="s">
        <v>6701</v>
      </c>
      <c r="C3999" s="82" t="str">
        <f>VLOOKUP($B$7:$B$5000,SUM!$L$6:$L$500,1,FALSE)</f>
        <v>#N/A</v>
      </c>
      <c r="D3999" s="190" t="s">
        <v>6532</v>
      </c>
      <c r="E3999" s="198" t="s">
        <v>58</v>
      </c>
      <c r="F3999" s="199" t="s">
        <v>4099</v>
      </c>
      <c r="G3999" s="191" t="s">
        <v>2118</v>
      </c>
      <c r="H3999" s="199" t="s">
        <v>6550</v>
      </c>
      <c r="I3999" s="197" t="s">
        <v>6697</v>
      </c>
      <c r="J3999" s="148" t="s">
        <v>108</v>
      </c>
      <c r="K3999" s="148" t="s">
        <v>64</v>
      </c>
      <c r="L3999" s="148" t="s">
        <v>65</v>
      </c>
      <c r="M3999" s="148" t="s">
        <v>66</v>
      </c>
      <c r="N3999" s="212">
        <v>46179.0</v>
      </c>
      <c r="O3999" s="148" t="s">
        <v>67</v>
      </c>
      <c r="P3999" s="148" t="s">
        <v>68</v>
      </c>
      <c r="Q3999" s="103"/>
      <c r="R3999" s="103"/>
      <c r="S3999" s="103"/>
      <c r="T3999" s="103"/>
      <c r="U3999" s="148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1">
        <v>3994.0</v>
      </c>
      <c r="B4000" s="180" t="s">
        <v>6702</v>
      </c>
      <c r="C4000" s="82" t="str">
        <f>VLOOKUP($B$7:$B$5000,SUM!$L$6:$L$500,1,FALSE)</f>
        <v>#N/A</v>
      </c>
      <c r="D4000" s="190" t="s">
        <v>6532</v>
      </c>
      <c r="E4000" s="198" t="s">
        <v>58</v>
      </c>
      <c r="F4000" s="199" t="s">
        <v>4099</v>
      </c>
      <c r="G4000" s="191" t="s">
        <v>2118</v>
      </c>
      <c r="H4000" s="199" t="s">
        <v>6554</v>
      </c>
      <c r="I4000" s="197" t="s">
        <v>6697</v>
      </c>
      <c r="J4000" s="148" t="s">
        <v>108</v>
      </c>
      <c r="K4000" s="148" t="s">
        <v>64</v>
      </c>
      <c r="L4000" s="148" t="s">
        <v>65</v>
      </c>
      <c r="M4000" s="148" t="s">
        <v>66</v>
      </c>
      <c r="N4000" s="212">
        <v>46179.0</v>
      </c>
      <c r="O4000" s="148" t="s">
        <v>67</v>
      </c>
      <c r="P4000" s="148" t="s">
        <v>68</v>
      </c>
      <c r="Q4000" s="103"/>
      <c r="R4000" s="103"/>
      <c r="S4000" s="103"/>
      <c r="T4000" s="103"/>
      <c r="U4000" s="148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1">
        <v>3995.0</v>
      </c>
      <c r="B4001" s="180" t="s">
        <v>6703</v>
      </c>
      <c r="C4001" s="82" t="str">
        <f>VLOOKUP($B$7:$B$5000,SUM!$L$6:$L$500,1,FALSE)</f>
        <v>#N/A</v>
      </c>
      <c r="D4001" s="190" t="s">
        <v>6532</v>
      </c>
      <c r="E4001" s="198" t="s">
        <v>58</v>
      </c>
      <c r="F4001" s="199" t="s">
        <v>4099</v>
      </c>
      <c r="G4001" s="191" t="s">
        <v>2118</v>
      </c>
      <c r="H4001" s="199" t="s">
        <v>6566</v>
      </c>
      <c r="I4001" s="197" t="s">
        <v>6697</v>
      </c>
      <c r="J4001" s="148" t="s">
        <v>108</v>
      </c>
      <c r="K4001" s="148" t="s">
        <v>64</v>
      </c>
      <c r="L4001" s="148" t="s">
        <v>65</v>
      </c>
      <c r="M4001" s="148" t="s">
        <v>66</v>
      </c>
      <c r="N4001" s="212">
        <v>46179.0</v>
      </c>
      <c r="O4001" s="148" t="s">
        <v>67</v>
      </c>
      <c r="P4001" s="148" t="s">
        <v>68</v>
      </c>
      <c r="Q4001" s="103"/>
      <c r="R4001" s="103"/>
      <c r="S4001" s="103"/>
      <c r="T4001" s="103"/>
      <c r="U4001" s="148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1">
        <v>3996.0</v>
      </c>
      <c r="B4002" s="180" t="s">
        <v>6704</v>
      </c>
      <c r="C4002" s="82" t="str">
        <f>VLOOKUP($B$7:$B$5000,SUM!$L$6:$L$500,1,FALSE)</f>
        <v>#N/A</v>
      </c>
      <c r="D4002" s="190" t="s">
        <v>6532</v>
      </c>
      <c r="E4002" s="198" t="s">
        <v>58</v>
      </c>
      <c r="F4002" s="199" t="s">
        <v>4099</v>
      </c>
      <c r="G4002" s="191" t="s">
        <v>2118</v>
      </c>
      <c r="H4002" s="199" t="s">
        <v>6568</v>
      </c>
      <c r="I4002" s="197" t="s">
        <v>6697</v>
      </c>
      <c r="J4002" s="148" t="s">
        <v>108</v>
      </c>
      <c r="K4002" s="148" t="s">
        <v>64</v>
      </c>
      <c r="L4002" s="148" t="s">
        <v>65</v>
      </c>
      <c r="M4002" s="148" t="s">
        <v>66</v>
      </c>
      <c r="N4002" s="212">
        <v>46179.0</v>
      </c>
      <c r="O4002" s="148" t="s">
        <v>67</v>
      </c>
      <c r="P4002" s="148" t="s">
        <v>68</v>
      </c>
      <c r="Q4002" s="103"/>
      <c r="R4002" s="103"/>
      <c r="S4002" s="103"/>
      <c r="T4002" s="103"/>
      <c r="U4002" s="148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1">
        <v>3997.0</v>
      </c>
      <c r="B4003" s="180" t="s">
        <v>6705</v>
      </c>
      <c r="C4003" s="82" t="str">
        <f>VLOOKUP($B$7:$B$5000,SUM!$L$6:$L$500,1,FALSE)</f>
        <v>#N/A</v>
      </c>
      <c r="D4003" s="190" t="s">
        <v>6532</v>
      </c>
      <c r="E4003" s="198" t="s">
        <v>58</v>
      </c>
      <c r="F4003" s="199" t="s">
        <v>4099</v>
      </c>
      <c r="G4003" s="191" t="s">
        <v>2118</v>
      </c>
      <c r="H4003" s="199" t="s">
        <v>6570</v>
      </c>
      <c r="I4003" s="197" t="s">
        <v>6697</v>
      </c>
      <c r="J4003" s="148" t="s">
        <v>108</v>
      </c>
      <c r="K4003" s="148" t="s">
        <v>64</v>
      </c>
      <c r="L4003" s="148" t="s">
        <v>65</v>
      </c>
      <c r="M4003" s="148" t="s">
        <v>66</v>
      </c>
      <c r="N4003" s="212">
        <v>46179.0</v>
      </c>
      <c r="O4003" s="148" t="s">
        <v>67</v>
      </c>
      <c r="P4003" s="148" t="s">
        <v>68</v>
      </c>
      <c r="Q4003" s="103"/>
      <c r="R4003" s="103"/>
      <c r="S4003" s="103"/>
      <c r="T4003" s="103"/>
      <c r="U4003" s="148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1">
        <v>3998.0</v>
      </c>
      <c r="B4004" s="180" t="s">
        <v>6706</v>
      </c>
      <c r="C4004" s="82" t="str">
        <f>VLOOKUP($B$7:$B$5000,SUM!$L$6:$L$500,1,FALSE)</f>
        <v>#N/A</v>
      </c>
      <c r="D4004" s="190" t="s">
        <v>6532</v>
      </c>
      <c r="E4004" s="198" t="s">
        <v>58</v>
      </c>
      <c r="F4004" s="199" t="s">
        <v>4099</v>
      </c>
      <c r="G4004" s="191" t="s">
        <v>2118</v>
      </c>
      <c r="H4004" s="199" t="s">
        <v>6576</v>
      </c>
      <c r="I4004" s="197" t="s">
        <v>6697</v>
      </c>
      <c r="J4004" s="148" t="s">
        <v>108</v>
      </c>
      <c r="K4004" s="148" t="s">
        <v>64</v>
      </c>
      <c r="L4004" s="148" t="s">
        <v>65</v>
      </c>
      <c r="M4004" s="148" t="s">
        <v>66</v>
      </c>
      <c r="N4004" s="212">
        <v>46179.0</v>
      </c>
      <c r="O4004" s="148" t="s">
        <v>67</v>
      </c>
      <c r="P4004" s="148" t="s">
        <v>68</v>
      </c>
      <c r="Q4004" s="103"/>
      <c r="R4004" s="103"/>
      <c r="S4004" s="103"/>
      <c r="T4004" s="103"/>
      <c r="U4004" s="148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1">
        <v>3999.0</v>
      </c>
      <c r="B4005" s="180" t="s">
        <v>6707</v>
      </c>
      <c r="C4005" s="82" t="str">
        <f>VLOOKUP($B$7:$B$5000,SUM!$L$6:$L$500,1,FALSE)</f>
        <v>#N/A</v>
      </c>
      <c r="D4005" s="190" t="s">
        <v>6532</v>
      </c>
      <c r="E4005" s="198" t="s">
        <v>58</v>
      </c>
      <c r="F4005" s="199" t="s">
        <v>4099</v>
      </c>
      <c r="G4005" s="191" t="s">
        <v>2118</v>
      </c>
      <c r="H4005" s="199" t="s">
        <v>6580</v>
      </c>
      <c r="I4005" s="197" t="s">
        <v>6697</v>
      </c>
      <c r="J4005" s="148" t="s">
        <v>108</v>
      </c>
      <c r="K4005" s="148" t="s">
        <v>64</v>
      </c>
      <c r="L4005" s="148" t="s">
        <v>65</v>
      </c>
      <c r="M4005" s="148" t="s">
        <v>66</v>
      </c>
      <c r="N4005" s="212">
        <v>46179.0</v>
      </c>
      <c r="O4005" s="148" t="s">
        <v>67</v>
      </c>
      <c r="P4005" s="148" t="s">
        <v>68</v>
      </c>
      <c r="Q4005" s="103"/>
      <c r="R4005" s="103"/>
      <c r="S4005" s="103"/>
      <c r="T4005" s="103"/>
      <c r="U4005" s="148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1">
        <v>4000.0</v>
      </c>
      <c r="B4006" s="180" t="s">
        <v>6708</v>
      </c>
      <c r="C4006" s="82" t="str">
        <f>VLOOKUP($B$7:$B$5000,SUM!$L$6:$L$500,1,FALSE)</f>
        <v>#N/A</v>
      </c>
      <c r="D4006" s="190" t="s">
        <v>6532</v>
      </c>
      <c r="E4006" s="198" t="s">
        <v>58</v>
      </c>
      <c r="F4006" s="199" t="s">
        <v>4099</v>
      </c>
      <c r="G4006" s="191" t="s">
        <v>2118</v>
      </c>
      <c r="H4006" s="199" t="s">
        <v>6582</v>
      </c>
      <c r="I4006" s="197" t="s">
        <v>6697</v>
      </c>
      <c r="J4006" s="148" t="s">
        <v>108</v>
      </c>
      <c r="K4006" s="148" t="s">
        <v>64</v>
      </c>
      <c r="L4006" s="148" t="s">
        <v>65</v>
      </c>
      <c r="M4006" s="148" t="s">
        <v>66</v>
      </c>
      <c r="N4006" s="212">
        <v>46179.0</v>
      </c>
      <c r="O4006" s="148" t="s">
        <v>67</v>
      </c>
      <c r="P4006" s="148" t="s">
        <v>68</v>
      </c>
      <c r="Q4006" s="103"/>
      <c r="R4006" s="103"/>
      <c r="S4006" s="103"/>
      <c r="T4006" s="103"/>
      <c r="U4006" s="148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1">
        <v>4001.0</v>
      </c>
      <c r="B4007" s="180" t="s">
        <v>6709</v>
      </c>
      <c r="C4007" s="82" t="str">
        <f>VLOOKUP($B$7:$B$5000,SUM!$L$6:$L$500,1,FALSE)</f>
        <v>#N/A</v>
      </c>
      <c r="D4007" s="190" t="s">
        <v>6532</v>
      </c>
      <c r="E4007" s="198" t="s">
        <v>58</v>
      </c>
      <c r="F4007" s="199" t="s">
        <v>4099</v>
      </c>
      <c r="G4007" s="191" t="s">
        <v>2118</v>
      </c>
      <c r="H4007" s="199" t="s">
        <v>6584</v>
      </c>
      <c r="I4007" s="197" t="s">
        <v>6697</v>
      </c>
      <c r="J4007" s="148" t="s">
        <v>108</v>
      </c>
      <c r="K4007" s="148" t="s">
        <v>64</v>
      </c>
      <c r="L4007" s="148" t="s">
        <v>65</v>
      </c>
      <c r="M4007" s="148" t="s">
        <v>66</v>
      </c>
      <c r="N4007" s="212">
        <v>46179.0</v>
      </c>
      <c r="O4007" s="148" t="s">
        <v>67</v>
      </c>
      <c r="P4007" s="148" t="s">
        <v>68</v>
      </c>
      <c r="Q4007" s="103"/>
      <c r="R4007" s="103"/>
      <c r="S4007" s="103"/>
      <c r="T4007" s="103"/>
      <c r="U4007" s="148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1">
        <v>4002.0</v>
      </c>
      <c r="B4008" s="180" t="s">
        <v>6710</v>
      </c>
      <c r="C4008" s="82" t="str">
        <f>VLOOKUP($B$7:$B$5000,SUM!$L$6:$L$500,1,FALSE)</f>
        <v>#N/A</v>
      </c>
      <c r="D4008" s="190" t="s">
        <v>6532</v>
      </c>
      <c r="E4008" s="198" t="s">
        <v>58</v>
      </c>
      <c r="F4008" s="199" t="s">
        <v>4099</v>
      </c>
      <c r="G4008" s="191" t="s">
        <v>2118</v>
      </c>
      <c r="H4008" s="199" t="s">
        <v>6593</v>
      </c>
      <c r="I4008" s="197" t="s">
        <v>6711</v>
      </c>
      <c r="J4008" s="148" t="s">
        <v>108</v>
      </c>
      <c r="K4008" s="148" t="s">
        <v>64</v>
      </c>
      <c r="L4008" s="148" t="s">
        <v>65</v>
      </c>
      <c r="M4008" s="148" t="s">
        <v>66</v>
      </c>
      <c r="N4008" s="212">
        <v>46179.0</v>
      </c>
      <c r="O4008" s="148" t="s">
        <v>67</v>
      </c>
      <c r="P4008" s="148" t="s">
        <v>68</v>
      </c>
      <c r="Q4008" s="103"/>
      <c r="R4008" s="103"/>
      <c r="S4008" s="103"/>
      <c r="T4008" s="103"/>
      <c r="U4008" s="148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1">
        <v>4003.0</v>
      </c>
      <c r="B4009" s="180" t="s">
        <v>6712</v>
      </c>
      <c r="C4009" s="82" t="str">
        <f>VLOOKUP($B$7:$B$5000,SUM!$L$6:$L$500,1,FALSE)</f>
        <v>#N/A</v>
      </c>
      <c r="D4009" s="190" t="s">
        <v>6532</v>
      </c>
      <c r="E4009" s="198" t="s">
        <v>58</v>
      </c>
      <c r="F4009" s="199" t="s">
        <v>4099</v>
      </c>
      <c r="G4009" s="191" t="s">
        <v>2118</v>
      </c>
      <c r="H4009" s="199" t="s">
        <v>6595</v>
      </c>
      <c r="I4009" s="197" t="s">
        <v>6711</v>
      </c>
      <c r="J4009" s="148" t="s">
        <v>108</v>
      </c>
      <c r="K4009" s="148" t="s">
        <v>64</v>
      </c>
      <c r="L4009" s="148" t="s">
        <v>65</v>
      </c>
      <c r="M4009" s="148" t="s">
        <v>66</v>
      </c>
      <c r="N4009" s="212">
        <v>46179.0</v>
      </c>
      <c r="O4009" s="148" t="s">
        <v>67</v>
      </c>
      <c r="P4009" s="148" t="s">
        <v>68</v>
      </c>
      <c r="Q4009" s="103"/>
      <c r="R4009" s="103"/>
      <c r="S4009" s="103"/>
      <c r="T4009" s="103"/>
      <c r="U4009" s="148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1">
        <v>4004.0</v>
      </c>
      <c r="B4010" s="180" t="s">
        <v>6713</v>
      </c>
      <c r="C4010" s="82" t="str">
        <f>VLOOKUP($B$7:$B$5000,SUM!$L$6:$L$500,1,FALSE)</f>
        <v>#N/A</v>
      </c>
      <c r="D4010" s="190" t="s">
        <v>6532</v>
      </c>
      <c r="E4010" s="198" t="s">
        <v>58</v>
      </c>
      <c r="F4010" s="199" t="s">
        <v>4099</v>
      </c>
      <c r="G4010" s="191" t="s">
        <v>2118</v>
      </c>
      <c r="H4010" s="199" t="s">
        <v>6597</v>
      </c>
      <c r="I4010" s="197" t="s">
        <v>6711</v>
      </c>
      <c r="J4010" s="148" t="s">
        <v>108</v>
      </c>
      <c r="K4010" s="148" t="s">
        <v>64</v>
      </c>
      <c r="L4010" s="148" t="s">
        <v>65</v>
      </c>
      <c r="M4010" s="148" t="s">
        <v>66</v>
      </c>
      <c r="N4010" s="212">
        <v>46179.0</v>
      </c>
      <c r="O4010" s="148" t="s">
        <v>67</v>
      </c>
      <c r="P4010" s="148" t="s">
        <v>68</v>
      </c>
      <c r="Q4010" s="103"/>
      <c r="R4010" s="103"/>
      <c r="S4010" s="103"/>
      <c r="T4010" s="103"/>
      <c r="U4010" s="148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1">
        <v>4005.0</v>
      </c>
      <c r="B4011" s="180" t="s">
        <v>6714</v>
      </c>
      <c r="C4011" s="82" t="str">
        <f>VLOOKUP($B$7:$B$5000,SUM!$L$6:$L$500,1,FALSE)</f>
        <v>#N/A</v>
      </c>
      <c r="D4011" s="190" t="s">
        <v>6532</v>
      </c>
      <c r="E4011" s="198" t="s">
        <v>58</v>
      </c>
      <c r="F4011" s="199" t="s">
        <v>4099</v>
      </c>
      <c r="G4011" s="191" t="s">
        <v>2118</v>
      </c>
      <c r="H4011" s="199" t="s">
        <v>6605</v>
      </c>
      <c r="I4011" s="197" t="s">
        <v>6711</v>
      </c>
      <c r="J4011" s="148" t="s">
        <v>108</v>
      </c>
      <c r="K4011" s="148" t="s">
        <v>64</v>
      </c>
      <c r="L4011" s="148" t="s">
        <v>65</v>
      </c>
      <c r="M4011" s="148" t="s">
        <v>66</v>
      </c>
      <c r="N4011" s="212">
        <v>46179.0</v>
      </c>
      <c r="O4011" s="148" t="s">
        <v>67</v>
      </c>
      <c r="P4011" s="148" t="s">
        <v>68</v>
      </c>
      <c r="Q4011" s="103"/>
      <c r="R4011" s="103"/>
      <c r="S4011" s="103"/>
      <c r="T4011" s="103"/>
      <c r="U4011" s="148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1">
        <v>4006.0</v>
      </c>
      <c r="B4012" s="180" t="s">
        <v>6715</v>
      </c>
      <c r="C4012" s="82" t="str">
        <f>VLOOKUP($B$7:$B$5000,SUM!$L$6:$L$500,1,FALSE)</f>
        <v>#N/A</v>
      </c>
      <c r="D4012" s="190" t="s">
        <v>6532</v>
      </c>
      <c r="E4012" s="198" t="s">
        <v>58</v>
      </c>
      <c r="F4012" s="199" t="s">
        <v>4099</v>
      </c>
      <c r="G4012" s="191" t="s">
        <v>2118</v>
      </c>
      <c r="H4012" s="199" t="s">
        <v>6609</v>
      </c>
      <c r="I4012" s="197" t="s">
        <v>6711</v>
      </c>
      <c r="J4012" s="148" t="s">
        <v>108</v>
      </c>
      <c r="K4012" s="148" t="s">
        <v>64</v>
      </c>
      <c r="L4012" s="148" t="s">
        <v>65</v>
      </c>
      <c r="M4012" s="148" t="s">
        <v>66</v>
      </c>
      <c r="N4012" s="212">
        <v>46179.0</v>
      </c>
      <c r="O4012" s="148" t="s">
        <v>67</v>
      </c>
      <c r="P4012" s="148" t="s">
        <v>68</v>
      </c>
      <c r="Q4012" s="103"/>
      <c r="R4012" s="103"/>
      <c r="S4012" s="103"/>
      <c r="T4012" s="103"/>
      <c r="U4012" s="148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1">
        <v>4007.0</v>
      </c>
      <c r="B4013" s="180" t="s">
        <v>6716</v>
      </c>
      <c r="C4013" s="82" t="str">
        <f>VLOOKUP($B$7:$B$5000,SUM!$L$6:$L$500,1,FALSE)</f>
        <v>#N/A</v>
      </c>
      <c r="D4013" s="190" t="s">
        <v>6532</v>
      </c>
      <c r="E4013" s="198" t="s">
        <v>58</v>
      </c>
      <c r="F4013" s="199" t="s">
        <v>4099</v>
      </c>
      <c r="G4013" s="191" t="s">
        <v>2118</v>
      </c>
      <c r="H4013" s="199" t="s">
        <v>6617</v>
      </c>
      <c r="I4013" s="197" t="s">
        <v>6711</v>
      </c>
      <c r="J4013" s="148" t="s">
        <v>108</v>
      </c>
      <c r="K4013" s="148" t="s">
        <v>64</v>
      </c>
      <c r="L4013" s="148" t="s">
        <v>65</v>
      </c>
      <c r="M4013" s="148" t="s">
        <v>66</v>
      </c>
      <c r="N4013" s="212">
        <v>46179.0</v>
      </c>
      <c r="O4013" s="148" t="s">
        <v>67</v>
      </c>
      <c r="P4013" s="148" t="s">
        <v>68</v>
      </c>
      <c r="Q4013" s="103"/>
      <c r="R4013" s="103"/>
      <c r="S4013" s="103"/>
      <c r="T4013" s="103"/>
      <c r="U4013" s="148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1">
        <v>4008.0</v>
      </c>
      <c r="B4014" s="180" t="s">
        <v>6717</v>
      </c>
      <c r="C4014" s="82" t="str">
        <f>VLOOKUP($B$7:$B$5000,SUM!$L$6:$L$500,1,FALSE)</f>
        <v>#N/A</v>
      </c>
      <c r="D4014" s="190" t="s">
        <v>6532</v>
      </c>
      <c r="E4014" s="198" t="s">
        <v>58</v>
      </c>
      <c r="F4014" s="199" t="s">
        <v>4099</v>
      </c>
      <c r="G4014" s="191" t="s">
        <v>2118</v>
      </c>
      <c r="H4014" s="199" t="s">
        <v>6623</v>
      </c>
      <c r="I4014" s="197" t="s">
        <v>6711</v>
      </c>
      <c r="J4014" s="148" t="s">
        <v>108</v>
      </c>
      <c r="K4014" s="148" t="s">
        <v>64</v>
      </c>
      <c r="L4014" s="148" t="s">
        <v>65</v>
      </c>
      <c r="M4014" s="148" t="s">
        <v>66</v>
      </c>
      <c r="N4014" s="212">
        <v>46179.0</v>
      </c>
      <c r="O4014" s="148" t="s">
        <v>67</v>
      </c>
      <c r="P4014" s="148" t="s">
        <v>68</v>
      </c>
      <c r="Q4014" s="103"/>
      <c r="R4014" s="103"/>
      <c r="S4014" s="103"/>
      <c r="T4014" s="103"/>
      <c r="U4014" s="148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1">
        <v>4009.0</v>
      </c>
      <c r="B4015" s="180" t="s">
        <v>6718</v>
      </c>
      <c r="C4015" s="82" t="str">
        <f>VLOOKUP($B$7:$B$5000,SUM!$L$6:$L$500,1,FALSE)</f>
        <v>#N/A</v>
      </c>
      <c r="D4015" s="190" t="s">
        <v>6532</v>
      </c>
      <c r="E4015" s="198" t="s">
        <v>58</v>
      </c>
      <c r="F4015" s="199" t="s">
        <v>4099</v>
      </c>
      <c r="G4015" s="191" t="s">
        <v>2118</v>
      </c>
      <c r="H4015" s="199" t="s">
        <v>6625</v>
      </c>
      <c r="I4015" s="197" t="s">
        <v>6711</v>
      </c>
      <c r="J4015" s="148" t="s">
        <v>108</v>
      </c>
      <c r="K4015" s="148" t="s">
        <v>64</v>
      </c>
      <c r="L4015" s="148" t="s">
        <v>65</v>
      </c>
      <c r="M4015" s="148" t="s">
        <v>66</v>
      </c>
      <c r="N4015" s="212">
        <v>46179.0</v>
      </c>
      <c r="O4015" s="148" t="s">
        <v>67</v>
      </c>
      <c r="P4015" s="148" t="s">
        <v>68</v>
      </c>
      <c r="Q4015" s="103"/>
      <c r="R4015" s="103"/>
      <c r="S4015" s="103"/>
      <c r="T4015" s="103"/>
      <c r="U4015" s="148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1">
        <v>4010.0</v>
      </c>
      <c r="B4016" s="180" t="s">
        <v>6719</v>
      </c>
      <c r="C4016" s="82" t="str">
        <f>VLOOKUP($B$7:$B$5000,SUM!$L$6:$L$500,1,FALSE)</f>
        <v>#N/A</v>
      </c>
      <c r="D4016" s="190" t="s">
        <v>6532</v>
      </c>
      <c r="E4016" s="198" t="s">
        <v>58</v>
      </c>
      <c r="F4016" s="199" t="s">
        <v>4099</v>
      </c>
      <c r="G4016" s="191" t="s">
        <v>2118</v>
      </c>
      <c r="H4016" s="199" t="s">
        <v>6629</v>
      </c>
      <c r="I4016" s="197" t="s">
        <v>6711</v>
      </c>
      <c r="J4016" s="148" t="s">
        <v>108</v>
      </c>
      <c r="K4016" s="148" t="s">
        <v>64</v>
      </c>
      <c r="L4016" s="148" t="s">
        <v>65</v>
      </c>
      <c r="M4016" s="148" t="s">
        <v>66</v>
      </c>
      <c r="N4016" s="212">
        <v>46179.0</v>
      </c>
      <c r="O4016" s="148" t="s">
        <v>67</v>
      </c>
      <c r="P4016" s="148" t="s">
        <v>68</v>
      </c>
      <c r="Q4016" s="103"/>
      <c r="R4016" s="103"/>
      <c r="S4016" s="103"/>
      <c r="T4016" s="103"/>
      <c r="U4016" s="148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1">
        <v>4011.0</v>
      </c>
      <c r="B4017" s="180" t="s">
        <v>6720</v>
      </c>
      <c r="C4017" s="82" t="str">
        <f>VLOOKUP($B$7:$B$5000,SUM!$L$6:$L$500,1,FALSE)</f>
        <v>#N/A</v>
      </c>
      <c r="D4017" s="190" t="s">
        <v>6532</v>
      </c>
      <c r="E4017" s="198" t="s">
        <v>58</v>
      </c>
      <c r="F4017" s="199" t="s">
        <v>4099</v>
      </c>
      <c r="G4017" s="191" t="s">
        <v>2118</v>
      </c>
      <c r="H4017" s="199" t="s">
        <v>6633</v>
      </c>
      <c r="I4017" s="197" t="s">
        <v>6711</v>
      </c>
      <c r="J4017" s="148" t="s">
        <v>108</v>
      </c>
      <c r="K4017" s="148" t="s">
        <v>64</v>
      </c>
      <c r="L4017" s="148" t="s">
        <v>65</v>
      </c>
      <c r="M4017" s="148" t="s">
        <v>66</v>
      </c>
      <c r="N4017" s="212">
        <v>46179.0</v>
      </c>
      <c r="O4017" s="148" t="s">
        <v>67</v>
      </c>
      <c r="P4017" s="148" t="s">
        <v>68</v>
      </c>
      <c r="Q4017" s="103"/>
      <c r="R4017" s="103"/>
      <c r="S4017" s="103"/>
      <c r="T4017" s="103"/>
      <c r="U4017" s="148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1">
        <v>4012.0</v>
      </c>
      <c r="B4018" s="180" t="s">
        <v>6721</v>
      </c>
      <c r="C4018" s="82" t="str">
        <f>VLOOKUP($B$7:$B$5000,SUM!$L$6:$L$500,1,FALSE)</f>
        <v>#N/A</v>
      </c>
      <c r="D4018" s="190" t="s">
        <v>6532</v>
      </c>
      <c r="E4018" s="198" t="s">
        <v>58</v>
      </c>
      <c r="F4018" s="199" t="s">
        <v>4099</v>
      </c>
      <c r="G4018" s="191" t="s">
        <v>2118</v>
      </c>
      <c r="H4018" s="199" t="s">
        <v>6637</v>
      </c>
      <c r="I4018" s="197" t="s">
        <v>6711</v>
      </c>
      <c r="J4018" s="148" t="s">
        <v>108</v>
      </c>
      <c r="K4018" s="148" t="s">
        <v>64</v>
      </c>
      <c r="L4018" s="148" t="s">
        <v>65</v>
      </c>
      <c r="M4018" s="148" t="s">
        <v>66</v>
      </c>
      <c r="N4018" s="212">
        <v>46179.0</v>
      </c>
      <c r="O4018" s="148" t="s">
        <v>67</v>
      </c>
      <c r="P4018" s="148" t="s">
        <v>68</v>
      </c>
      <c r="Q4018" s="103"/>
      <c r="R4018" s="103"/>
      <c r="S4018" s="103"/>
      <c r="T4018" s="103"/>
      <c r="U4018" s="148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1">
        <v>4013.0</v>
      </c>
      <c r="B4019" s="180" t="s">
        <v>6722</v>
      </c>
      <c r="C4019" s="82" t="str">
        <f>VLOOKUP($B$7:$B$5000,SUM!$L$6:$L$500,1,FALSE)</f>
        <v>#N/A</v>
      </c>
      <c r="D4019" s="190" t="s">
        <v>6723</v>
      </c>
      <c r="E4019" s="198" t="s">
        <v>58</v>
      </c>
      <c r="F4019" s="199" t="s">
        <v>105</v>
      </c>
      <c r="G4019" s="191" t="s">
        <v>1871</v>
      </c>
      <c r="H4019" s="199" t="s">
        <v>6724</v>
      </c>
      <c r="I4019" s="197" t="s">
        <v>5619</v>
      </c>
      <c r="J4019" s="148" t="s">
        <v>63</v>
      </c>
      <c r="K4019" s="148" t="s">
        <v>64</v>
      </c>
      <c r="L4019" s="148" t="s">
        <v>65</v>
      </c>
      <c r="M4019" s="148" t="s">
        <v>66</v>
      </c>
      <c r="N4019" s="212">
        <v>46190.0</v>
      </c>
      <c r="O4019" s="148" t="s">
        <v>67</v>
      </c>
      <c r="P4019" s="148" t="s">
        <v>68</v>
      </c>
      <c r="Q4019" s="103"/>
      <c r="R4019" s="103"/>
      <c r="S4019" s="103"/>
      <c r="T4019" s="103"/>
      <c r="U4019" s="148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1">
        <v>4014.0</v>
      </c>
      <c r="B4020" s="180" t="s">
        <v>6725</v>
      </c>
      <c r="C4020" s="82" t="str">
        <f>VLOOKUP($B$7:$B$5000,SUM!$L$6:$L$500,1,FALSE)</f>
        <v>#N/A</v>
      </c>
      <c r="D4020" s="190" t="s">
        <v>6723</v>
      </c>
      <c r="E4020" s="198" t="s">
        <v>58</v>
      </c>
      <c r="F4020" s="199" t="s">
        <v>105</v>
      </c>
      <c r="G4020" s="191" t="s">
        <v>1871</v>
      </c>
      <c r="H4020" s="199" t="s">
        <v>6726</v>
      </c>
      <c r="I4020" s="197" t="s">
        <v>5619</v>
      </c>
      <c r="J4020" s="148" t="s">
        <v>63</v>
      </c>
      <c r="K4020" s="148" t="s">
        <v>64</v>
      </c>
      <c r="L4020" s="148" t="s">
        <v>65</v>
      </c>
      <c r="M4020" s="148" t="s">
        <v>66</v>
      </c>
      <c r="N4020" s="212">
        <v>46190.0</v>
      </c>
      <c r="O4020" s="148" t="s">
        <v>67</v>
      </c>
      <c r="P4020" s="148" t="s">
        <v>68</v>
      </c>
      <c r="Q4020" s="103"/>
      <c r="R4020" s="103"/>
      <c r="S4020" s="103"/>
      <c r="T4020" s="103"/>
      <c r="U4020" s="148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1">
        <v>4015.0</v>
      </c>
      <c r="B4021" s="180" t="s">
        <v>6727</v>
      </c>
      <c r="C4021" s="82" t="str">
        <f>VLOOKUP($B$7:$B$5000,SUM!$L$6:$L$500,1,FALSE)</f>
        <v>#N/A</v>
      </c>
      <c r="D4021" s="190" t="s">
        <v>6723</v>
      </c>
      <c r="E4021" s="198" t="s">
        <v>58</v>
      </c>
      <c r="F4021" s="199" t="s">
        <v>105</v>
      </c>
      <c r="G4021" s="191" t="s">
        <v>1871</v>
      </c>
      <c r="H4021" s="199" t="s">
        <v>6728</v>
      </c>
      <c r="I4021" s="197" t="s">
        <v>6729</v>
      </c>
      <c r="J4021" s="148" t="s">
        <v>63</v>
      </c>
      <c r="K4021" s="148" t="s">
        <v>64</v>
      </c>
      <c r="L4021" s="148" t="s">
        <v>65</v>
      </c>
      <c r="M4021" s="148" t="s">
        <v>66</v>
      </c>
      <c r="N4021" s="212">
        <v>46190.0</v>
      </c>
      <c r="O4021" s="148" t="s">
        <v>67</v>
      </c>
      <c r="P4021" s="148" t="s">
        <v>68</v>
      </c>
      <c r="Q4021" s="103"/>
      <c r="R4021" s="103"/>
      <c r="S4021" s="103"/>
      <c r="T4021" s="103"/>
      <c r="U4021" s="148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1">
        <v>4016.0</v>
      </c>
      <c r="B4022" s="180" t="s">
        <v>6730</v>
      </c>
      <c r="C4022" s="82" t="str">
        <f>VLOOKUP($B$7:$B$5000,SUM!$L$6:$L$500,1,FALSE)</f>
        <v>#N/A</v>
      </c>
      <c r="D4022" s="190" t="s">
        <v>6723</v>
      </c>
      <c r="E4022" s="198" t="s">
        <v>58</v>
      </c>
      <c r="F4022" s="199" t="s">
        <v>105</v>
      </c>
      <c r="G4022" s="191" t="s">
        <v>1871</v>
      </c>
      <c r="H4022" s="199" t="s">
        <v>6731</v>
      </c>
      <c r="I4022" s="197" t="s">
        <v>6732</v>
      </c>
      <c r="J4022" s="148" t="s">
        <v>63</v>
      </c>
      <c r="K4022" s="148" t="s">
        <v>64</v>
      </c>
      <c r="L4022" s="148" t="s">
        <v>65</v>
      </c>
      <c r="M4022" s="148" t="s">
        <v>66</v>
      </c>
      <c r="N4022" s="212">
        <v>46190.0</v>
      </c>
      <c r="O4022" s="148" t="s">
        <v>67</v>
      </c>
      <c r="P4022" s="148" t="s">
        <v>68</v>
      </c>
      <c r="Q4022" s="103"/>
      <c r="R4022" s="103"/>
      <c r="S4022" s="103"/>
      <c r="T4022" s="103"/>
      <c r="U4022" s="148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1">
        <v>4017.0</v>
      </c>
      <c r="B4023" s="180" t="s">
        <v>6733</v>
      </c>
      <c r="C4023" s="82" t="str">
        <f>VLOOKUP($B$7:$B$5000,SUM!$L$6:$L$500,1,FALSE)</f>
        <v>#N/A</v>
      </c>
      <c r="D4023" s="190" t="s">
        <v>6723</v>
      </c>
      <c r="E4023" s="198" t="s">
        <v>58</v>
      </c>
      <c r="F4023" s="199" t="s">
        <v>105</v>
      </c>
      <c r="G4023" s="191" t="s">
        <v>1871</v>
      </c>
      <c r="H4023" s="199" t="s">
        <v>6734</v>
      </c>
      <c r="I4023" s="197" t="s">
        <v>5619</v>
      </c>
      <c r="J4023" s="148" t="s">
        <v>63</v>
      </c>
      <c r="K4023" s="148" t="s">
        <v>64</v>
      </c>
      <c r="L4023" s="148" t="s">
        <v>65</v>
      </c>
      <c r="M4023" s="148" t="s">
        <v>66</v>
      </c>
      <c r="N4023" s="212">
        <v>46190.0</v>
      </c>
      <c r="O4023" s="148" t="s">
        <v>67</v>
      </c>
      <c r="P4023" s="148" t="s">
        <v>68</v>
      </c>
      <c r="Q4023" s="103"/>
      <c r="R4023" s="103"/>
      <c r="S4023" s="103"/>
      <c r="T4023" s="103"/>
      <c r="U4023" s="148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1">
        <v>4018.0</v>
      </c>
      <c r="B4024" s="180" t="s">
        <v>6735</v>
      </c>
      <c r="C4024" s="82" t="str">
        <f>VLOOKUP($B$7:$B$5000,SUM!$L$6:$L$500,1,FALSE)</f>
        <v>#N/A</v>
      </c>
      <c r="D4024" s="190" t="s">
        <v>6723</v>
      </c>
      <c r="E4024" s="198" t="s">
        <v>58</v>
      </c>
      <c r="F4024" s="199" t="s">
        <v>105</v>
      </c>
      <c r="G4024" s="191" t="s">
        <v>1871</v>
      </c>
      <c r="H4024" s="199" t="s">
        <v>6736</v>
      </c>
      <c r="I4024" s="197" t="s">
        <v>5619</v>
      </c>
      <c r="J4024" s="148" t="s">
        <v>63</v>
      </c>
      <c r="K4024" s="148" t="s">
        <v>64</v>
      </c>
      <c r="L4024" s="148" t="s">
        <v>65</v>
      </c>
      <c r="M4024" s="148" t="s">
        <v>66</v>
      </c>
      <c r="N4024" s="212">
        <v>46190.0</v>
      </c>
      <c r="O4024" s="148" t="s">
        <v>67</v>
      </c>
      <c r="P4024" s="148" t="s">
        <v>68</v>
      </c>
      <c r="Q4024" s="103"/>
      <c r="R4024" s="103"/>
      <c r="S4024" s="103"/>
      <c r="T4024" s="103"/>
      <c r="U4024" s="148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1">
        <v>4019.0</v>
      </c>
      <c r="B4025" s="180" t="s">
        <v>6737</v>
      </c>
      <c r="C4025" s="82" t="str">
        <f>VLOOKUP($B$7:$B$5000,SUM!$L$6:$L$500,1,FALSE)</f>
        <v>#N/A</v>
      </c>
      <c r="D4025" s="190" t="s">
        <v>6723</v>
      </c>
      <c r="E4025" s="198" t="s">
        <v>58</v>
      </c>
      <c r="F4025" s="199" t="s">
        <v>105</v>
      </c>
      <c r="G4025" s="191" t="s">
        <v>1871</v>
      </c>
      <c r="H4025" s="199" t="s">
        <v>6738</v>
      </c>
      <c r="I4025" s="197" t="s">
        <v>6739</v>
      </c>
      <c r="J4025" s="148" t="s">
        <v>63</v>
      </c>
      <c r="K4025" s="148" t="s">
        <v>64</v>
      </c>
      <c r="L4025" s="148" t="s">
        <v>65</v>
      </c>
      <c r="M4025" s="148" t="s">
        <v>66</v>
      </c>
      <c r="N4025" s="212">
        <v>46190.0</v>
      </c>
      <c r="O4025" s="148" t="s">
        <v>67</v>
      </c>
      <c r="P4025" s="148" t="s">
        <v>68</v>
      </c>
      <c r="Q4025" s="103"/>
      <c r="R4025" s="103"/>
      <c r="S4025" s="103"/>
      <c r="T4025" s="103"/>
      <c r="U4025" s="148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1">
        <v>4020.0</v>
      </c>
      <c r="B4026" s="180" t="s">
        <v>6740</v>
      </c>
      <c r="C4026" s="82" t="str">
        <f>VLOOKUP($B$7:$B$5000,SUM!$L$6:$L$500,1,FALSE)</f>
        <v>#N/A</v>
      </c>
      <c r="D4026" s="190" t="s">
        <v>6723</v>
      </c>
      <c r="E4026" s="198" t="s">
        <v>58</v>
      </c>
      <c r="F4026" s="199" t="s">
        <v>105</v>
      </c>
      <c r="G4026" s="191" t="s">
        <v>1871</v>
      </c>
      <c r="H4026" s="199" t="s">
        <v>6741</v>
      </c>
      <c r="I4026" s="197" t="s">
        <v>6742</v>
      </c>
      <c r="J4026" s="148" t="s">
        <v>63</v>
      </c>
      <c r="K4026" s="148" t="s">
        <v>64</v>
      </c>
      <c r="L4026" s="148" t="s">
        <v>65</v>
      </c>
      <c r="M4026" s="148" t="s">
        <v>66</v>
      </c>
      <c r="N4026" s="212">
        <v>46190.0</v>
      </c>
      <c r="O4026" s="148" t="s">
        <v>67</v>
      </c>
      <c r="P4026" s="148" t="s">
        <v>68</v>
      </c>
      <c r="Q4026" s="103"/>
      <c r="R4026" s="103"/>
      <c r="S4026" s="103"/>
      <c r="T4026" s="103"/>
      <c r="U4026" s="148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1">
        <v>4021.0</v>
      </c>
      <c r="B4027" s="180" t="s">
        <v>6743</v>
      </c>
      <c r="C4027" s="82" t="str">
        <f>VLOOKUP($B$7:$B$5000,SUM!$L$6:$L$500,1,FALSE)</f>
        <v>#N/A</v>
      </c>
      <c r="D4027" s="190" t="s">
        <v>6723</v>
      </c>
      <c r="E4027" s="198" t="s">
        <v>58</v>
      </c>
      <c r="F4027" s="199" t="s">
        <v>105</v>
      </c>
      <c r="G4027" s="191" t="s">
        <v>1871</v>
      </c>
      <c r="H4027" s="199" t="s">
        <v>6744</v>
      </c>
      <c r="I4027" s="197" t="s">
        <v>6742</v>
      </c>
      <c r="J4027" s="148" t="s">
        <v>63</v>
      </c>
      <c r="K4027" s="148" t="s">
        <v>64</v>
      </c>
      <c r="L4027" s="148" t="s">
        <v>65</v>
      </c>
      <c r="M4027" s="148" t="s">
        <v>66</v>
      </c>
      <c r="N4027" s="212">
        <v>46190.0</v>
      </c>
      <c r="O4027" s="148" t="s">
        <v>67</v>
      </c>
      <c r="P4027" s="148" t="s">
        <v>68</v>
      </c>
      <c r="Q4027" s="103"/>
      <c r="R4027" s="103"/>
      <c r="S4027" s="103"/>
      <c r="T4027" s="103"/>
      <c r="U4027" s="148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1">
        <v>4022.0</v>
      </c>
      <c r="B4028" s="180" t="s">
        <v>6745</v>
      </c>
      <c r="C4028" s="82" t="str">
        <f>VLOOKUP($B$7:$B$5000,SUM!$L$6:$L$500,1,FALSE)</f>
        <v>#N/A</v>
      </c>
      <c r="D4028" s="190" t="s">
        <v>6723</v>
      </c>
      <c r="E4028" s="198" t="s">
        <v>58</v>
      </c>
      <c r="F4028" s="199" t="s">
        <v>105</v>
      </c>
      <c r="G4028" s="191" t="s">
        <v>1871</v>
      </c>
      <c r="H4028" s="199" t="s">
        <v>6746</v>
      </c>
      <c r="I4028" s="197" t="s">
        <v>6742</v>
      </c>
      <c r="J4028" s="148" t="s">
        <v>63</v>
      </c>
      <c r="K4028" s="148" t="s">
        <v>64</v>
      </c>
      <c r="L4028" s="148" t="s">
        <v>65</v>
      </c>
      <c r="M4028" s="148" t="s">
        <v>66</v>
      </c>
      <c r="N4028" s="212">
        <v>46190.0</v>
      </c>
      <c r="O4028" s="148" t="s">
        <v>67</v>
      </c>
      <c r="P4028" s="148" t="s">
        <v>68</v>
      </c>
      <c r="Q4028" s="103"/>
      <c r="R4028" s="103"/>
      <c r="S4028" s="103"/>
      <c r="T4028" s="103"/>
      <c r="U4028" s="148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1">
        <v>4023.0</v>
      </c>
      <c r="B4029" s="180" t="s">
        <v>6747</v>
      </c>
      <c r="C4029" s="82" t="str">
        <f>VLOOKUP($B$7:$B$5000,SUM!$L$6:$L$500,1,FALSE)</f>
        <v>#N/A</v>
      </c>
      <c r="D4029" s="190" t="s">
        <v>6723</v>
      </c>
      <c r="E4029" s="198" t="s">
        <v>58</v>
      </c>
      <c r="F4029" s="199" t="s">
        <v>105</v>
      </c>
      <c r="G4029" s="191" t="s">
        <v>1871</v>
      </c>
      <c r="H4029" s="199" t="s">
        <v>6748</v>
      </c>
      <c r="I4029" s="197" t="s">
        <v>4381</v>
      </c>
      <c r="J4029" s="148" t="s">
        <v>63</v>
      </c>
      <c r="K4029" s="148" t="s">
        <v>64</v>
      </c>
      <c r="L4029" s="148" t="s">
        <v>65</v>
      </c>
      <c r="M4029" s="148" t="s">
        <v>66</v>
      </c>
      <c r="N4029" s="212">
        <v>46190.0</v>
      </c>
      <c r="O4029" s="148" t="s">
        <v>67</v>
      </c>
      <c r="P4029" s="148" t="s">
        <v>68</v>
      </c>
      <c r="Q4029" s="103"/>
      <c r="R4029" s="103"/>
      <c r="S4029" s="103"/>
      <c r="T4029" s="103"/>
      <c r="U4029" s="148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1">
        <v>4024.0</v>
      </c>
      <c r="B4030" s="180" t="s">
        <v>6749</v>
      </c>
      <c r="C4030" s="82" t="str">
        <f>VLOOKUP($B$7:$B$5000,SUM!$L$6:$L$500,1,FALSE)</f>
        <v>#N/A</v>
      </c>
      <c r="D4030" s="190" t="s">
        <v>6723</v>
      </c>
      <c r="E4030" s="198" t="s">
        <v>58</v>
      </c>
      <c r="F4030" s="199" t="s">
        <v>105</v>
      </c>
      <c r="G4030" s="191" t="s">
        <v>1871</v>
      </c>
      <c r="H4030" s="199" t="s">
        <v>6750</v>
      </c>
      <c r="I4030" s="197" t="s">
        <v>4381</v>
      </c>
      <c r="J4030" s="148" t="s">
        <v>63</v>
      </c>
      <c r="K4030" s="148" t="s">
        <v>64</v>
      </c>
      <c r="L4030" s="148" t="s">
        <v>65</v>
      </c>
      <c r="M4030" s="148" t="s">
        <v>66</v>
      </c>
      <c r="N4030" s="212">
        <v>46190.0</v>
      </c>
      <c r="O4030" s="148" t="s">
        <v>67</v>
      </c>
      <c r="P4030" s="148" t="s">
        <v>68</v>
      </c>
      <c r="Q4030" s="103"/>
      <c r="R4030" s="103"/>
      <c r="S4030" s="103"/>
      <c r="T4030" s="103"/>
      <c r="U4030" s="148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1">
        <v>4025.0</v>
      </c>
      <c r="B4031" s="180" t="s">
        <v>6751</v>
      </c>
      <c r="C4031" s="82" t="str">
        <f>VLOOKUP($B$7:$B$5000,SUM!$L$6:$L$500,1,FALSE)</f>
        <v>#N/A</v>
      </c>
      <c r="D4031" s="190" t="s">
        <v>6723</v>
      </c>
      <c r="E4031" s="198" t="s">
        <v>58</v>
      </c>
      <c r="F4031" s="199" t="s">
        <v>105</v>
      </c>
      <c r="G4031" s="191" t="s">
        <v>1871</v>
      </c>
      <c r="H4031" s="199" t="s">
        <v>6752</v>
      </c>
      <c r="I4031" s="197" t="s">
        <v>6742</v>
      </c>
      <c r="J4031" s="148" t="s">
        <v>63</v>
      </c>
      <c r="K4031" s="148" t="s">
        <v>64</v>
      </c>
      <c r="L4031" s="148" t="s">
        <v>65</v>
      </c>
      <c r="M4031" s="148" t="s">
        <v>66</v>
      </c>
      <c r="N4031" s="212">
        <v>46190.0</v>
      </c>
      <c r="O4031" s="148" t="s">
        <v>67</v>
      </c>
      <c r="P4031" s="148" t="s">
        <v>68</v>
      </c>
      <c r="Q4031" s="103"/>
      <c r="R4031" s="103"/>
      <c r="S4031" s="103"/>
      <c r="T4031" s="103"/>
      <c r="U4031" s="148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1">
        <v>4026.0</v>
      </c>
      <c r="B4032" s="180" t="s">
        <v>6753</v>
      </c>
      <c r="C4032" s="82" t="str">
        <f>VLOOKUP($B$7:$B$5000,SUM!$L$6:$L$500,1,FALSE)</f>
        <v>#N/A</v>
      </c>
      <c r="D4032" s="190" t="s">
        <v>6723</v>
      </c>
      <c r="E4032" s="198" t="s">
        <v>58</v>
      </c>
      <c r="F4032" s="199" t="s">
        <v>105</v>
      </c>
      <c r="G4032" s="191" t="s">
        <v>1871</v>
      </c>
      <c r="H4032" s="199" t="s">
        <v>6754</v>
      </c>
      <c r="I4032" s="197" t="s">
        <v>6742</v>
      </c>
      <c r="J4032" s="148" t="s">
        <v>63</v>
      </c>
      <c r="K4032" s="148" t="s">
        <v>64</v>
      </c>
      <c r="L4032" s="148" t="s">
        <v>65</v>
      </c>
      <c r="M4032" s="148" t="s">
        <v>66</v>
      </c>
      <c r="N4032" s="212">
        <v>46190.0</v>
      </c>
      <c r="O4032" s="148" t="s">
        <v>67</v>
      </c>
      <c r="P4032" s="148" t="s">
        <v>68</v>
      </c>
      <c r="Q4032" s="103"/>
      <c r="R4032" s="103"/>
      <c r="S4032" s="103"/>
      <c r="T4032" s="103"/>
      <c r="U4032" s="148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1">
        <v>4027.0</v>
      </c>
      <c r="B4033" s="180" t="s">
        <v>6755</v>
      </c>
      <c r="C4033" s="82" t="str">
        <f>VLOOKUP($B$7:$B$5000,SUM!$L$6:$L$500,1,FALSE)</f>
        <v>#N/A</v>
      </c>
      <c r="D4033" s="190" t="s">
        <v>6723</v>
      </c>
      <c r="E4033" s="198" t="s">
        <v>58</v>
      </c>
      <c r="F4033" s="199" t="s">
        <v>105</v>
      </c>
      <c r="G4033" s="191" t="s">
        <v>1871</v>
      </c>
      <c r="H4033" s="199" t="s">
        <v>6756</v>
      </c>
      <c r="I4033" s="197" t="s">
        <v>6742</v>
      </c>
      <c r="J4033" s="148" t="s">
        <v>63</v>
      </c>
      <c r="K4033" s="148" t="s">
        <v>64</v>
      </c>
      <c r="L4033" s="148" t="s">
        <v>65</v>
      </c>
      <c r="M4033" s="148" t="s">
        <v>66</v>
      </c>
      <c r="N4033" s="212">
        <v>46190.0</v>
      </c>
      <c r="O4033" s="148" t="s">
        <v>67</v>
      </c>
      <c r="P4033" s="148" t="s">
        <v>68</v>
      </c>
      <c r="Q4033" s="103"/>
      <c r="R4033" s="103"/>
      <c r="S4033" s="103"/>
      <c r="T4033" s="103"/>
      <c r="U4033" s="148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1">
        <v>4028.0</v>
      </c>
      <c r="B4034" s="180" t="s">
        <v>6757</v>
      </c>
      <c r="C4034" s="82" t="str">
        <f>VLOOKUP($B$7:$B$5000,SUM!$L$6:$L$500,1,FALSE)</f>
        <v>#N/A</v>
      </c>
      <c r="D4034" s="190" t="s">
        <v>6723</v>
      </c>
      <c r="E4034" s="198" t="s">
        <v>58</v>
      </c>
      <c r="F4034" s="199" t="s">
        <v>105</v>
      </c>
      <c r="G4034" s="191" t="s">
        <v>1871</v>
      </c>
      <c r="H4034" s="199" t="s">
        <v>6758</v>
      </c>
      <c r="I4034" s="197" t="s">
        <v>6742</v>
      </c>
      <c r="J4034" s="148" t="s">
        <v>63</v>
      </c>
      <c r="K4034" s="148" t="s">
        <v>64</v>
      </c>
      <c r="L4034" s="148" t="s">
        <v>65</v>
      </c>
      <c r="M4034" s="148" t="s">
        <v>66</v>
      </c>
      <c r="N4034" s="212">
        <v>46190.0</v>
      </c>
      <c r="O4034" s="148" t="s">
        <v>67</v>
      </c>
      <c r="P4034" s="148" t="s">
        <v>68</v>
      </c>
      <c r="Q4034" s="103"/>
      <c r="R4034" s="103"/>
      <c r="S4034" s="103"/>
      <c r="T4034" s="103"/>
      <c r="U4034" s="148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1">
        <v>4029.0</v>
      </c>
      <c r="B4035" s="180" t="s">
        <v>6759</v>
      </c>
      <c r="C4035" s="82" t="str">
        <f>VLOOKUP($B$7:$B$5000,SUM!$L$6:$L$500,1,FALSE)</f>
        <v>#N/A</v>
      </c>
      <c r="D4035" s="190" t="s">
        <v>6723</v>
      </c>
      <c r="E4035" s="198" t="s">
        <v>58</v>
      </c>
      <c r="F4035" s="199" t="s">
        <v>105</v>
      </c>
      <c r="G4035" s="191" t="s">
        <v>1871</v>
      </c>
      <c r="H4035" s="199" t="s">
        <v>6760</v>
      </c>
      <c r="I4035" s="197" t="s">
        <v>6742</v>
      </c>
      <c r="J4035" s="148" t="s">
        <v>63</v>
      </c>
      <c r="K4035" s="148" t="s">
        <v>64</v>
      </c>
      <c r="L4035" s="148" t="s">
        <v>65</v>
      </c>
      <c r="M4035" s="148" t="s">
        <v>66</v>
      </c>
      <c r="N4035" s="212">
        <v>46190.0</v>
      </c>
      <c r="O4035" s="148" t="s">
        <v>67</v>
      </c>
      <c r="P4035" s="148" t="s">
        <v>68</v>
      </c>
      <c r="Q4035" s="103"/>
      <c r="R4035" s="103"/>
      <c r="S4035" s="103"/>
      <c r="T4035" s="103"/>
      <c r="U4035" s="148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1">
        <v>4030.0</v>
      </c>
      <c r="B4036" s="180" t="s">
        <v>6761</v>
      </c>
      <c r="C4036" s="82" t="str">
        <f>VLOOKUP($B$7:$B$5000,SUM!$L$6:$L$500,1,FALSE)</f>
        <v>#N/A</v>
      </c>
      <c r="D4036" s="190" t="s">
        <v>6723</v>
      </c>
      <c r="E4036" s="198" t="s">
        <v>58</v>
      </c>
      <c r="F4036" s="199" t="s">
        <v>105</v>
      </c>
      <c r="G4036" s="191" t="s">
        <v>1362</v>
      </c>
      <c r="H4036" s="199" t="s">
        <v>6762</v>
      </c>
      <c r="I4036" s="197" t="s">
        <v>6763</v>
      </c>
      <c r="J4036" s="148" t="s">
        <v>63</v>
      </c>
      <c r="K4036" s="148" t="s">
        <v>64</v>
      </c>
      <c r="L4036" s="148" t="s">
        <v>65</v>
      </c>
      <c r="M4036" s="148" t="s">
        <v>66</v>
      </c>
      <c r="N4036" s="212">
        <v>46190.0</v>
      </c>
      <c r="O4036" s="148" t="s">
        <v>67</v>
      </c>
      <c r="P4036" s="148" t="s">
        <v>68</v>
      </c>
      <c r="Q4036" s="103"/>
      <c r="R4036" s="103"/>
      <c r="S4036" s="103"/>
      <c r="T4036" s="103"/>
      <c r="U4036" s="148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1">
        <v>4031.0</v>
      </c>
      <c r="B4037" s="180" t="s">
        <v>6764</v>
      </c>
      <c r="C4037" s="82" t="str">
        <f>VLOOKUP($B$7:$B$5000,SUM!$L$6:$L$500,1,FALSE)</f>
        <v>#N/A</v>
      </c>
      <c r="D4037" s="190" t="s">
        <v>6723</v>
      </c>
      <c r="E4037" s="198" t="s">
        <v>58</v>
      </c>
      <c r="F4037" s="199" t="s">
        <v>105</v>
      </c>
      <c r="G4037" s="191" t="s">
        <v>1362</v>
      </c>
      <c r="H4037" s="199" t="s">
        <v>6765</v>
      </c>
      <c r="I4037" s="197" t="s">
        <v>6763</v>
      </c>
      <c r="J4037" s="148" t="s">
        <v>63</v>
      </c>
      <c r="K4037" s="148" t="s">
        <v>64</v>
      </c>
      <c r="L4037" s="148" t="s">
        <v>65</v>
      </c>
      <c r="M4037" s="148" t="s">
        <v>66</v>
      </c>
      <c r="N4037" s="212">
        <v>46190.0</v>
      </c>
      <c r="O4037" s="148" t="s">
        <v>67</v>
      </c>
      <c r="P4037" s="148" t="s">
        <v>68</v>
      </c>
      <c r="Q4037" s="103"/>
      <c r="R4037" s="103"/>
      <c r="S4037" s="103"/>
      <c r="T4037" s="103"/>
      <c r="U4037" s="148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1">
        <v>4032.0</v>
      </c>
      <c r="B4038" s="180" t="s">
        <v>6766</v>
      </c>
      <c r="C4038" s="82" t="str">
        <f>VLOOKUP($B$7:$B$5000,SUM!$L$6:$L$500,1,FALSE)</f>
        <v>#N/A</v>
      </c>
      <c r="D4038" s="190" t="s">
        <v>6723</v>
      </c>
      <c r="E4038" s="198" t="s">
        <v>58</v>
      </c>
      <c r="F4038" s="199" t="s">
        <v>105</v>
      </c>
      <c r="G4038" s="191" t="s">
        <v>1362</v>
      </c>
      <c r="H4038" s="199" t="s">
        <v>6767</v>
      </c>
      <c r="I4038" s="197" t="s">
        <v>6763</v>
      </c>
      <c r="J4038" s="148" t="s">
        <v>63</v>
      </c>
      <c r="K4038" s="148" t="s">
        <v>64</v>
      </c>
      <c r="L4038" s="148" t="s">
        <v>65</v>
      </c>
      <c r="M4038" s="148" t="s">
        <v>66</v>
      </c>
      <c r="N4038" s="212">
        <v>46190.0</v>
      </c>
      <c r="O4038" s="148" t="s">
        <v>67</v>
      </c>
      <c r="P4038" s="148" t="s">
        <v>68</v>
      </c>
      <c r="Q4038" s="103"/>
      <c r="R4038" s="103"/>
      <c r="S4038" s="103"/>
      <c r="T4038" s="103"/>
      <c r="U4038" s="148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1">
        <v>4033.0</v>
      </c>
      <c r="B4039" s="180" t="s">
        <v>6768</v>
      </c>
      <c r="C4039" s="82" t="str">
        <f>VLOOKUP($B$7:$B$5000,SUM!$L$6:$L$500,1,FALSE)</f>
        <v>#N/A</v>
      </c>
      <c r="D4039" s="190" t="s">
        <v>6723</v>
      </c>
      <c r="E4039" s="198" t="s">
        <v>58</v>
      </c>
      <c r="F4039" s="199" t="s">
        <v>105</v>
      </c>
      <c r="G4039" s="191" t="s">
        <v>1362</v>
      </c>
      <c r="H4039" s="199" t="s">
        <v>6769</v>
      </c>
      <c r="I4039" s="197" t="s">
        <v>6763</v>
      </c>
      <c r="J4039" s="148" t="s">
        <v>63</v>
      </c>
      <c r="K4039" s="148" t="s">
        <v>64</v>
      </c>
      <c r="L4039" s="148" t="s">
        <v>65</v>
      </c>
      <c r="M4039" s="148" t="s">
        <v>66</v>
      </c>
      <c r="N4039" s="212">
        <v>46190.0</v>
      </c>
      <c r="O4039" s="148" t="s">
        <v>67</v>
      </c>
      <c r="P4039" s="148" t="s">
        <v>68</v>
      </c>
      <c r="Q4039" s="103"/>
      <c r="R4039" s="103"/>
      <c r="S4039" s="103"/>
      <c r="T4039" s="103"/>
      <c r="U4039" s="148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1">
        <v>4034.0</v>
      </c>
      <c r="B4040" s="180" t="s">
        <v>6770</v>
      </c>
      <c r="C4040" s="82" t="str">
        <f>VLOOKUP($B$7:$B$5000,SUM!$L$6:$L$500,1,FALSE)</f>
        <v>#N/A</v>
      </c>
      <c r="D4040" s="190" t="s">
        <v>6723</v>
      </c>
      <c r="E4040" s="198" t="s">
        <v>58</v>
      </c>
      <c r="F4040" s="199" t="s">
        <v>105</v>
      </c>
      <c r="G4040" s="191" t="s">
        <v>1362</v>
      </c>
      <c r="H4040" s="199" t="s">
        <v>6771</v>
      </c>
      <c r="I4040" s="197" t="s">
        <v>6763</v>
      </c>
      <c r="J4040" s="148" t="s">
        <v>63</v>
      </c>
      <c r="K4040" s="148" t="s">
        <v>64</v>
      </c>
      <c r="L4040" s="148" t="s">
        <v>65</v>
      </c>
      <c r="M4040" s="148" t="s">
        <v>66</v>
      </c>
      <c r="N4040" s="212">
        <v>46190.0</v>
      </c>
      <c r="O4040" s="148" t="s">
        <v>67</v>
      </c>
      <c r="P4040" s="148" t="s">
        <v>68</v>
      </c>
      <c r="Q4040" s="103"/>
      <c r="R4040" s="103"/>
      <c r="S4040" s="103"/>
      <c r="T4040" s="103"/>
      <c r="U4040" s="148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1">
        <v>4035.0</v>
      </c>
      <c r="B4041" s="180" t="s">
        <v>6772</v>
      </c>
      <c r="C4041" s="82" t="str">
        <f>VLOOKUP($B$7:$B$5000,SUM!$L$6:$L$500,1,FALSE)</f>
        <v>#N/A</v>
      </c>
      <c r="D4041" s="190" t="s">
        <v>6723</v>
      </c>
      <c r="E4041" s="198" t="s">
        <v>58</v>
      </c>
      <c r="F4041" s="199" t="s">
        <v>105</v>
      </c>
      <c r="G4041" s="191" t="s">
        <v>1362</v>
      </c>
      <c r="H4041" s="199" t="s">
        <v>6773</v>
      </c>
      <c r="I4041" s="197" t="s">
        <v>6774</v>
      </c>
      <c r="J4041" s="148" t="s">
        <v>63</v>
      </c>
      <c r="K4041" s="148" t="s">
        <v>64</v>
      </c>
      <c r="L4041" s="148" t="s">
        <v>65</v>
      </c>
      <c r="M4041" s="148" t="s">
        <v>66</v>
      </c>
      <c r="N4041" s="212">
        <v>46190.0</v>
      </c>
      <c r="O4041" s="148" t="s">
        <v>67</v>
      </c>
      <c r="P4041" s="148" t="s">
        <v>68</v>
      </c>
      <c r="Q4041" s="103"/>
      <c r="R4041" s="103"/>
      <c r="S4041" s="103"/>
      <c r="T4041" s="103"/>
      <c r="U4041" s="148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1">
        <v>4036.0</v>
      </c>
      <c r="B4042" s="180" t="s">
        <v>6775</v>
      </c>
      <c r="C4042" s="82" t="str">
        <f>VLOOKUP($B$7:$B$5000,SUM!$L$6:$L$500,1,FALSE)</f>
        <v>#N/A</v>
      </c>
      <c r="D4042" s="190" t="s">
        <v>6723</v>
      </c>
      <c r="E4042" s="198" t="s">
        <v>58</v>
      </c>
      <c r="F4042" s="199" t="s">
        <v>105</v>
      </c>
      <c r="G4042" s="191" t="s">
        <v>1362</v>
      </c>
      <c r="H4042" s="199" t="s">
        <v>6776</v>
      </c>
      <c r="I4042" s="197" t="s">
        <v>6777</v>
      </c>
      <c r="J4042" s="148" t="s">
        <v>63</v>
      </c>
      <c r="K4042" s="148" t="s">
        <v>64</v>
      </c>
      <c r="L4042" s="148" t="s">
        <v>65</v>
      </c>
      <c r="M4042" s="148" t="s">
        <v>66</v>
      </c>
      <c r="N4042" s="212">
        <v>46190.0</v>
      </c>
      <c r="O4042" s="148" t="s">
        <v>67</v>
      </c>
      <c r="P4042" s="148" t="s">
        <v>68</v>
      </c>
      <c r="Q4042" s="103"/>
      <c r="R4042" s="103"/>
      <c r="S4042" s="103"/>
      <c r="T4042" s="103"/>
      <c r="U4042" s="148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1">
        <v>4037.0</v>
      </c>
      <c r="B4043" s="180" t="s">
        <v>6778</v>
      </c>
      <c r="C4043" s="82" t="str">
        <f>VLOOKUP($B$7:$B$5000,SUM!$L$6:$L$500,1,FALSE)</f>
        <v>#N/A</v>
      </c>
      <c r="D4043" s="190" t="s">
        <v>6723</v>
      </c>
      <c r="E4043" s="198" t="s">
        <v>58</v>
      </c>
      <c r="F4043" s="199" t="s">
        <v>105</v>
      </c>
      <c r="G4043" s="191" t="s">
        <v>1362</v>
      </c>
      <c r="H4043" s="199" t="s">
        <v>6779</v>
      </c>
      <c r="I4043" s="197" t="s">
        <v>6780</v>
      </c>
      <c r="J4043" s="148" t="s">
        <v>63</v>
      </c>
      <c r="K4043" s="148" t="s">
        <v>64</v>
      </c>
      <c r="L4043" s="148" t="s">
        <v>65</v>
      </c>
      <c r="M4043" s="148" t="s">
        <v>66</v>
      </c>
      <c r="N4043" s="212">
        <v>46190.0</v>
      </c>
      <c r="O4043" s="148" t="s">
        <v>67</v>
      </c>
      <c r="P4043" s="148" t="s">
        <v>68</v>
      </c>
      <c r="Q4043" s="103"/>
      <c r="R4043" s="103"/>
      <c r="S4043" s="103"/>
      <c r="T4043" s="103"/>
      <c r="U4043" s="148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1">
        <v>4038.0</v>
      </c>
      <c r="B4044" s="180" t="s">
        <v>6781</v>
      </c>
      <c r="C4044" s="82" t="str">
        <f>VLOOKUP($B$7:$B$5000,SUM!$L$6:$L$500,1,FALSE)</f>
        <v>#N/A</v>
      </c>
      <c r="D4044" s="190" t="s">
        <v>6723</v>
      </c>
      <c r="E4044" s="198" t="s">
        <v>58</v>
      </c>
      <c r="F4044" s="199" t="s">
        <v>105</v>
      </c>
      <c r="G4044" s="191" t="s">
        <v>1362</v>
      </c>
      <c r="H4044" s="199" t="s">
        <v>6782</v>
      </c>
      <c r="I4044" s="197" t="s">
        <v>6780</v>
      </c>
      <c r="J4044" s="148" t="s">
        <v>63</v>
      </c>
      <c r="K4044" s="148" t="s">
        <v>64</v>
      </c>
      <c r="L4044" s="148" t="s">
        <v>65</v>
      </c>
      <c r="M4044" s="148" t="s">
        <v>66</v>
      </c>
      <c r="N4044" s="212">
        <v>46190.0</v>
      </c>
      <c r="O4044" s="148" t="s">
        <v>67</v>
      </c>
      <c r="P4044" s="148" t="s">
        <v>68</v>
      </c>
      <c r="Q4044" s="103"/>
      <c r="R4044" s="103"/>
      <c r="S4044" s="103"/>
      <c r="T4044" s="103"/>
      <c r="U4044" s="148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1">
        <v>4039.0</v>
      </c>
      <c r="B4045" s="180" t="s">
        <v>6783</v>
      </c>
      <c r="C4045" s="82" t="str">
        <f>VLOOKUP($B$7:$B$5000,SUM!$L$6:$L$500,1,FALSE)</f>
        <v>#N/A</v>
      </c>
      <c r="D4045" s="190" t="s">
        <v>6723</v>
      </c>
      <c r="E4045" s="198" t="s">
        <v>58</v>
      </c>
      <c r="F4045" s="199" t="s">
        <v>105</v>
      </c>
      <c r="G4045" s="191" t="s">
        <v>1362</v>
      </c>
      <c r="H4045" s="199" t="s">
        <v>6784</v>
      </c>
      <c r="I4045" s="197" t="s">
        <v>6780</v>
      </c>
      <c r="J4045" s="148" t="s">
        <v>63</v>
      </c>
      <c r="K4045" s="148" t="s">
        <v>64</v>
      </c>
      <c r="L4045" s="148" t="s">
        <v>65</v>
      </c>
      <c r="M4045" s="148" t="s">
        <v>66</v>
      </c>
      <c r="N4045" s="212">
        <v>46190.0</v>
      </c>
      <c r="O4045" s="148" t="s">
        <v>67</v>
      </c>
      <c r="P4045" s="148" t="s">
        <v>68</v>
      </c>
      <c r="Q4045" s="103"/>
      <c r="R4045" s="103"/>
      <c r="S4045" s="103"/>
      <c r="T4045" s="103"/>
      <c r="U4045" s="148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1">
        <v>4040.0</v>
      </c>
      <c r="B4046" s="180" t="s">
        <v>6785</v>
      </c>
      <c r="C4046" s="82" t="str">
        <f>VLOOKUP($B$7:$B$5000,SUM!$L$6:$L$500,1,FALSE)</f>
        <v>#N/A</v>
      </c>
      <c r="D4046" s="190" t="s">
        <v>6723</v>
      </c>
      <c r="E4046" s="198" t="s">
        <v>58</v>
      </c>
      <c r="F4046" s="199" t="s">
        <v>105</v>
      </c>
      <c r="G4046" s="191" t="s">
        <v>1362</v>
      </c>
      <c r="H4046" s="199" t="s">
        <v>6786</v>
      </c>
      <c r="I4046" s="197" t="s">
        <v>6780</v>
      </c>
      <c r="J4046" s="148" t="s">
        <v>63</v>
      </c>
      <c r="K4046" s="148" t="s">
        <v>64</v>
      </c>
      <c r="L4046" s="148" t="s">
        <v>65</v>
      </c>
      <c r="M4046" s="148" t="s">
        <v>66</v>
      </c>
      <c r="N4046" s="212">
        <v>46190.0</v>
      </c>
      <c r="O4046" s="148" t="s">
        <v>67</v>
      </c>
      <c r="P4046" s="148" t="s">
        <v>68</v>
      </c>
      <c r="Q4046" s="103"/>
      <c r="R4046" s="103"/>
      <c r="S4046" s="103"/>
      <c r="T4046" s="103"/>
      <c r="U4046" s="148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1">
        <v>4041.0</v>
      </c>
      <c r="B4047" s="180" t="s">
        <v>6787</v>
      </c>
      <c r="C4047" s="82" t="str">
        <f>VLOOKUP($B$7:$B$5000,SUM!$L$6:$L$500,1,FALSE)</f>
        <v>#N/A</v>
      </c>
      <c r="D4047" s="190" t="s">
        <v>6723</v>
      </c>
      <c r="E4047" s="198" t="s">
        <v>58</v>
      </c>
      <c r="F4047" s="199" t="s">
        <v>105</v>
      </c>
      <c r="G4047" s="191" t="s">
        <v>1362</v>
      </c>
      <c r="H4047" s="199" t="s">
        <v>6788</v>
      </c>
      <c r="I4047" s="197" t="s">
        <v>6780</v>
      </c>
      <c r="J4047" s="148" t="s">
        <v>63</v>
      </c>
      <c r="K4047" s="148" t="s">
        <v>64</v>
      </c>
      <c r="L4047" s="148" t="s">
        <v>65</v>
      </c>
      <c r="M4047" s="148" t="s">
        <v>66</v>
      </c>
      <c r="N4047" s="212">
        <v>46190.0</v>
      </c>
      <c r="O4047" s="148" t="s">
        <v>67</v>
      </c>
      <c r="P4047" s="148" t="s">
        <v>68</v>
      </c>
      <c r="Q4047" s="103"/>
      <c r="R4047" s="103"/>
      <c r="S4047" s="103"/>
      <c r="T4047" s="103"/>
      <c r="U4047" s="148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1">
        <v>4042.0</v>
      </c>
      <c r="B4048" s="180" t="s">
        <v>6789</v>
      </c>
      <c r="C4048" s="82" t="str">
        <f>VLOOKUP($B$7:$B$5000,SUM!$L$6:$L$500,1,FALSE)</f>
        <v>#N/A</v>
      </c>
      <c r="D4048" s="190" t="s">
        <v>6723</v>
      </c>
      <c r="E4048" s="198" t="s">
        <v>58</v>
      </c>
      <c r="F4048" s="199" t="s">
        <v>105</v>
      </c>
      <c r="G4048" s="191" t="s">
        <v>1362</v>
      </c>
      <c r="H4048" s="199" t="s">
        <v>6790</v>
      </c>
      <c r="I4048" s="197" t="s">
        <v>6780</v>
      </c>
      <c r="J4048" s="148" t="s">
        <v>63</v>
      </c>
      <c r="K4048" s="148" t="s">
        <v>64</v>
      </c>
      <c r="L4048" s="148" t="s">
        <v>65</v>
      </c>
      <c r="M4048" s="148" t="s">
        <v>66</v>
      </c>
      <c r="N4048" s="212">
        <v>46190.0</v>
      </c>
      <c r="O4048" s="148" t="s">
        <v>67</v>
      </c>
      <c r="P4048" s="148" t="s">
        <v>68</v>
      </c>
      <c r="Q4048" s="103"/>
      <c r="R4048" s="103"/>
      <c r="S4048" s="103"/>
      <c r="T4048" s="103"/>
      <c r="U4048" s="148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1">
        <v>4043.0</v>
      </c>
      <c r="B4049" s="180" t="s">
        <v>6791</v>
      </c>
      <c r="C4049" s="82" t="str">
        <f>VLOOKUP($B$7:$B$5000,SUM!$L$6:$L$500,1,FALSE)</f>
        <v>#N/A</v>
      </c>
      <c r="D4049" s="190" t="s">
        <v>6723</v>
      </c>
      <c r="E4049" s="198" t="s">
        <v>58</v>
      </c>
      <c r="F4049" s="199" t="s">
        <v>105</v>
      </c>
      <c r="G4049" s="191" t="s">
        <v>1362</v>
      </c>
      <c r="H4049" s="199" t="s">
        <v>6792</v>
      </c>
      <c r="I4049" s="197" t="s">
        <v>6780</v>
      </c>
      <c r="J4049" s="148" t="s">
        <v>63</v>
      </c>
      <c r="K4049" s="148" t="s">
        <v>64</v>
      </c>
      <c r="L4049" s="148" t="s">
        <v>65</v>
      </c>
      <c r="M4049" s="148" t="s">
        <v>66</v>
      </c>
      <c r="N4049" s="212">
        <v>46190.0</v>
      </c>
      <c r="O4049" s="148" t="s">
        <v>67</v>
      </c>
      <c r="P4049" s="148" t="s">
        <v>68</v>
      </c>
      <c r="Q4049" s="103"/>
      <c r="R4049" s="103"/>
      <c r="S4049" s="103"/>
      <c r="T4049" s="103"/>
      <c r="U4049" s="148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1">
        <v>4044.0</v>
      </c>
      <c r="B4050" s="180" t="s">
        <v>6793</v>
      </c>
      <c r="C4050" s="82" t="str">
        <f>VLOOKUP($B$7:$B$5000,SUM!$L$6:$L$500,1,FALSE)</f>
        <v>#N/A</v>
      </c>
      <c r="D4050" s="190" t="s">
        <v>6723</v>
      </c>
      <c r="E4050" s="198" t="s">
        <v>58</v>
      </c>
      <c r="F4050" s="199" t="s">
        <v>105</v>
      </c>
      <c r="G4050" s="191" t="s">
        <v>1362</v>
      </c>
      <c r="H4050" s="199" t="s">
        <v>6794</v>
      </c>
      <c r="I4050" s="197" t="s">
        <v>6780</v>
      </c>
      <c r="J4050" s="148" t="s">
        <v>63</v>
      </c>
      <c r="K4050" s="148" t="s">
        <v>64</v>
      </c>
      <c r="L4050" s="148" t="s">
        <v>65</v>
      </c>
      <c r="M4050" s="148" t="s">
        <v>66</v>
      </c>
      <c r="N4050" s="212">
        <v>46190.0</v>
      </c>
      <c r="O4050" s="148" t="s">
        <v>67</v>
      </c>
      <c r="P4050" s="148" t="s">
        <v>68</v>
      </c>
      <c r="Q4050" s="103"/>
      <c r="R4050" s="103"/>
      <c r="S4050" s="103"/>
      <c r="T4050" s="103"/>
      <c r="U4050" s="148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1">
        <v>4045.0</v>
      </c>
      <c r="B4051" s="180" t="s">
        <v>6795</v>
      </c>
      <c r="C4051" s="82" t="str">
        <f>VLOOKUP($B$7:$B$5000,SUM!$L$6:$L$500,1,FALSE)</f>
        <v>#N/A</v>
      </c>
      <c r="D4051" s="190" t="s">
        <v>6723</v>
      </c>
      <c r="E4051" s="198" t="s">
        <v>58</v>
      </c>
      <c r="F4051" s="199" t="s">
        <v>105</v>
      </c>
      <c r="G4051" s="191" t="s">
        <v>1362</v>
      </c>
      <c r="H4051" s="199" t="s">
        <v>6796</v>
      </c>
      <c r="I4051" s="197" t="s">
        <v>6780</v>
      </c>
      <c r="J4051" s="148" t="s">
        <v>63</v>
      </c>
      <c r="K4051" s="148" t="s">
        <v>64</v>
      </c>
      <c r="L4051" s="148" t="s">
        <v>65</v>
      </c>
      <c r="M4051" s="148" t="s">
        <v>66</v>
      </c>
      <c r="N4051" s="212">
        <v>46190.0</v>
      </c>
      <c r="O4051" s="148" t="s">
        <v>67</v>
      </c>
      <c r="P4051" s="148" t="s">
        <v>68</v>
      </c>
      <c r="Q4051" s="103"/>
      <c r="R4051" s="103"/>
      <c r="S4051" s="103"/>
      <c r="T4051" s="103"/>
      <c r="U4051" s="148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1">
        <v>4046.0</v>
      </c>
      <c r="B4052" s="180" t="s">
        <v>6797</v>
      </c>
      <c r="C4052" s="82" t="str">
        <f>VLOOKUP($B$7:$B$5000,SUM!$L$6:$L$500,1,FALSE)</f>
        <v>#N/A</v>
      </c>
      <c r="D4052" s="190" t="s">
        <v>6723</v>
      </c>
      <c r="E4052" s="198" t="s">
        <v>58</v>
      </c>
      <c r="F4052" s="199" t="s">
        <v>105</v>
      </c>
      <c r="G4052" s="191" t="s">
        <v>1362</v>
      </c>
      <c r="H4052" s="199" t="s">
        <v>6798</v>
      </c>
      <c r="I4052" s="197" t="s">
        <v>6739</v>
      </c>
      <c r="J4052" s="148" t="s">
        <v>63</v>
      </c>
      <c r="K4052" s="148" t="s">
        <v>64</v>
      </c>
      <c r="L4052" s="148" t="s">
        <v>65</v>
      </c>
      <c r="M4052" s="148" t="s">
        <v>66</v>
      </c>
      <c r="N4052" s="212">
        <v>46190.0</v>
      </c>
      <c r="O4052" s="148" t="s">
        <v>67</v>
      </c>
      <c r="P4052" s="148" t="s">
        <v>68</v>
      </c>
      <c r="Q4052" s="103"/>
      <c r="R4052" s="103"/>
      <c r="S4052" s="103"/>
      <c r="T4052" s="103"/>
      <c r="U4052" s="148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1">
        <v>4047.0</v>
      </c>
      <c r="B4053" s="180" t="s">
        <v>6799</v>
      </c>
      <c r="C4053" s="82" t="str">
        <f>VLOOKUP($B$7:$B$5000,SUM!$L$6:$L$500,1,FALSE)</f>
        <v>#N/A</v>
      </c>
      <c r="D4053" s="190" t="s">
        <v>6723</v>
      </c>
      <c r="E4053" s="198" t="s">
        <v>58</v>
      </c>
      <c r="F4053" s="199" t="s">
        <v>105</v>
      </c>
      <c r="G4053" s="191" t="s">
        <v>1362</v>
      </c>
      <c r="H4053" s="199" t="s">
        <v>6800</v>
      </c>
      <c r="I4053" s="197" t="s">
        <v>4381</v>
      </c>
      <c r="J4053" s="148" t="s">
        <v>63</v>
      </c>
      <c r="K4053" s="148" t="s">
        <v>64</v>
      </c>
      <c r="L4053" s="148" t="s">
        <v>65</v>
      </c>
      <c r="M4053" s="148" t="s">
        <v>66</v>
      </c>
      <c r="N4053" s="212">
        <v>46190.0</v>
      </c>
      <c r="O4053" s="148" t="s">
        <v>67</v>
      </c>
      <c r="P4053" s="148" t="s">
        <v>68</v>
      </c>
      <c r="Q4053" s="103"/>
      <c r="R4053" s="103"/>
      <c r="S4053" s="103"/>
      <c r="T4053" s="103"/>
      <c r="U4053" s="148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1">
        <v>4048.0</v>
      </c>
      <c r="B4054" s="180" t="s">
        <v>6801</v>
      </c>
      <c r="C4054" s="82" t="str">
        <f>VLOOKUP($B$7:$B$5000,SUM!$L$6:$L$500,1,FALSE)</f>
        <v>#N/A</v>
      </c>
      <c r="D4054" s="190" t="s">
        <v>6723</v>
      </c>
      <c r="E4054" s="198" t="s">
        <v>58</v>
      </c>
      <c r="F4054" s="199" t="s">
        <v>105</v>
      </c>
      <c r="G4054" s="191" t="s">
        <v>1362</v>
      </c>
      <c r="H4054" s="199" t="s">
        <v>6802</v>
      </c>
      <c r="I4054" s="197" t="s">
        <v>4381</v>
      </c>
      <c r="J4054" s="148" t="s">
        <v>63</v>
      </c>
      <c r="K4054" s="148" t="s">
        <v>64</v>
      </c>
      <c r="L4054" s="148" t="s">
        <v>65</v>
      </c>
      <c r="M4054" s="148" t="s">
        <v>66</v>
      </c>
      <c r="N4054" s="212">
        <v>46190.0</v>
      </c>
      <c r="O4054" s="148" t="s">
        <v>67</v>
      </c>
      <c r="P4054" s="148" t="s">
        <v>68</v>
      </c>
      <c r="Q4054" s="103"/>
      <c r="R4054" s="103"/>
      <c r="S4054" s="103"/>
      <c r="T4054" s="103"/>
      <c r="U4054" s="148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1">
        <v>4049.0</v>
      </c>
      <c r="B4055" s="180" t="s">
        <v>6803</v>
      </c>
      <c r="C4055" s="82" t="str">
        <f>VLOOKUP($B$7:$B$5000,SUM!$L$6:$L$500,1,FALSE)</f>
        <v>#N/A</v>
      </c>
      <c r="D4055" s="190" t="s">
        <v>6723</v>
      </c>
      <c r="E4055" s="198" t="s">
        <v>58</v>
      </c>
      <c r="F4055" s="199" t="s">
        <v>105</v>
      </c>
      <c r="G4055" s="191" t="s">
        <v>1362</v>
      </c>
      <c r="H4055" s="199" t="s">
        <v>6804</v>
      </c>
      <c r="I4055" s="197" t="s">
        <v>6739</v>
      </c>
      <c r="J4055" s="148" t="s">
        <v>63</v>
      </c>
      <c r="K4055" s="148" t="s">
        <v>64</v>
      </c>
      <c r="L4055" s="148" t="s">
        <v>65</v>
      </c>
      <c r="M4055" s="148" t="s">
        <v>66</v>
      </c>
      <c r="N4055" s="212">
        <v>46190.0</v>
      </c>
      <c r="O4055" s="148" t="s">
        <v>67</v>
      </c>
      <c r="P4055" s="148" t="s">
        <v>68</v>
      </c>
      <c r="Q4055" s="103"/>
      <c r="R4055" s="103"/>
      <c r="S4055" s="103"/>
      <c r="T4055" s="103"/>
      <c r="U4055" s="148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1">
        <v>4050.0</v>
      </c>
      <c r="B4056" s="180" t="s">
        <v>6805</v>
      </c>
      <c r="C4056" s="82" t="str">
        <f>VLOOKUP($B$7:$B$5000,SUM!$L$6:$L$500,1,FALSE)</f>
        <v>#N/A</v>
      </c>
      <c r="D4056" s="190" t="s">
        <v>6723</v>
      </c>
      <c r="E4056" s="198" t="s">
        <v>58</v>
      </c>
      <c r="F4056" s="199" t="s">
        <v>105</v>
      </c>
      <c r="G4056" s="191" t="s">
        <v>1362</v>
      </c>
      <c r="H4056" s="199" t="s">
        <v>6806</v>
      </c>
      <c r="I4056" s="197" t="s">
        <v>4381</v>
      </c>
      <c r="J4056" s="148" t="s">
        <v>63</v>
      </c>
      <c r="K4056" s="148" t="s">
        <v>64</v>
      </c>
      <c r="L4056" s="148" t="s">
        <v>65</v>
      </c>
      <c r="M4056" s="148" t="s">
        <v>66</v>
      </c>
      <c r="N4056" s="212">
        <v>46190.0</v>
      </c>
      <c r="O4056" s="148" t="s">
        <v>67</v>
      </c>
      <c r="P4056" s="148" t="s">
        <v>68</v>
      </c>
      <c r="Q4056" s="103"/>
      <c r="R4056" s="103"/>
      <c r="S4056" s="103"/>
      <c r="T4056" s="103"/>
      <c r="U4056" s="148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1">
        <v>4051.0</v>
      </c>
      <c r="B4057" s="180" t="s">
        <v>6807</v>
      </c>
      <c r="C4057" s="82" t="str">
        <f>VLOOKUP($B$7:$B$5000,SUM!$L$6:$L$500,1,FALSE)</f>
        <v>#N/A</v>
      </c>
      <c r="D4057" s="190" t="s">
        <v>6723</v>
      </c>
      <c r="E4057" s="198" t="s">
        <v>58</v>
      </c>
      <c r="F4057" s="199" t="s">
        <v>105</v>
      </c>
      <c r="G4057" s="191" t="s">
        <v>1362</v>
      </c>
      <c r="H4057" s="199" t="s">
        <v>6808</v>
      </c>
      <c r="I4057" s="197" t="s">
        <v>4381</v>
      </c>
      <c r="J4057" s="148" t="s">
        <v>63</v>
      </c>
      <c r="K4057" s="148" t="s">
        <v>64</v>
      </c>
      <c r="L4057" s="148" t="s">
        <v>65</v>
      </c>
      <c r="M4057" s="148" t="s">
        <v>66</v>
      </c>
      <c r="N4057" s="212">
        <v>46190.0</v>
      </c>
      <c r="O4057" s="148" t="s">
        <v>67</v>
      </c>
      <c r="P4057" s="148" t="s">
        <v>68</v>
      </c>
      <c r="Q4057" s="103"/>
      <c r="R4057" s="103"/>
      <c r="S4057" s="103"/>
      <c r="T4057" s="103"/>
      <c r="U4057" s="148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1">
        <v>4052.0</v>
      </c>
      <c r="B4058" s="180" t="s">
        <v>6809</v>
      </c>
      <c r="C4058" s="82" t="str">
        <f>VLOOKUP($B$7:$B$5000,SUM!$L$6:$L$500,1,FALSE)</f>
        <v>#N/A</v>
      </c>
      <c r="D4058" s="190" t="s">
        <v>6723</v>
      </c>
      <c r="E4058" s="198" t="s">
        <v>58</v>
      </c>
      <c r="F4058" s="199" t="s">
        <v>105</v>
      </c>
      <c r="G4058" s="191" t="s">
        <v>1362</v>
      </c>
      <c r="H4058" s="199" t="s">
        <v>6810</v>
      </c>
      <c r="I4058" s="197" t="s">
        <v>6780</v>
      </c>
      <c r="J4058" s="148" t="s">
        <v>63</v>
      </c>
      <c r="K4058" s="148" t="s">
        <v>64</v>
      </c>
      <c r="L4058" s="148" t="s">
        <v>65</v>
      </c>
      <c r="M4058" s="148" t="s">
        <v>66</v>
      </c>
      <c r="N4058" s="212">
        <v>46190.0</v>
      </c>
      <c r="O4058" s="148" t="s">
        <v>67</v>
      </c>
      <c r="P4058" s="148" t="s">
        <v>68</v>
      </c>
      <c r="Q4058" s="103"/>
      <c r="R4058" s="103"/>
      <c r="S4058" s="103"/>
      <c r="T4058" s="103"/>
      <c r="U4058" s="148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1">
        <v>4053.0</v>
      </c>
      <c r="B4059" s="180" t="s">
        <v>6811</v>
      </c>
      <c r="C4059" s="82" t="str">
        <f>VLOOKUP($B$7:$B$5000,SUM!$L$6:$L$500,1,FALSE)</f>
        <v>#N/A</v>
      </c>
      <c r="D4059" s="190" t="s">
        <v>6723</v>
      </c>
      <c r="E4059" s="198" t="s">
        <v>58</v>
      </c>
      <c r="F4059" s="199" t="s">
        <v>105</v>
      </c>
      <c r="G4059" s="191" t="s">
        <v>1362</v>
      </c>
      <c r="H4059" s="199" t="s">
        <v>6812</v>
      </c>
      <c r="I4059" s="197" t="s">
        <v>6780</v>
      </c>
      <c r="J4059" s="148" t="s">
        <v>63</v>
      </c>
      <c r="K4059" s="148" t="s">
        <v>64</v>
      </c>
      <c r="L4059" s="148" t="s">
        <v>65</v>
      </c>
      <c r="M4059" s="148" t="s">
        <v>66</v>
      </c>
      <c r="N4059" s="212">
        <v>46190.0</v>
      </c>
      <c r="O4059" s="148" t="s">
        <v>67</v>
      </c>
      <c r="P4059" s="148" t="s">
        <v>68</v>
      </c>
      <c r="Q4059" s="103"/>
      <c r="R4059" s="103"/>
      <c r="S4059" s="103"/>
      <c r="T4059" s="103"/>
      <c r="U4059" s="148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1">
        <v>4054.0</v>
      </c>
      <c r="B4060" s="180" t="s">
        <v>6813</v>
      </c>
      <c r="C4060" s="82" t="str">
        <f>VLOOKUP($B$7:$B$5000,SUM!$L$6:$L$500,1,FALSE)</f>
        <v>#N/A</v>
      </c>
      <c r="D4060" s="190" t="s">
        <v>6723</v>
      </c>
      <c r="E4060" s="198" t="s">
        <v>58</v>
      </c>
      <c r="F4060" s="199" t="s">
        <v>105</v>
      </c>
      <c r="G4060" s="191" t="s">
        <v>1362</v>
      </c>
      <c r="H4060" s="199" t="s">
        <v>6814</v>
      </c>
      <c r="I4060" s="197" t="s">
        <v>5619</v>
      </c>
      <c r="J4060" s="148" t="s">
        <v>63</v>
      </c>
      <c r="K4060" s="148" t="s">
        <v>64</v>
      </c>
      <c r="L4060" s="148" t="s">
        <v>65</v>
      </c>
      <c r="M4060" s="148" t="s">
        <v>66</v>
      </c>
      <c r="N4060" s="212">
        <v>46190.0</v>
      </c>
      <c r="O4060" s="148" t="s">
        <v>67</v>
      </c>
      <c r="P4060" s="148" t="s">
        <v>68</v>
      </c>
      <c r="Q4060" s="103"/>
      <c r="R4060" s="103"/>
      <c r="S4060" s="103"/>
      <c r="T4060" s="103"/>
      <c r="U4060" s="148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1">
        <v>4055.0</v>
      </c>
      <c r="B4061" s="180" t="s">
        <v>6815</v>
      </c>
      <c r="C4061" s="82" t="str">
        <f>VLOOKUP($B$7:$B$5000,SUM!$L$6:$L$500,1,FALSE)</f>
        <v>#N/A</v>
      </c>
      <c r="D4061" s="190" t="s">
        <v>6723</v>
      </c>
      <c r="E4061" s="198" t="s">
        <v>58</v>
      </c>
      <c r="F4061" s="199" t="s">
        <v>105</v>
      </c>
      <c r="G4061" s="191" t="s">
        <v>1871</v>
      </c>
      <c r="H4061" s="199" t="s">
        <v>6724</v>
      </c>
      <c r="I4061" s="197" t="s">
        <v>6816</v>
      </c>
      <c r="J4061" s="148" t="s">
        <v>108</v>
      </c>
      <c r="K4061" s="148" t="s">
        <v>64</v>
      </c>
      <c r="L4061" s="148" t="s">
        <v>65</v>
      </c>
      <c r="M4061" s="148" t="s">
        <v>66</v>
      </c>
      <c r="N4061" s="212">
        <v>46190.0</v>
      </c>
      <c r="O4061" s="148" t="s">
        <v>67</v>
      </c>
      <c r="P4061" s="148" t="s">
        <v>68</v>
      </c>
      <c r="Q4061" s="103"/>
      <c r="R4061" s="103"/>
      <c r="S4061" s="103"/>
      <c r="T4061" s="103"/>
      <c r="U4061" s="148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1">
        <v>4056.0</v>
      </c>
      <c r="B4062" s="180" t="s">
        <v>6817</v>
      </c>
      <c r="C4062" s="82" t="str">
        <f>VLOOKUP($B$7:$B$5000,SUM!$L$6:$L$500,1,FALSE)</f>
        <v>#N/A</v>
      </c>
      <c r="D4062" s="190" t="s">
        <v>6723</v>
      </c>
      <c r="E4062" s="198" t="s">
        <v>58</v>
      </c>
      <c r="F4062" s="199" t="s">
        <v>105</v>
      </c>
      <c r="G4062" s="191" t="s">
        <v>1871</v>
      </c>
      <c r="H4062" s="199" t="s">
        <v>6726</v>
      </c>
      <c r="I4062" s="197" t="s">
        <v>6816</v>
      </c>
      <c r="J4062" s="148" t="s">
        <v>108</v>
      </c>
      <c r="K4062" s="148" t="s">
        <v>64</v>
      </c>
      <c r="L4062" s="148" t="s">
        <v>65</v>
      </c>
      <c r="M4062" s="148" t="s">
        <v>66</v>
      </c>
      <c r="N4062" s="212">
        <v>46190.0</v>
      </c>
      <c r="O4062" s="148" t="s">
        <v>67</v>
      </c>
      <c r="P4062" s="148" t="s">
        <v>68</v>
      </c>
      <c r="Q4062" s="103"/>
      <c r="R4062" s="103"/>
      <c r="S4062" s="103"/>
      <c r="T4062" s="103"/>
      <c r="U4062" s="148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1">
        <v>4057.0</v>
      </c>
      <c r="B4063" s="180" t="s">
        <v>6818</v>
      </c>
      <c r="C4063" s="82" t="str">
        <f>VLOOKUP($B$7:$B$5000,SUM!$L$6:$L$500,1,FALSE)</f>
        <v>#N/A</v>
      </c>
      <c r="D4063" s="190" t="s">
        <v>6723</v>
      </c>
      <c r="E4063" s="198" t="s">
        <v>58</v>
      </c>
      <c r="F4063" s="199" t="s">
        <v>105</v>
      </c>
      <c r="G4063" s="191" t="s">
        <v>1871</v>
      </c>
      <c r="H4063" s="199" t="s">
        <v>6728</v>
      </c>
      <c r="I4063" s="197" t="s">
        <v>6819</v>
      </c>
      <c r="J4063" s="148" t="s">
        <v>108</v>
      </c>
      <c r="K4063" s="148" t="s">
        <v>64</v>
      </c>
      <c r="L4063" s="148" t="s">
        <v>65</v>
      </c>
      <c r="M4063" s="148" t="s">
        <v>66</v>
      </c>
      <c r="N4063" s="212">
        <v>46190.0</v>
      </c>
      <c r="O4063" s="148" t="s">
        <v>67</v>
      </c>
      <c r="P4063" s="148" t="s">
        <v>68</v>
      </c>
      <c r="Q4063" s="103"/>
      <c r="R4063" s="103"/>
      <c r="S4063" s="103"/>
      <c r="T4063" s="103"/>
      <c r="U4063" s="148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1">
        <v>4058.0</v>
      </c>
      <c r="B4064" s="180" t="s">
        <v>6820</v>
      </c>
      <c r="C4064" s="82" t="str">
        <f>VLOOKUP($B$7:$B$5000,SUM!$L$6:$L$500,1,FALSE)</f>
        <v>#N/A</v>
      </c>
      <c r="D4064" s="190" t="s">
        <v>6723</v>
      </c>
      <c r="E4064" s="198" t="s">
        <v>58</v>
      </c>
      <c r="F4064" s="199" t="s">
        <v>105</v>
      </c>
      <c r="G4064" s="191" t="s">
        <v>1871</v>
      </c>
      <c r="H4064" s="199" t="s">
        <v>6731</v>
      </c>
      <c r="I4064" s="197" t="s">
        <v>6821</v>
      </c>
      <c r="J4064" s="148" t="s">
        <v>108</v>
      </c>
      <c r="K4064" s="148" t="s">
        <v>64</v>
      </c>
      <c r="L4064" s="148" t="s">
        <v>65</v>
      </c>
      <c r="M4064" s="148" t="s">
        <v>66</v>
      </c>
      <c r="N4064" s="212">
        <v>46190.0</v>
      </c>
      <c r="O4064" s="148" t="s">
        <v>67</v>
      </c>
      <c r="P4064" s="148" t="s">
        <v>68</v>
      </c>
      <c r="Q4064" s="103"/>
      <c r="R4064" s="103"/>
      <c r="S4064" s="103"/>
      <c r="T4064" s="103"/>
      <c r="U4064" s="148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1">
        <v>4059.0</v>
      </c>
      <c r="B4065" s="180" t="s">
        <v>6822</v>
      </c>
      <c r="C4065" s="82" t="str">
        <f>VLOOKUP($B$7:$B$5000,SUM!$L$6:$L$500,1,FALSE)</f>
        <v>#N/A</v>
      </c>
      <c r="D4065" s="190" t="s">
        <v>6723</v>
      </c>
      <c r="E4065" s="198" t="s">
        <v>58</v>
      </c>
      <c r="F4065" s="199" t="s">
        <v>105</v>
      </c>
      <c r="G4065" s="191" t="s">
        <v>1871</v>
      </c>
      <c r="H4065" s="199" t="s">
        <v>6734</v>
      </c>
      <c r="I4065" s="197" t="s">
        <v>6816</v>
      </c>
      <c r="J4065" s="148" t="s">
        <v>108</v>
      </c>
      <c r="K4065" s="148" t="s">
        <v>64</v>
      </c>
      <c r="L4065" s="148" t="s">
        <v>65</v>
      </c>
      <c r="M4065" s="148" t="s">
        <v>66</v>
      </c>
      <c r="N4065" s="212">
        <v>46190.0</v>
      </c>
      <c r="O4065" s="148" t="s">
        <v>67</v>
      </c>
      <c r="P4065" s="148" t="s">
        <v>68</v>
      </c>
      <c r="Q4065" s="103"/>
      <c r="R4065" s="103"/>
      <c r="S4065" s="103"/>
      <c r="T4065" s="103"/>
      <c r="U4065" s="148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1">
        <v>4060.0</v>
      </c>
      <c r="B4066" s="180" t="s">
        <v>6823</v>
      </c>
      <c r="C4066" s="82" t="str">
        <f>VLOOKUP($B$7:$B$5000,SUM!$L$6:$L$500,1,FALSE)</f>
        <v>#N/A</v>
      </c>
      <c r="D4066" s="190" t="s">
        <v>6723</v>
      </c>
      <c r="E4066" s="198" t="s">
        <v>58</v>
      </c>
      <c r="F4066" s="199" t="s">
        <v>105</v>
      </c>
      <c r="G4066" s="191" t="s">
        <v>1871</v>
      </c>
      <c r="H4066" s="199" t="s">
        <v>6736</v>
      </c>
      <c r="I4066" s="197" t="s">
        <v>6816</v>
      </c>
      <c r="J4066" s="148" t="s">
        <v>108</v>
      </c>
      <c r="K4066" s="148" t="s">
        <v>64</v>
      </c>
      <c r="L4066" s="148" t="s">
        <v>65</v>
      </c>
      <c r="M4066" s="148" t="s">
        <v>66</v>
      </c>
      <c r="N4066" s="212">
        <v>46190.0</v>
      </c>
      <c r="O4066" s="148" t="s">
        <v>67</v>
      </c>
      <c r="P4066" s="148" t="s">
        <v>68</v>
      </c>
      <c r="Q4066" s="103"/>
      <c r="R4066" s="103"/>
      <c r="S4066" s="103"/>
      <c r="T4066" s="103"/>
      <c r="U4066" s="148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1">
        <v>4061.0</v>
      </c>
      <c r="B4067" s="180" t="s">
        <v>6824</v>
      </c>
      <c r="C4067" s="82" t="str">
        <f>VLOOKUP($B$7:$B$5000,SUM!$L$6:$L$500,1,FALSE)</f>
        <v>#N/A</v>
      </c>
      <c r="D4067" s="190" t="s">
        <v>6723</v>
      </c>
      <c r="E4067" s="198" t="s">
        <v>58</v>
      </c>
      <c r="F4067" s="199" t="s">
        <v>105</v>
      </c>
      <c r="G4067" s="191" t="s">
        <v>1871</v>
      </c>
      <c r="H4067" s="199" t="s">
        <v>6738</v>
      </c>
      <c r="I4067" s="197" t="s">
        <v>6825</v>
      </c>
      <c r="J4067" s="148" t="s">
        <v>108</v>
      </c>
      <c r="K4067" s="148" t="s">
        <v>64</v>
      </c>
      <c r="L4067" s="148" t="s">
        <v>65</v>
      </c>
      <c r="M4067" s="148" t="s">
        <v>66</v>
      </c>
      <c r="N4067" s="212">
        <v>46190.0</v>
      </c>
      <c r="O4067" s="148" t="s">
        <v>67</v>
      </c>
      <c r="P4067" s="148" t="s">
        <v>68</v>
      </c>
      <c r="Q4067" s="103"/>
      <c r="R4067" s="103"/>
      <c r="S4067" s="103"/>
      <c r="T4067" s="103"/>
      <c r="U4067" s="148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1">
        <v>4062.0</v>
      </c>
      <c r="B4068" s="180" t="s">
        <v>6826</v>
      </c>
      <c r="C4068" s="82" t="str">
        <f>VLOOKUP($B$7:$B$5000,SUM!$L$6:$L$500,1,FALSE)</f>
        <v>#N/A</v>
      </c>
      <c r="D4068" s="190" t="s">
        <v>6723</v>
      </c>
      <c r="E4068" s="198" t="s">
        <v>58</v>
      </c>
      <c r="F4068" s="199" t="s">
        <v>105</v>
      </c>
      <c r="G4068" s="191" t="s">
        <v>1871</v>
      </c>
      <c r="H4068" s="199" t="s">
        <v>6741</v>
      </c>
      <c r="I4068" s="197" t="s">
        <v>6827</v>
      </c>
      <c r="J4068" s="148" t="s">
        <v>108</v>
      </c>
      <c r="K4068" s="148" t="s">
        <v>64</v>
      </c>
      <c r="L4068" s="148" t="s">
        <v>65</v>
      </c>
      <c r="M4068" s="148" t="s">
        <v>66</v>
      </c>
      <c r="N4068" s="212">
        <v>46190.0</v>
      </c>
      <c r="O4068" s="148" t="s">
        <v>67</v>
      </c>
      <c r="P4068" s="148" t="s">
        <v>68</v>
      </c>
      <c r="Q4068" s="103"/>
      <c r="R4068" s="103"/>
      <c r="S4068" s="103"/>
      <c r="T4068" s="103"/>
      <c r="U4068" s="148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1">
        <v>4063.0</v>
      </c>
      <c r="B4069" s="180" t="s">
        <v>6828</v>
      </c>
      <c r="C4069" s="82" t="str">
        <f>VLOOKUP($B$7:$B$5000,SUM!$L$6:$L$500,1,FALSE)</f>
        <v>#N/A</v>
      </c>
      <c r="D4069" s="190" t="s">
        <v>6723</v>
      </c>
      <c r="E4069" s="198" t="s">
        <v>58</v>
      </c>
      <c r="F4069" s="199" t="s">
        <v>105</v>
      </c>
      <c r="G4069" s="191" t="s">
        <v>1871</v>
      </c>
      <c r="H4069" s="199" t="s">
        <v>6744</v>
      </c>
      <c r="I4069" s="197" t="s">
        <v>6827</v>
      </c>
      <c r="J4069" s="148" t="s">
        <v>108</v>
      </c>
      <c r="K4069" s="148" t="s">
        <v>64</v>
      </c>
      <c r="L4069" s="148" t="s">
        <v>65</v>
      </c>
      <c r="M4069" s="148" t="s">
        <v>66</v>
      </c>
      <c r="N4069" s="212">
        <v>46190.0</v>
      </c>
      <c r="O4069" s="148" t="s">
        <v>67</v>
      </c>
      <c r="P4069" s="148" t="s">
        <v>68</v>
      </c>
      <c r="Q4069" s="103"/>
      <c r="R4069" s="103"/>
      <c r="S4069" s="103"/>
      <c r="T4069" s="103"/>
      <c r="U4069" s="148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1">
        <v>4064.0</v>
      </c>
      <c r="B4070" s="180" t="s">
        <v>6829</v>
      </c>
      <c r="C4070" s="82" t="str">
        <f>VLOOKUP($B$7:$B$5000,SUM!$L$6:$L$500,1,FALSE)</f>
        <v>#N/A</v>
      </c>
      <c r="D4070" s="190" t="s">
        <v>6723</v>
      </c>
      <c r="E4070" s="198" t="s">
        <v>58</v>
      </c>
      <c r="F4070" s="199" t="s">
        <v>105</v>
      </c>
      <c r="G4070" s="191" t="s">
        <v>1871</v>
      </c>
      <c r="H4070" s="199" t="s">
        <v>6746</v>
      </c>
      <c r="I4070" s="197" t="s">
        <v>6827</v>
      </c>
      <c r="J4070" s="148" t="s">
        <v>108</v>
      </c>
      <c r="K4070" s="148" t="s">
        <v>64</v>
      </c>
      <c r="L4070" s="148" t="s">
        <v>65</v>
      </c>
      <c r="M4070" s="148" t="s">
        <v>66</v>
      </c>
      <c r="N4070" s="212">
        <v>46190.0</v>
      </c>
      <c r="O4070" s="148" t="s">
        <v>67</v>
      </c>
      <c r="P4070" s="148" t="s">
        <v>68</v>
      </c>
      <c r="Q4070" s="103"/>
      <c r="R4070" s="103"/>
      <c r="S4070" s="103"/>
      <c r="T4070" s="103"/>
      <c r="U4070" s="148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1">
        <v>4065.0</v>
      </c>
      <c r="B4071" s="180" t="s">
        <v>6830</v>
      </c>
      <c r="C4071" s="82" t="str">
        <f>VLOOKUP($B$7:$B$5000,SUM!$L$6:$L$500,1,FALSE)</f>
        <v>#N/A</v>
      </c>
      <c r="D4071" s="190" t="s">
        <v>6723</v>
      </c>
      <c r="E4071" s="198" t="s">
        <v>58</v>
      </c>
      <c r="F4071" s="199" t="s">
        <v>105</v>
      </c>
      <c r="G4071" s="191" t="s">
        <v>1871</v>
      </c>
      <c r="H4071" s="199" t="s">
        <v>6748</v>
      </c>
      <c r="I4071" s="197" t="s">
        <v>6831</v>
      </c>
      <c r="J4071" s="148" t="s">
        <v>108</v>
      </c>
      <c r="K4071" s="148" t="s">
        <v>64</v>
      </c>
      <c r="L4071" s="148" t="s">
        <v>65</v>
      </c>
      <c r="M4071" s="148" t="s">
        <v>66</v>
      </c>
      <c r="N4071" s="212">
        <v>46190.0</v>
      </c>
      <c r="O4071" s="148" t="s">
        <v>67</v>
      </c>
      <c r="P4071" s="148" t="s">
        <v>68</v>
      </c>
      <c r="Q4071" s="103"/>
      <c r="R4071" s="103"/>
      <c r="S4071" s="103"/>
      <c r="T4071" s="103"/>
      <c r="U4071" s="148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1">
        <v>4066.0</v>
      </c>
      <c r="B4072" s="180" t="s">
        <v>6832</v>
      </c>
      <c r="C4072" s="82" t="str">
        <f>VLOOKUP($B$7:$B$5000,SUM!$L$6:$L$500,1,FALSE)</f>
        <v>#N/A</v>
      </c>
      <c r="D4072" s="190" t="s">
        <v>6723</v>
      </c>
      <c r="E4072" s="198" t="s">
        <v>58</v>
      </c>
      <c r="F4072" s="199" t="s">
        <v>105</v>
      </c>
      <c r="G4072" s="191" t="s">
        <v>1871</v>
      </c>
      <c r="H4072" s="199" t="s">
        <v>6750</v>
      </c>
      <c r="I4072" s="197" t="s">
        <v>6831</v>
      </c>
      <c r="J4072" s="148" t="s">
        <v>108</v>
      </c>
      <c r="K4072" s="148" t="s">
        <v>64</v>
      </c>
      <c r="L4072" s="148" t="s">
        <v>65</v>
      </c>
      <c r="M4072" s="148" t="s">
        <v>66</v>
      </c>
      <c r="N4072" s="212">
        <v>46190.0</v>
      </c>
      <c r="O4072" s="148" t="s">
        <v>67</v>
      </c>
      <c r="P4072" s="148" t="s">
        <v>68</v>
      </c>
      <c r="Q4072" s="103"/>
      <c r="R4072" s="103"/>
      <c r="S4072" s="103"/>
      <c r="T4072" s="103"/>
      <c r="U4072" s="148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1">
        <v>4067.0</v>
      </c>
      <c r="B4073" s="180" t="s">
        <v>6833</v>
      </c>
      <c r="C4073" s="82" t="str">
        <f>VLOOKUP($B$7:$B$5000,SUM!$L$6:$L$500,1,FALSE)</f>
        <v>#N/A</v>
      </c>
      <c r="D4073" s="190" t="s">
        <v>6723</v>
      </c>
      <c r="E4073" s="198" t="s">
        <v>58</v>
      </c>
      <c r="F4073" s="199" t="s">
        <v>105</v>
      </c>
      <c r="G4073" s="191" t="s">
        <v>1871</v>
      </c>
      <c r="H4073" s="199" t="s">
        <v>6752</v>
      </c>
      <c r="I4073" s="197" t="s">
        <v>6827</v>
      </c>
      <c r="J4073" s="148" t="s">
        <v>108</v>
      </c>
      <c r="K4073" s="148" t="s">
        <v>64</v>
      </c>
      <c r="L4073" s="148" t="s">
        <v>65</v>
      </c>
      <c r="M4073" s="148" t="s">
        <v>66</v>
      </c>
      <c r="N4073" s="212">
        <v>46190.0</v>
      </c>
      <c r="O4073" s="148" t="s">
        <v>67</v>
      </c>
      <c r="P4073" s="148" t="s">
        <v>68</v>
      </c>
      <c r="Q4073" s="103"/>
      <c r="R4073" s="103"/>
      <c r="S4073" s="103"/>
      <c r="T4073" s="103"/>
      <c r="U4073" s="148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1">
        <v>4068.0</v>
      </c>
      <c r="B4074" s="180" t="s">
        <v>6834</v>
      </c>
      <c r="C4074" s="82" t="str">
        <f>VLOOKUP($B$7:$B$5000,SUM!$L$6:$L$500,1,FALSE)</f>
        <v>#N/A</v>
      </c>
      <c r="D4074" s="190" t="s">
        <v>6723</v>
      </c>
      <c r="E4074" s="198" t="s">
        <v>58</v>
      </c>
      <c r="F4074" s="199" t="s">
        <v>105</v>
      </c>
      <c r="G4074" s="191" t="s">
        <v>1871</v>
      </c>
      <c r="H4074" s="199" t="s">
        <v>6754</v>
      </c>
      <c r="I4074" s="197" t="s">
        <v>6827</v>
      </c>
      <c r="J4074" s="148" t="s">
        <v>108</v>
      </c>
      <c r="K4074" s="148" t="s">
        <v>64</v>
      </c>
      <c r="L4074" s="148" t="s">
        <v>65</v>
      </c>
      <c r="M4074" s="148" t="s">
        <v>66</v>
      </c>
      <c r="N4074" s="212">
        <v>46190.0</v>
      </c>
      <c r="O4074" s="148" t="s">
        <v>67</v>
      </c>
      <c r="P4074" s="148" t="s">
        <v>68</v>
      </c>
      <c r="Q4074" s="103"/>
      <c r="R4074" s="103"/>
      <c r="S4074" s="103"/>
      <c r="T4074" s="103"/>
      <c r="U4074" s="148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1">
        <v>4069.0</v>
      </c>
      <c r="B4075" s="180" t="s">
        <v>6835</v>
      </c>
      <c r="C4075" s="82" t="str">
        <f>VLOOKUP($B$7:$B$5000,SUM!$L$6:$L$500,1,FALSE)</f>
        <v>#N/A</v>
      </c>
      <c r="D4075" s="190" t="s">
        <v>6723</v>
      </c>
      <c r="E4075" s="198" t="s">
        <v>58</v>
      </c>
      <c r="F4075" s="199" t="s">
        <v>105</v>
      </c>
      <c r="G4075" s="191" t="s">
        <v>1871</v>
      </c>
      <c r="H4075" s="199" t="s">
        <v>6756</v>
      </c>
      <c r="I4075" s="197" t="s">
        <v>6827</v>
      </c>
      <c r="J4075" s="148" t="s">
        <v>108</v>
      </c>
      <c r="K4075" s="148" t="s">
        <v>64</v>
      </c>
      <c r="L4075" s="148" t="s">
        <v>65</v>
      </c>
      <c r="M4075" s="148" t="s">
        <v>66</v>
      </c>
      <c r="N4075" s="212">
        <v>46190.0</v>
      </c>
      <c r="O4075" s="148" t="s">
        <v>67</v>
      </c>
      <c r="P4075" s="148" t="s">
        <v>68</v>
      </c>
      <c r="Q4075" s="103"/>
      <c r="R4075" s="103"/>
      <c r="S4075" s="103"/>
      <c r="T4075" s="103"/>
      <c r="U4075" s="148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1">
        <v>4070.0</v>
      </c>
      <c r="B4076" s="180" t="s">
        <v>6836</v>
      </c>
      <c r="C4076" s="82" t="str">
        <f>VLOOKUP($B$7:$B$5000,SUM!$L$6:$L$500,1,FALSE)</f>
        <v>#N/A</v>
      </c>
      <c r="D4076" s="190" t="s">
        <v>6723</v>
      </c>
      <c r="E4076" s="198" t="s">
        <v>58</v>
      </c>
      <c r="F4076" s="199" t="s">
        <v>105</v>
      </c>
      <c r="G4076" s="191" t="s">
        <v>1871</v>
      </c>
      <c r="H4076" s="199" t="s">
        <v>6758</v>
      </c>
      <c r="I4076" s="197" t="s">
        <v>6827</v>
      </c>
      <c r="J4076" s="148" t="s">
        <v>108</v>
      </c>
      <c r="K4076" s="148" t="s">
        <v>64</v>
      </c>
      <c r="L4076" s="148" t="s">
        <v>65</v>
      </c>
      <c r="M4076" s="148" t="s">
        <v>66</v>
      </c>
      <c r="N4076" s="212">
        <v>46190.0</v>
      </c>
      <c r="O4076" s="148" t="s">
        <v>67</v>
      </c>
      <c r="P4076" s="148" t="s">
        <v>68</v>
      </c>
      <c r="Q4076" s="103"/>
      <c r="R4076" s="103"/>
      <c r="S4076" s="103"/>
      <c r="T4076" s="103"/>
      <c r="U4076" s="148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1">
        <v>4071.0</v>
      </c>
      <c r="B4077" s="180" t="s">
        <v>6837</v>
      </c>
      <c r="C4077" s="82" t="str">
        <f>VLOOKUP($B$7:$B$5000,SUM!$L$6:$L$500,1,FALSE)</f>
        <v>#N/A</v>
      </c>
      <c r="D4077" s="190" t="s">
        <v>6723</v>
      </c>
      <c r="E4077" s="198" t="s">
        <v>58</v>
      </c>
      <c r="F4077" s="199" t="s">
        <v>105</v>
      </c>
      <c r="G4077" s="191" t="s">
        <v>1871</v>
      </c>
      <c r="H4077" s="199" t="s">
        <v>6760</v>
      </c>
      <c r="I4077" s="197" t="s">
        <v>6827</v>
      </c>
      <c r="J4077" s="148" t="s">
        <v>108</v>
      </c>
      <c r="K4077" s="148" t="s">
        <v>64</v>
      </c>
      <c r="L4077" s="148" t="s">
        <v>65</v>
      </c>
      <c r="M4077" s="148" t="s">
        <v>66</v>
      </c>
      <c r="N4077" s="212">
        <v>46190.0</v>
      </c>
      <c r="O4077" s="148" t="s">
        <v>67</v>
      </c>
      <c r="P4077" s="148" t="s">
        <v>68</v>
      </c>
      <c r="Q4077" s="103"/>
      <c r="R4077" s="103"/>
      <c r="S4077" s="103"/>
      <c r="T4077" s="103"/>
      <c r="U4077" s="148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1">
        <v>4072.0</v>
      </c>
      <c r="B4078" s="180" t="s">
        <v>6838</v>
      </c>
      <c r="C4078" s="82" t="str">
        <f>VLOOKUP($B$7:$B$5000,SUM!$L$6:$L$500,1,FALSE)</f>
        <v>#N/A</v>
      </c>
      <c r="D4078" s="190" t="s">
        <v>6723</v>
      </c>
      <c r="E4078" s="198" t="s">
        <v>58</v>
      </c>
      <c r="F4078" s="199" t="s">
        <v>105</v>
      </c>
      <c r="G4078" s="191" t="s">
        <v>1362</v>
      </c>
      <c r="H4078" s="199" t="s">
        <v>6762</v>
      </c>
      <c r="I4078" s="197" t="s">
        <v>6839</v>
      </c>
      <c r="J4078" s="148" t="s">
        <v>108</v>
      </c>
      <c r="K4078" s="148" t="s">
        <v>64</v>
      </c>
      <c r="L4078" s="148" t="s">
        <v>65</v>
      </c>
      <c r="M4078" s="148" t="s">
        <v>66</v>
      </c>
      <c r="N4078" s="212">
        <v>46190.0</v>
      </c>
      <c r="O4078" s="148" t="s">
        <v>67</v>
      </c>
      <c r="P4078" s="148" t="s">
        <v>68</v>
      </c>
      <c r="Q4078" s="103"/>
      <c r="R4078" s="103"/>
      <c r="S4078" s="103"/>
      <c r="T4078" s="103"/>
      <c r="U4078" s="148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1">
        <v>4073.0</v>
      </c>
      <c r="B4079" s="180" t="s">
        <v>6840</v>
      </c>
      <c r="C4079" s="82" t="str">
        <f>VLOOKUP($B$7:$B$5000,SUM!$L$6:$L$500,1,FALSE)</f>
        <v>#N/A</v>
      </c>
      <c r="D4079" s="190" t="s">
        <v>6723</v>
      </c>
      <c r="E4079" s="198" t="s">
        <v>58</v>
      </c>
      <c r="F4079" s="199" t="s">
        <v>105</v>
      </c>
      <c r="G4079" s="191" t="s">
        <v>1362</v>
      </c>
      <c r="H4079" s="199" t="s">
        <v>6765</v>
      </c>
      <c r="I4079" s="197" t="s">
        <v>6839</v>
      </c>
      <c r="J4079" s="148" t="s">
        <v>108</v>
      </c>
      <c r="K4079" s="148" t="s">
        <v>64</v>
      </c>
      <c r="L4079" s="148" t="s">
        <v>65</v>
      </c>
      <c r="M4079" s="148" t="s">
        <v>66</v>
      </c>
      <c r="N4079" s="212">
        <v>46190.0</v>
      </c>
      <c r="O4079" s="148" t="s">
        <v>67</v>
      </c>
      <c r="P4079" s="148" t="s">
        <v>68</v>
      </c>
      <c r="Q4079" s="103"/>
      <c r="R4079" s="103"/>
      <c r="S4079" s="103"/>
      <c r="T4079" s="103"/>
      <c r="U4079" s="148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1">
        <v>4074.0</v>
      </c>
      <c r="B4080" s="180" t="s">
        <v>6841</v>
      </c>
      <c r="C4080" s="82" t="str">
        <f>VLOOKUP($B$7:$B$5000,SUM!$L$6:$L$500,1,FALSE)</f>
        <v>#N/A</v>
      </c>
      <c r="D4080" s="190" t="s">
        <v>6723</v>
      </c>
      <c r="E4080" s="198" t="s">
        <v>58</v>
      </c>
      <c r="F4080" s="199" t="s">
        <v>105</v>
      </c>
      <c r="G4080" s="191" t="s">
        <v>1362</v>
      </c>
      <c r="H4080" s="199" t="s">
        <v>6767</v>
      </c>
      <c r="I4080" s="197" t="s">
        <v>6839</v>
      </c>
      <c r="J4080" s="148" t="s">
        <v>108</v>
      </c>
      <c r="K4080" s="148" t="s">
        <v>64</v>
      </c>
      <c r="L4080" s="148" t="s">
        <v>65</v>
      </c>
      <c r="M4080" s="148" t="s">
        <v>66</v>
      </c>
      <c r="N4080" s="212">
        <v>46190.0</v>
      </c>
      <c r="O4080" s="148" t="s">
        <v>67</v>
      </c>
      <c r="P4080" s="148" t="s">
        <v>68</v>
      </c>
      <c r="Q4080" s="103"/>
      <c r="R4080" s="103"/>
      <c r="S4080" s="103"/>
      <c r="T4080" s="103"/>
      <c r="U4080" s="148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1">
        <v>4075.0</v>
      </c>
      <c r="B4081" s="180" t="s">
        <v>6842</v>
      </c>
      <c r="C4081" s="82" t="str">
        <f>VLOOKUP($B$7:$B$5000,SUM!$L$6:$L$500,1,FALSE)</f>
        <v>#N/A</v>
      </c>
      <c r="D4081" s="190" t="s">
        <v>6723</v>
      </c>
      <c r="E4081" s="198" t="s">
        <v>58</v>
      </c>
      <c r="F4081" s="199" t="s">
        <v>105</v>
      </c>
      <c r="G4081" s="191" t="s">
        <v>1362</v>
      </c>
      <c r="H4081" s="199" t="s">
        <v>6769</v>
      </c>
      <c r="I4081" s="197" t="s">
        <v>6839</v>
      </c>
      <c r="J4081" s="148" t="s">
        <v>108</v>
      </c>
      <c r="K4081" s="148" t="s">
        <v>64</v>
      </c>
      <c r="L4081" s="148" t="s">
        <v>65</v>
      </c>
      <c r="M4081" s="148" t="s">
        <v>66</v>
      </c>
      <c r="N4081" s="212">
        <v>46190.0</v>
      </c>
      <c r="O4081" s="148" t="s">
        <v>67</v>
      </c>
      <c r="P4081" s="148" t="s">
        <v>68</v>
      </c>
      <c r="Q4081" s="103"/>
      <c r="R4081" s="103"/>
      <c r="S4081" s="103"/>
      <c r="T4081" s="103"/>
      <c r="U4081" s="148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1">
        <v>4076.0</v>
      </c>
      <c r="B4082" s="180" t="s">
        <v>6843</v>
      </c>
      <c r="C4082" s="82" t="str">
        <f>VLOOKUP($B$7:$B$5000,SUM!$L$6:$L$500,1,FALSE)</f>
        <v>#N/A</v>
      </c>
      <c r="D4082" s="190" t="s">
        <v>6723</v>
      </c>
      <c r="E4082" s="198" t="s">
        <v>58</v>
      </c>
      <c r="F4082" s="199" t="s">
        <v>105</v>
      </c>
      <c r="G4082" s="191" t="s">
        <v>1362</v>
      </c>
      <c r="H4082" s="199" t="s">
        <v>6771</v>
      </c>
      <c r="I4082" s="197" t="s">
        <v>6839</v>
      </c>
      <c r="J4082" s="148" t="s">
        <v>108</v>
      </c>
      <c r="K4082" s="148" t="s">
        <v>64</v>
      </c>
      <c r="L4082" s="148" t="s">
        <v>65</v>
      </c>
      <c r="M4082" s="148" t="s">
        <v>66</v>
      </c>
      <c r="N4082" s="212">
        <v>46190.0</v>
      </c>
      <c r="O4082" s="148" t="s">
        <v>67</v>
      </c>
      <c r="P4082" s="148" t="s">
        <v>68</v>
      </c>
      <c r="Q4082" s="103"/>
      <c r="R4082" s="103"/>
      <c r="S4082" s="103"/>
      <c r="T4082" s="103"/>
      <c r="U4082" s="148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1">
        <v>4077.0</v>
      </c>
      <c r="B4083" s="180" t="s">
        <v>6844</v>
      </c>
      <c r="C4083" s="82" t="str">
        <f>VLOOKUP($B$7:$B$5000,SUM!$L$6:$L$500,1,FALSE)</f>
        <v>#N/A</v>
      </c>
      <c r="D4083" s="190" t="s">
        <v>6723</v>
      </c>
      <c r="E4083" s="198" t="s">
        <v>58</v>
      </c>
      <c r="F4083" s="199" t="s">
        <v>105</v>
      </c>
      <c r="G4083" s="191" t="s">
        <v>1362</v>
      </c>
      <c r="H4083" s="199" t="s">
        <v>6773</v>
      </c>
      <c r="I4083" s="197" t="s">
        <v>6845</v>
      </c>
      <c r="J4083" s="148" t="s">
        <v>108</v>
      </c>
      <c r="K4083" s="148" t="s">
        <v>64</v>
      </c>
      <c r="L4083" s="148" t="s">
        <v>65</v>
      </c>
      <c r="M4083" s="148" t="s">
        <v>66</v>
      </c>
      <c r="N4083" s="212">
        <v>46190.0</v>
      </c>
      <c r="O4083" s="148" t="s">
        <v>67</v>
      </c>
      <c r="P4083" s="148" t="s">
        <v>68</v>
      </c>
      <c r="Q4083" s="103"/>
      <c r="R4083" s="103"/>
      <c r="S4083" s="103"/>
      <c r="T4083" s="103"/>
      <c r="U4083" s="148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1">
        <v>4078.0</v>
      </c>
      <c r="B4084" s="180" t="s">
        <v>6846</v>
      </c>
      <c r="C4084" s="82" t="str">
        <f>VLOOKUP($B$7:$B$5000,SUM!$L$6:$L$500,1,FALSE)</f>
        <v>#N/A</v>
      </c>
      <c r="D4084" s="190" t="s">
        <v>6723</v>
      </c>
      <c r="E4084" s="198" t="s">
        <v>58</v>
      </c>
      <c r="F4084" s="199" t="s">
        <v>105</v>
      </c>
      <c r="G4084" s="191" t="s">
        <v>1362</v>
      </c>
      <c r="H4084" s="199" t="s">
        <v>6776</v>
      </c>
      <c r="I4084" s="197" t="s">
        <v>6839</v>
      </c>
      <c r="J4084" s="148" t="s">
        <v>108</v>
      </c>
      <c r="K4084" s="148" t="s">
        <v>64</v>
      </c>
      <c r="L4084" s="148" t="s">
        <v>65</v>
      </c>
      <c r="M4084" s="148" t="s">
        <v>66</v>
      </c>
      <c r="N4084" s="212">
        <v>46190.0</v>
      </c>
      <c r="O4084" s="148" t="s">
        <v>67</v>
      </c>
      <c r="P4084" s="148" t="s">
        <v>68</v>
      </c>
      <c r="Q4084" s="103"/>
      <c r="R4084" s="103"/>
      <c r="S4084" s="103"/>
      <c r="T4084" s="103"/>
      <c r="U4084" s="148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1">
        <v>4079.0</v>
      </c>
      <c r="B4085" s="180" t="s">
        <v>6847</v>
      </c>
      <c r="C4085" s="82" t="str">
        <f>VLOOKUP($B$7:$B$5000,SUM!$L$6:$L$500,1,FALSE)</f>
        <v>#N/A</v>
      </c>
      <c r="D4085" s="190" t="s">
        <v>6723</v>
      </c>
      <c r="E4085" s="198" t="s">
        <v>58</v>
      </c>
      <c r="F4085" s="199" t="s">
        <v>105</v>
      </c>
      <c r="G4085" s="191" t="s">
        <v>1362</v>
      </c>
      <c r="H4085" s="199" t="s">
        <v>6779</v>
      </c>
      <c r="I4085" s="197" t="s">
        <v>6848</v>
      </c>
      <c r="J4085" s="148" t="s">
        <v>108</v>
      </c>
      <c r="K4085" s="148" t="s">
        <v>64</v>
      </c>
      <c r="L4085" s="148" t="s">
        <v>65</v>
      </c>
      <c r="M4085" s="148" t="s">
        <v>66</v>
      </c>
      <c r="N4085" s="212">
        <v>46190.0</v>
      </c>
      <c r="O4085" s="148" t="s">
        <v>67</v>
      </c>
      <c r="P4085" s="148" t="s">
        <v>68</v>
      </c>
      <c r="Q4085" s="103"/>
      <c r="R4085" s="103"/>
      <c r="S4085" s="103"/>
      <c r="T4085" s="103"/>
      <c r="U4085" s="148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1">
        <v>4080.0</v>
      </c>
      <c r="B4086" s="180" t="s">
        <v>6849</v>
      </c>
      <c r="C4086" s="82" t="str">
        <f>VLOOKUP($B$7:$B$5000,SUM!$L$6:$L$500,1,FALSE)</f>
        <v>#N/A</v>
      </c>
      <c r="D4086" s="190" t="s">
        <v>6723</v>
      </c>
      <c r="E4086" s="198" t="s">
        <v>58</v>
      </c>
      <c r="F4086" s="199" t="s">
        <v>105</v>
      </c>
      <c r="G4086" s="191" t="s">
        <v>1362</v>
      </c>
      <c r="H4086" s="199" t="s">
        <v>6782</v>
      </c>
      <c r="I4086" s="197" t="s">
        <v>6848</v>
      </c>
      <c r="J4086" s="148" t="s">
        <v>108</v>
      </c>
      <c r="K4086" s="148" t="s">
        <v>64</v>
      </c>
      <c r="L4086" s="148" t="s">
        <v>65</v>
      </c>
      <c r="M4086" s="148" t="s">
        <v>66</v>
      </c>
      <c r="N4086" s="212">
        <v>46190.0</v>
      </c>
      <c r="O4086" s="148" t="s">
        <v>67</v>
      </c>
      <c r="P4086" s="148" t="s">
        <v>68</v>
      </c>
      <c r="Q4086" s="103"/>
      <c r="R4086" s="103"/>
      <c r="S4086" s="103"/>
      <c r="T4086" s="103"/>
      <c r="U4086" s="148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1">
        <v>4081.0</v>
      </c>
      <c r="B4087" s="180" t="s">
        <v>6850</v>
      </c>
      <c r="C4087" s="82" t="str">
        <f>VLOOKUP($B$7:$B$5000,SUM!$L$6:$L$500,1,FALSE)</f>
        <v>#N/A</v>
      </c>
      <c r="D4087" s="190" t="s">
        <v>6723</v>
      </c>
      <c r="E4087" s="198" t="s">
        <v>58</v>
      </c>
      <c r="F4087" s="199" t="s">
        <v>105</v>
      </c>
      <c r="G4087" s="191" t="s">
        <v>1362</v>
      </c>
      <c r="H4087" s="199" t="s">
        <v>6784</v>
      </c>
      <c r="I4087" s="197" t="s">
        <v>6848</v>
      </c>
      <c r="J4087" s="148" t="s">
        <v>108</v>
      </c>
      <c r="K4087" s="148" t="s">
        <v>64</v>
      </c>
      <c r="L4087" s="148" t="s">
        <v>65</v>
      </c>
      <c r="M4087" s="148" t="s">
        <v>66</v>
      </c>
      <c r="N4087" s="212">
        <v>46190.0</v>
      </c>
      <c r="O4087" s="148" t="s">
        <v>67</v>
      </c>
      <c r="P4087" s="148" t="s">
        <v>68</v>
      </c>
      <c r="Q4087" s="103"/>
      <c r="R4087" s="103"/>
      <c r="S4087" s="103"/>
      <c r="T4087" s="103"/>
      <c r="U4087" s="148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1">
        <v>4082.0</v>
      </c>
      <c r="B4088" s="180" t="s">
        <v>6851</v>
      </c>
      <c r="C4088" s="82" t="str">
        <f>VLOOKUP($B$7:$B$5000,SUM!$L$6:$L$500,1,FALSE)</f>
        <v>#N/A</v>
      </c>
      <c r="D4088" s="190" t="s">
        <v>6723</v>
      </c>
      <c r="E4088" s="198" t="s">
        <v>58</v>
      </c>
      <c r="F4088" s="199" t="s">
        <v>105</v>
      </c>
      <c r="G4088" s="191" t="s">
        <v>1362</v>
      </c>
      <c r="H4088" s="199" t="s">
        <v>6786</v>
      </c>
      <c r="I4088" s="197" t="s">
        <v>6848</v>
      </c>
      <c r="J4088" s="148" t="s">
        <v>108</v>
      </c>
      <c r="K4088" s="148" t="s">
        <v>64</v>
      </c>
      <c r="L4088" s="148" t="s">
        <v>65</v>
      </c>
      <c r="M4088" s="148" t="s">
        <v>66</v>
      </c>
      <c r="N4088" s="212">
        <v>46190.0</v>
      </c>
      <c r="O4088" s="148" t="s">
        <v>67</v>
      </c>
      <c r="P4088" s="148" t="s">
        <v>68</v>
      </c>
      <c r="Q4088" s="103"/>
      <c r="R4088" s="103"/>
      <c r="S4088" s="103"/>
      <c r="T4088" s="103"/>
      <c r="U4088" s="148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1">
        <v>4083.0</v>
      </c>
      <c r="B4089" s="180" t="s">
        <v>6852</v>
      </c>
      <c r="C4089" s="82" t="str">
        <f>VLOOKUP($B$7:$B$5000,SUM!$L$6:$L$500,1,FALSE)</f>
        <v>#N/A</v>
      </c>
      <c r="D4089" s="190" t="s">
        <v>6723</v>
      </c>
      <c r="E4089" s="198" t="s">
        <v>58</v>
      </c>
      <c r="F4089" s="199" t="s">
        <v>105</v>
      </c>
      <c r="G4089" s="191" t="s">
        <v>1362</v>
      </c>
      <c r="H4089" s="199" t="s">
        <v>6788</v>
      </c>
      <c r="I4089" s="197" t="s">
        <v>6848</v>
      </c>
      <c r="J4089" s="148" t="s">
        <v>108</v>
      </c>
      <c r="K4089" s="148" t="s">
        <v>64</v>
      </c>
      <c r="L4089" s="148" t="s">
        <v>65</v>
      </c>
      <c r="M4089" s="148" t="s">
        <v>66</v>
      </c>
      <c r="N4089" s="212">
        <v>46190.0</v>
      </c>
      <c r="O4089" s="148" t="s">
        <v>67</v>
      </c>
      <c r="P4089" s="148" t="s">
        <v>68</v>
      </c>
      <c r="Q4089" s="103"/>
      <c r="R4089" s="103"/>
      <c r="S4089" s="103"/>
      <c r="T4089" s="103"/>
      <c r="U4089" s="148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1">
        <v>4084.0</v>
      </c>
      <c r="B4090" s="180" t="s">
        <v>6853</v>
      </c>
      <c r="C4090" s="82" t="str">
        <f>VLOOKUP($B$7:$B$5000,SUM!$L$6:$L$500,1,FALSE)</f>
        <v>#N/A</v>
      </c>
      <c r="D4090" s="190" t="s">
        <v>6723</v>
      </c>
      <c r="E4090" s="198" t="s">
        <v>58</v>
      </c>
      <c r="F4090" s="199" t="s">
        <v>105</v>
      </c>
      <c r="G4090" s="191" t="s">
        <v>1362</v>
      </c>
      <c r="H4090" s="199" t="s">
        <v>6790</v>
      </c>
      <c r="I4090" s="197" t="s">
        <v>6848</v>
      </c>
      <c r="J4090" s="148" t="s">
        <v>108</v>
      </c>
      <c r="K4090" s="148" t="s">
        <v>64</v>
      </c>
      <c r="L4090" s="148" t="s">
        <v>65</v>
      </c>
      <c r="M4090" s="148" t="s">
        <v>66</v>
      </c>
      <c r="N4090" s="212">
        <v>46190.0</v>
      </c>
      <c r="O4090" s="148" t="s">
        <v>67</v>
      </c>
      <c r="P4090" s="148" t="s">
        <v>68</v>
      </c>
      <c r="Q4090" s="103"/>
      <c r="R4090" s="103"/>
      <c r="S4090" s="103"/>
      <c r="T4090" s="103"/>
      <c r="U4090" s="148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1">
        <v>4085.0</v>
      </c>
      <c r="B4091" s="180" t="s">
        <v>6854</v>
      </c>
      <c r="C4091" s="82" t="str">
        <f>VLOOKUP($B$7:$B$5000,SUM!$L$6:$L$500,1,FALSE)</f>
        <v>#N/A</v>
      </c>
      <c r="D4091" s="190" t="s">
        <v>6723</v>
      </c>
      <c r="E4091" s="198" t="s">
        <v>58</v>
      </c>
      <c r="F4091" s="199" t="s">
        <v>105</v>
      </c>
      <c r="G4091" s="191" t="s">
        <v>1362</v>
      </c>
      <c r="H4091" s="199" t="s">
        <v>6792</v>
      </c>
      <c r="I4091" s="197" t="s">
        <v>6848</v>
      </c>
      <c r="J4091" s="148" t="s">
        <v>108</v>
      </c>
      <c r="K4091" s="148" t="s">
        <v>64</v>
      </c>
      <c r="L4091" s="148" t="s">
        <v>65</v>
      </c>
      <c r="M4091" s="148" t="s">
        <v>66</v>
      </c>
      <c r="N4091" s="212">
        <v>46190.0</v>
      </c>
      <c r="O4091" s="148" t="s">
        <v>67</v>
      </c>
      <c r="P4091" s="148" t="s">
        <v>68</v>
      </c>
      <c r="Q4091" s="103"/>
      <c r="R4091" s="103"/>
      <c r="S4091" s="103"/>
      <c r="T4091" s="103"/>
      <c r="U4091" s="148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1">
        <v>4086.0</v>
      </c>
      <c r="B4092" s="180" t="s">
        <v>6855</v>
      </c>
      <c r="C4092" s="82" t="str">
        <f>VLOOKUP($B$7:$B$5000,SUM!$L$6:$L$500,1,FALSE)</f>
        <v>#N/A</v>
      </c>
      <c r="D4092" s="190" t="s">
        <v>6723</v>
      </c>
      <c r="E4092" s="198" t="s">
        <v>58</v>
      </c>
      <c r="F4092" s="199" t="s">
        <v>105</v>
      </c>
      <c r="G4092" s="191" t="s">
        <v>1362</v>
      </c>
      <c r="H4092" s="199" t="s">
        <v>6794</v>
      </c>
      <c r="I4092" s="197" t="s">
        <v>6848</v>
      </c>
      <c r="J4092" s="148" t="s">
        <v>108</v>
      </c>
      <c r="K4092" s="148" t="s">
        <v>64</v>
      </c>
      <c r="L4092" s="148" t="s">
        <v>65</v>
      </c>
      <c r="M4092" s="148" t="s">
        <v>66</v>
      </c>
      <c r="N4092" s="212">
        <v>46190.0</v>
      </c>
      <c r="O4092" s="148" t="s">
        <v>67</v>
      </c>
      <c r="P4092" s="148" t="s">
        <v>68</v>
      </c>
      <c r="Q4092" s="103"/>
      <c r="R4092" s="103"/>
      <c r="S4092" s="103"/>
      <c r="T4092" s="103"/>
      <c r="U4092" s="148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1">
        <v>4087.0</v>
      </c>
      <c r="B4093" s="180" t="s">
        <v>6856</v>
      </c>
      <c r="C4093" s="82" t="str">
        <f>VLOOKUP($B$7:$B$5000,SUM!$L$6:$L$500,1,FALSE)</f>
        <v>#N/A</v>
      </c>
      <c r="D4093" s="190" t="s">
        <v>6723</v>
      </c>
      <c r="E4093" s="198" t="s">
        <v>58</v>
      </c>
      <c r="F4093" s="199" t="s">
        <v>105</v>
      </c>
      <c r="G4093" s="191" t="s">
        <v>1362</v>
      </c>
      <c r="H4093" s="199" t="s">
        <v>6796</v>
      </c>
      <c r="I4093" s="197" t="s">
        <v>6848</v>
      </c>
      <c r="J4093" s="148" t="s">
        <v>108</v>
      </c>
      <c r="K4093" s="148" t="s">
        <v>64</v>
      </c>
      <c r="L4093" s="148" t="s">
        <v>65</v>
      </c>
      <c r="M4093" s="148" t="s">
        <v>66</v>
      </c>
      <c r="N4093" s="212">
        <v>46190.0</v>
      </c>
      <c r="O4093" s="148" t="s">
        <v>67</v>
      </c>
      <c r="P4093" s="148" t="s">
        <v>68</v>
      </c>
      <c r="Q4093" s="103"/>
      <c r="R4093" s="103"/>
      <c r="S4093" s="103"/>
      <c r="T4093" s="103"/>
      <c r="U4093" s="148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1">
        <v>4088.0</v>
      </c>
      <c r="B4094" s="180" t="s">
        <v>6857</v>
      </c>
      <c r="C4094" s="82" t="str">
        <f>VLOOKUP($B$7:$B$5000,SUM!$L$6:$L$500,1,FALSE)</f>
        <v>#N/A</v>
      </c>
      <c r="D4094" s="190" t="s">
        <v>6723</v>
      </c>
      <c r="E4094" s="198" t="s">
        <v>58</v>
      </c>
      <c r="F4094" s="199" t="s">
        <v>105</v>
      </c>
      <c r="G4094" s="191" t="s">
        <v>1362</v>
      </c>
      <c r="H4094" s="199" t="s">
        <v>6798</v>
      </c>
      <c r="I4094" s="197" t="s">
        <v>6825</v>
      </c>
      <c r="J4094" s="148" t="s">
        <v>108</v>
      </c>
      <c r="K4094" s="148" t="s">
        <v>64</v>
      </c>
      <c r="L4094" s="148" t="s">
        <v>65</v>
      </c>
      <c r="M4094" s="148" t="s">
        <v>66</v>
      </c>
      <c r="N4094" s="212">
        <v>46190.0</v>
      </c>
      <c r="O4094" s="148" t="s">
        <v>67</v>
      </c>
      <c r="P4094" s="148" t="s">
        <v>68</v>
      </c>
      <c r="Q4094" s="103"/>
      <c r="R4094" s="103"/>
      <c r="S4094" s="103"/>
      <c r="T4094" s="103"/>
      <c r="U4094" s="148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1">
        <v>4089.0</v>
      </c>
      <c r="B4095" s="180" t="s">
        <v>6858</v>
      </c>
      <c r="C4095" s="82" t="str">
        <f>VLOOKUP($B$7:$B$5000,SUM!$L$6:$L$500,1,FALSE)</f>
        <v>#N/A</v>
      </c>
      <c r="D4095" s="190" t="s">
        <v>6723</v>
      </c>
      <c r="E4095" s="198" t="s">
        <v>58</v>
      </c>
      <c r="F4095" s="199" t="s">
        <v>105</v>
      </c>
      <c r="G4095" s="191" t="s">
        <v>1362</v>
      </c>
      <c r="H4095" s="199" t="s">
        <v>6800</v>
      </c>
      <c r="I4095" s="197" t="s">
        <v>6831</v>
      </c>
      <c r="J4095" s="148" t="s">
        <v>108</v>
      </c>
      <c r="K4095" s="148" t="s">
        <v>64</v>
      </c>
      <c r="L4095" s="148" t="s">
        <v>65</v>
      </c>
      <c r="M4095" s="148" t="s">
        <v>66</v>
      </c>
      <c r="N4095" s="212">
        <v>46190.0</v>
      </c>
      <c r="O4095" s="148" t="s">
        <v>67</v>
      </c>
      <c r="P4095" s="148" t="s">
        <v>68</v>
      </c>
      <c r="Q4095" s="103"/>
      <c r="R4095" s="103"/>
      <c r="S4095" s="103"/>
      <c r="T4095" s="103"/>
      <c r="U4095" s="148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1">
        <v>4090.0</v>
      </c>
      <c r="B4096" s="180" t="s">
        <v>6859</v>
      </c>
      <c r="C4096" s="82" t="str">
        <f>VLOOKUP($B$7:$B$5000,SUM!$L$6:$L$500,1,FALSE)</f>
        <v>#N/A</v>
      </c>
      <c r="D4096" s="190" t="s">
        <v>6723</v>
      </c>
      <c r="E4096" s="198" t="s">
        <v>58</v>
      </c>
      <c r="F4096" s="199" t="s">
        <v>105</v>
      </c>
      <c r="G4096" s="191" t="s">
        <v>1362</v>
      </c>
      <c r="H4096" s="199" t="s">
        <v>6802</v>
      </c>
      <c r="I4096" s="197" t="s">
        <v>6831</v>
      </c>
      <c r="J4096" s="148" t="s">
        <v>108</v>
      </c>
      <c r="K4096" s="148" t="s">
        <v>64</v>
      </c>
      <c r="L4096" s="148" t="s">
        <v>65</v>
      </c>
      <c r="M4096" s="148" t="s">
        <v>66</v>
      </c>
      <c r="N4096" s="212">
        <v>46190.0</v>
      </c>
      <c r="O4096" s="148" t="s">
        <v>67</v>
      </c>
      <c r="P4096" s="148" t="s">
        <v>68</v>
      </c>
      <c r="Q4096" s="103"/>
      <c r="R4096" s="103"/>
      <c r="S4096" s="103"/>
      <c r="T4096" s="103"/>
      <c r="U4096" s="148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1">
        <v>4091.0</v>
      </c>
      <c r="B4097" s="180" t="s">
        <v>6860</v>
      </c>
      <c r="C4097" s="82" t="str">
        <f>VLOOKUP($B$7:$B$5000,SUM!$L$6:$L$500,1,FALSE)</f>
        <v>#N/A</v>
      </c>
      <c r="D4097" s="190" t="s">
        <v>6723</v>
      </c>
      <c r="E4097" s="198" t="s">
        <v>58</v>
      </c>
      <c r="F4097" s="199" t="s">
        <v>105</v>
      </c>
      <c r="G4097" s="191" t="s">
        <v>1362</v>
      </c>
      <c r="H4097" s="199" t="s">
        <v>6804</v>
      </c>
      <c r="I4097" s="197" t="s">
        <v>6825</v>
      </c>
      <c r="J4097" s="148" t="s">
        <v>108</v>
      </c>
      <c r="K4097" s="148" t="s">
        <v>64</v>
      </c>
      <c r="L4097" s="148" t="s">
        <v>65</v>
      </c>
      <c r="M4097" s="148" t="s">
        <v>66</v>
      </c>
      <c r="N4097" s="212">
        <v>46190.0</v>
      </c>
      <c r="O4097" s="148" t="s">
        <v>67</v>
      </c>
      <c r="P4097" s="148" t="s">
        <v>68</v>
      </c>
      <c r="Q4097" s="103"/>
      <c r="R4097" s="103"/>
      <c r="S4097" s="103"/>
      <c r="T4097" s="103"/>
      <c r="U4097" s="148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1">
        <v>4092.0</v>
      </c>
      <c r="B4098" s="180" t="s">
        <v>6861</v>
      </c>
      <c r="C4098" s="82" t="str">
        <f>VLOOKUP($B$7:$B$5000,SUM!$L$6:$L$500,1,FALSE)</f>
        <v>#N/A</v>
      </c>
      <c r="D4098" s="190" t="s">
        <v>6723</v>
      </c>
      <c r="E4098" s="198" t="s">
        <v>58</v>
      </c>
      <c r="F4098" s="199" t="s">
        <v>105</v>
      </c>
      <c r="G4098" s="191" t="s">
        <v>1362</v>
      </c>
      <c r="H4098" s="199" t="s">
        <v>6806</v>
      </c>
      <c r="I4098" s="197" t="s">
        <v>6831</v>
      </c>
      <c r="J4098" s="148" t="s">
        <v>108</v>
      </c>
      <c r="K4098" s="148" t="s">
        <v>64</v>
      </c>
      <c r="L4098" s="148" t="s">
        <v>65</v>
      </c>
      <c r="M4098" s="148" t="s">
        <v>66</v>
      </c>
      <c r="N4098" s="212">
        <v>46190.0</v>
      </c>
      <c r="O4098" s="148" t="s">
        <v>67</v>
      </c>
      <c r="P4098" s="148" t="s">
        <v>68</v>
      </c>
      <c r="Q4098" s="103"/>
      <c r="R4098" s="103"/>
      <c r="S4098" s="103"/>
      <c r="T4098" s="103"/>
      <c r="U4098" s="148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1">
        <v>4093.0</v>
      </c>
      <c r="B4099" s="180" t="s">
        <v>6862</v>
      </c>
      <c r="C4099" s="82" t="str">
        <f>VLOOKUP($B$7:$B$5000,SUM!$L$6:$L$500,1,FALSE)</f>
        <v>#N/A</v>
      </c>
      <c r="D4099" s="190" t="s">
        <v>6723</v>
      </c>
      <c r="E4099" s="198" t="s">
        <v>58</v>
      </c>
      <c r="F4099" s="199" t="s">
        <v>105</v>
      </c>
      <c r="G4099" s="191" t="s">
        <v>1362</v>
      </c>
      <c r="H4099" s="199" t="s">
        <v>6808</v>
      </c>
      <c r="I4099" s="197" t="s">
        <v>6831</v>
      </c>
      <c r="J4099" s="148" t="s">
        <v>108</v>
      </c>
      <c r="K4099" s="148" t="s">
        <v>64</v>
      </c>
      <c r="L4099" s="148" t="s">
        <v>65</v>
      </c>
      <c r="M4099" s="148" t="s">
        <v>66</v>
      </c>
      <c r="N4099" s="212">
        <v>46190.0</v>
      </c>
      <c r="O4099" s="148" t="s">
        <v>67</v>
      </c>
      <c r="P4099" s="148" t="s">
        <v>68</v>
      </c>
      <c r="Q4099" s="103"/>
      <c r="R4099" s="103"/>
      <c r="S4099" s="103"/>
      <c r="T4099" s="103"/>
      <c r="U4099" s="148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1">
        <v>4094.0</v>
      </c>
      <c r="B4100" s="180" t="s">
        <v>6863</v>
      </c>
      <c r="C4100" s="82" t="str">
        <f>VLOOKUP($B$7:$B$5000,SUM!$L$6:$L$500,1,FALSE)</f>
        <v>#N/A</v>
      </c>
      <c r="D4100" s="190" t="s">
        <v>6723</v>
      </c>
      <c r="E4100" s="198" t="s">
        <v>58</v>
      </c>
      <c r="F4100" s="199" t="s">
        <v>105</v>
      </c>
      <c r="G4100" s="191" t="s">
        <v>1362</v>
      </c>
      <c r="H4100" s="199" t="s">
        <v>6810</v>
      </c>
      <c r="I4100" s="197" t="s">
        <v>6848</v>
      </c>
      <c r="J4100" s="148" t="s">
        <v>108</v>
      </c>
      <c r="K4100" s="148" t="s">
        <v>64</v>
      </c>
      <c r="L4100" s="148" t="s">
        <v>65</v>
      </c>
      <c r="M4100" s="148" t="s">
        <v>66</v>
      </c>
      <c r="N4100" s="212">
        <v>46190.0</v>
      </c>
      <c r="O4100" s="148" t="s">
        <v>67</v>
      </c>
      <c r="P4100" s="148" t="s">
        <v>68</v>
      </c>
      <c r="Q4100" s="103"/>
      <c r="R4100" s="103"/>
      <c r="S4100" s="103"/>
      <c r="T4100" s="103"/>
      <c r="U4100" s="148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1">
        <v>4095.0</v>
      </c>
      <c r="B4101" s="180" t="s">
        <v>6864</v>
      </c>
      <c r="C4101" s="82" t="str">
        <f>VLOOKUP($B$7:$B$5000,SUM!$L$6:$L$500,1,FALSE)</f>
        <v>#N/A</v>
      </c>
      <c r="D4101" s="190" t="s">
        <v>6723</v>
      </c>
      <c r="E4101" s="198" t="s">
        <v>58</v>
      </c>
      <c r="F4101" s="199" t="s">
        <v>105</v>
      </c>
      <c r="G4101" s="191" t="s">
        <v>1362</v>
      </c>
      <c r="H4101" s="199" t="s">
        <v>6812</v>
      </c>
      <c r="I4101" s="197" t="s">
        <v>6848</v>
      </c>
      <c r="J4101" s="148" t="s">
        <v>108</v>
      </c>
      <c r="K4101" s="148" t="s">
        <v>64</v>
      </c>
      <c r="L4101" s="148" t="s">
        <v>65</v>
      </c>
      <c r="M4101" s="148" t="s">
        <v>66</v>
      </c>
      <c r="N4101" s="212">
        <v>46190.0</v>
      </c>
      <c r="O4101" s="148" t="s">
        <v>67</v>
      </c>
      <c r="P4101" s="148" t="s">
        <v>68</v>
      </c>
      <c r="Q4101" s="103"/>
      <c r="R4101" s="103"/>
      <c r="S4101" s="103"/>
      <c r="T4101" s="103"/>
      <c r="U4101" s="148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1">
        <v>4096.0</v>
      </c>
      <c r="B4102" s="180" t="s">
        <v>6865</v>
      </c>
      <c r="C4102" s="82" t="str">
        <f>VLOOKUP($B$7:$B$5000,SUM!$L$6:$L$500,1,FALSE)</f>
        <v>#N/A</v>
      </c>
      <c r="D4102" s="190" t="s">
        <v>6723</v>
      </c>
      <c r="E4102" s="198" t="s">
        <v>58</v>
      </c>
      <c r="F4102" s="199" t="s">
        <v>105</v>
      </c>
      <c r="G4102" s="191" t="s">
        <v>1362</v>
      </c>
      <c r="H4102" s="199" t="s">
        <v>6814</v>
      </c>
      <c r="I4102" s="197" t="s">
        <v>6816</v>
      </c>
      <c r="J4102" s="148" t="s">
        <v>108</v>
      </c>
      <c r="K4102" s="148" t="s">
        <v>64</v>
      </c>
      <c r="L4102" s="148" t="s">
        <v>65</v>
      </c>
      <c r="M4102" s="148" t="s">
        <v>66</v>
      </c>
      <c r="N4102" s="212">
        <v>46190.0</v>
      </c>
      <c r="O4102" s="148" t="s">
        <v>67</v>
      </c>
      <c r="P4102" s="148" t="s">
        <v>68</v>
      </c>
      <c r="Q4102" s="103"/>
      <c r="R4102" s="103"/>
      <c r="S4102" s="103"/>
      <c r="T4102" s="103"/>
      <c r="U4102" s="148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1">
        <v>4097.0</v>
      </c>
      <c r="B4103" s="180" t="s">
        <v>6866</v>
      </c>
      <c r="C4103" s="82" t="str">
        <f>VLOOKUP($B$7:$B$5000,SUM!$L$6:$L$500,1,FALSE)</f>
        <v>#N/A</v>
      </c>
      <c r="D4103" s="190" t="s">
        <v>6723</v>
      </c>
      <c r="E4103" s="198" t="s">
        <v>58</v>
      </c>
      <c r="F4103" s="199" t="s">
        <v>105</v>
      </c>
      <c r="G4103" s="191" t="s">
        <v>1871</v>
      </c>
      <c r="H4103" s="199" t="s">
        <v>6734</v>
      </c>
      <c r="I4103" s="197" t="s">
        <v>6867</v>
      </c>
      <c r="J4103" s="148" t="s">
        <v>63</v>
      </c>
      <c r="K4103" s="148" t="s">
        <v>64</v>
      </c>
      <c r="L4103" s="148" t="s">
        <v>65</v>
      </c>
      <c r="M4103" s="148" t="s">
        <v>66</v>
      </c>
      <c r="N4103" s="212">
        <v>46190.0</v>
      </c>
      <c r="O4103" s="148" t="s">
        <v>67</v>
      </c>
      <c r="P4103" s="148" t="s">
        <v>68</v>
      </c>
      <c r="Q4103" s="103"/>
      <c r="R4103" s="103"/>
      <c r="S4103" s="103"/>
      <c r="T4103" s="103"/>
      <c r="U4103" s="148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1">
        <v>4098.0</v>
      </c>
      <c r="B4104" s="180" t="s">
        <v>6868</v>
      </c>
      <c r="C4104" s="82" t="str">
        <f>VLOOKUP($B$7:$B$5000,SUM!$L$6:$L$500,1,FALSE)</f>
        <v>#N/A</v>
      </c>
      <c r="D4104" s="190" t="s">
        <v>6723</v>
      </c>
      <c r="E4104" s="198" t="s">
        <v>58</v>
      </c>
      <c r="F4104" s="199" t="s">
        <v>105</v>
      </c>
      <c r="G4104" s="191" t="s">
        <v>1871</v>
      </c>
      <c r="H4104" s="199" t="s">
        <v>6736</v>
      </c>
      <c r="I4104" s="197" t="s">
        <v>6867</v>
      </c>
      <c r="J4104" s="148" t="s">
        <v>63</v>
      </c>
      <c r="K4104" s="148" t="s">
        <v>64</v>
      </c>
      <c r="L4104" s="148" t="s">
        <v>65</v>
      </c>
      <c r="M4104" s="148" t="s">
        <v>66</v>
      </c>
      <c r="N4104" s="212">
        <v>46190.0</v>
      </c>
      <c r="O4104" s="148" t="s">
        <v>67</v>
      </c>
      <c r="P4104" s="148" t="s">
        <v>68</v>
      </c>
      <c r="Q4104" s="103"/>
      <c r="R4104" s="103"/>
      <c r="S4104" s="103"/>
      <c r="T4104" s="103"/>
      <c r="U4104" s="148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1">
        <v>4099.0</v>
      </c>
      <c r="B4105" s="180" t="s">
        <v>6869</v>
      </c>
      <c r="C4105" s="82" t="str">
        <f>VLOOKUP($B$7:$B$5000,SUM!$L$6:$L$500,1,FALSE)</f>
        <v>#N/A</v>
      </c>
      <c r="D4105" s="190" t="s">
        <v>6723</v>
      </c>
      <c r="E4105" s="198" t="s">
        <v>58</v>
      </c>
      <c r="F4105" s="199" t="s">
        <v>105</v>
      </c>
      <c r="G4105" s="191" t="s">
        <v>1871</v>
      </c>
      <c r="H4105" s="199" t="s">
        <v>6738</v>
      </c>
      <c r="I4105" s="197" t="s">
        <v>6870</v>
      </c>
      <c r="J4105" s="148" t="s">
        <v>63</v>
      </c>
      <c r="K4105" s="148" t="s">
        <v>64</v>
      </c>
      <c r="L4105" s="148" t="s">
        <v>65</v>
      </c>
      <c r="M4105" s="148" t="s">
        <v>66</v>
      </c>
      <c r="N4105" s="212">
        <v>46190.0</v>
      </c>
      <c r="O4105" s="148" t="s">
        <v>67</v>
      </c>
      <c r="P4105" s="148" t="s">
        <v>68</v>
      </c>
      <c r="Q4105" s="103"/>
      <c r="R4105" s="103"/>
      <c r="S4105" s="103"/>
      <c r="T4105" s="103"/>
      <c r="U4105" s="148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1">
        <v>4100.0</v>
      </c>
      <c r="B4106" s="180" t="s">
        <v>6871</v>
      </c>
      <c r="C4106" s="82" t="str">
        <f>VLOOKUP($B$7:$B$5000,SUM!$L$6:$L$500,1,FALSE)</f>
        <v>#N/A</v>
      </c>
      <c r="D4106" s="190" t="s">
        <v>6723</v>
      </c>
      <c r="E4106" s="198" t="s">
        <v>58</v>
      </c>
      <c r="F4106" s="199" t="s">
        <v>105</v>
      </c>
      <c r="G4106" s="191" t="s">
        <v>1871</v>
      </c>
      <c r="H4106" s="199" t="s">
        <v>6741</v>
      </c>
      <c r="I4106" s="197" t="s">
        <v>6872</v>
      </c>
      <c r="J4106" s="148" t="s">
        <v>63</v>
      </c>
      <c r="K4106" s="148" t="s">
        <v>64</v>
      </c>
      <c r="L4106" s="148" t="s">
        <v>65</v>
      </c>
      <c r="M4106" s="148" t="s">
        <v>66</v>
      </c>
      <c r="N4106" s="212">
        <v>46190.0</v>
      </c>
      <c r="O4106" s="148" t="s">
        <v>67</v>
      </c>
      <c r="P4106" s="148" t="s">
        <v>68</v>
      </c>
      <c r="Q4106" s="103"/>
      <c r="R4106" s="103"/>
      <c r="S4106" s="103"/>
      <c r="T4106" s="103"/>
      <c r="U4106" s="148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1">
        <v>4101.0</v>
      </c>
      <c r="B4107" s="180" t="s">
        <v>6873</v>
      </c>
      <c r="C4107" s="82" t="str">
        <f>VLOOKUP($B$7:$B$5000,SUM!$L$6:$L$500,1,FALSE)</f>
        <v>#N/A</v>
      </c>
      <c r="D4107" s="190" t="s">
        <v>6723</v>
      </c>
      <c r="E4107" s="198" t="s">
        <v>58</v>
      </c>
      <c r="F4107" s="199" t="s">
        <v>105</v>
      </c>
      <c r="G4107" s="191" t="s">
        <v>1871</v>
      </c>
      <c r="H4107" s="199" t="s">
        <v>6744</v>
      </c>
      <c r="I4107" s="197" t="s">
        <v>6872</v>
      </c>
      <c r="J4107" s="148" t="s">
        <v>63</v>
      </c>
      <c r="K4107" s="148" t="s">
        <v>64</v>
      </c>
      <c r="L4107" s="148" t="s">
        <v>65</v>
      </c>
      <c r="M4107" s="148" t="s">
        <v>66</v>
      </c>
      <c r="N4107" s="212">
        <v>46190.0</v>
      </c>
      <c r="O4107" s="148" t="s">
        <v>67</v>
      </c>
      <c r="P4107" s="148" t="s">
        <v>68</v>
      </c>
      <c r="Q4107" s="103"/>
      <c r="R4107" s="103"/>
      <c r="S4107" s="103"/>
      <c r="T4107" s="103"/>
      <c r="U4107" s="148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1">
        <v>4102.0</v>
      </c>
      <c r="B4108" s="180" t="s">
        <v>6874</v>
      </c>
      <c r="C4108" s="82" t="str">
        <f>VLOOKUP($B$7:$B$5000,SUM!$L$6:$L$500,1,FALSE)</f>
        <v>#N/A</v>
      </c>
      <c r="D4108" s="190" t="s">
        <v>6723</v>
      </c>
      <c r="E4108" s="198" t="s">
        <v>58</v>
      </c>
      <c r="F4108" s="199" t="s">
        <v>105</v>
      </c>
      <c r="G4108" s="191" t="s">
        <v>1871</v>
      </c>
      <c r="H4108" s="199" t="s">
        <v>6746</v>
      </c>
      <c r="I4108" s="197" t="s">
        <v>6872</v>
      </c>
      <c r="J4108" s="148" t="s">
        <v>63</v>
      </c>
      <c r="K4108" s="148" t="s">
        <v>64</v>
      </c>
      <c r="L4108" s="148" t="s">
        <v>65</v>
      </c>
      <c r="M4108" s="148" t="s">
        <v>66</v>
      </c>
      <c r="N4108" s="212">
        <v>46190.0</v>
      </c>
      <c r="O4108" s="148" t="s">
        <v>67</v>
      </c>
      <c r="P4108" s="148" t="s">
        <v>68</v>
      </c>
      <c r="Q4108" s="103"/>
      <c r="R4108" s="103"/>
      <c r="S4108" s="103"/>
      <c r="T4108" s="103"/>
      <c r="U4108" s="148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1">
        <v>4103.0</v>
      </c>
      <c r="B4109" s="180" t="s">
        <v>6875</v>
      </c>
      <c r="C4109" s="82" t="str">
        <f>VLOOKUP($B$7:$B$5000,SUM!$L$6:$L$500,1,FALSE)</f>
        <v>#N/A</v>
      </c>
      <c r="D4109" s="190" t="s">
        <v>6723</v>
      </c>
      <c r="E4109" s="198" t="s">
        <v>58</v>
      </c>
      <c r="F4109" s="199" t="s">
        <v>105</v>
      </c>
      <c r="G4109" s="191" t="s">
        <v>1871</v>
      </c>
      <c r="H4109" s="199" t="s">
        <v>6748</v>
      </c>
      <c r="I4109" s="197" t="s">
        <v>6876</v>
      </c>
      <c r="J4109" s="148" t="s">
        <v>63</v>
      </c>
      <c r="K4109" s="148" t="s">
        <v>64</v>
      </c>
      <c r="L4109" s="148" t="s">
        <v>65</v>
      </c>
      <c r="M4109" s="148" t="s">
        <v>66</v>
      </c>
      <c r="N4109" s="212">
        <v>46190.0</v>
      </c>
      <c r="O4109" s="148" t="s">
        <v>67</v>
      </c>
      <c r="P4109" s="148" t="s">
        <v>68</v>
      </c>
      <c r="Q4109" s="103"/>
      <c r="R4109" s="103"/>
      <c r="S4109" s="103"/>
      <c r="T4109" s="103"/>
      <c r="U4109" s="148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1">
        <v>4104.0</v>
      </c>
      <c r="B4110" s="180" t="s">
        <v>6877</v>
      </c>
      <c r="C4110" s="82" t="str">
        <f>VLOOKUP($B$7:$B$5000,SUM!$L$6:$L$500,1,FALSE)</f>
        <v>#N/A</v>
      </c>
      <c r="D4110" s="190" t="s">
        <v>6723</v>
      </c>
      <c r="E4110" s="198" t="s">
        <v>58</v>
      </c>
      <c r="F4110" s="199" t="s">
        <v>105</v>
      </c>
      <c r="G4110" s="191" t="s">
        <v>1871</v>
      </c>
      <c r="H4110" s="199" t="s">
        <v>6750</v>
      </c>
      <c r="I4110" s="197" t="s">
        <v>6876</v>
      </c>
      <c r="J4110" s="148" t="s">
        <v>63</v>
      </c>
      <c r="K4110" s="148" t="s">
        <v>64</v>
      </c>
      <c r="L4110" s="148" t="s">
        <v>65</v>
      </c>
      <c r="M4110" s="148" t="s">
        <v>66</v>
      </c>
      <c r="N4110" s="212">
        <v>46190.0</v>
      </c>
      <c r="O4110" s="148" t="s">
        <v>67</v>
      </c>
      <c r="P4110" s="148" t="s">
        <v>68</v>
      </c>
      <c r="Q4110" s="103"/>
      <c r="R4110" s="103"/>
      <c r="S4110" s="103"/>
      <c r="T4110" s="103"/>
      <c r="U4110" s="148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1">
        <v>4105.0</v>
      </c>
      <c r="B4111" s="180" t="s">
        <v>6878</v>
      </c>
      <c r="C4111" s="82" t="str">
        <f>VLOOKUP($B$7:$B$5000,SUM!$L$6:$L$500,1,FALSE)</f>
        <v>#N/A</v>
      </c>
      <c r="D4111" s="190" t="s">
        <v>6723</v>
      </c>
      <c r="E4111" s="198" t="s">
        <v>58</v>
      </c>
      <c r="F4111" s="199" t="s">
        <v>105</v>
      </c>
      <c r="G4111" s="191" t="s">
        <v>1871</v>
      </c>
      <c r="H4111" s="199" t="s">
        <v>6752</v>
      </c>
      <c r="I4111" s="197" t="s">
        <v>6872</v>
      </c>
      <c r="J4111" s="148" t="s">
        <v>63</v>
      </c>
      <c r="K4111" s="148" t="s">
        <v>64</v>
      </c>
      <c r="L4111" s="148" t="s">
        <v>65</v>
      </c>
      <c r="M4111" s="148" t="s">
        <v>66</v>
      </c>
      <c r="N4111" s="212">
        <v>46190.0</v>
      </c>
      <c r="O4111" s="148" t="s">
        <v>67</v>
      </c>
      <c r="P4111" s="148" t="s">
        <v>68</v>
      </c>
      <c r="Q4111" s="103"/>
      <c r="R4111" s="103"/>
      <c r="S4111" s="103"/>
      <c r="T4111" s="103"/>
      <c r="U4111" s="148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1">
        <v>4106.0</v>
      </c>
      <c r="B4112" s="180" t="s">
        <v>6879</v>
      </c>
      <c r="C4112" s="82" t="str">
        <f>VLOOKUP($B$7:$B$5000,SUM!$L$6:$L$500,1,FALSE)</f>
        <v>#N/A</v>
      </c>
      <c r="D4112" s="190" t="s">
        <v>6723</v>
      </c>
      <c r="E4112" s="198" t="s">
        <v>58</v>
      </c>
      <c r="F4112" s="199" t="s">
        <v>105</v>
      </c>
      <c r="G4112" s="191" t="s">
        <v>1871</v>
      </c>
      <c r="H4112" s="199" t="s">
        <v>6754</v>
      </c>
      <c r="I4112" s="197" t="s">
        <v>6872</v>
      </c>
      <c r="J4112" s="148" t="s">
        <v>63</v>
      </c>
      <c r="K4112" s="148" t="s">
        <v>64</v>
      </c>
      <c r="L4112" s="148" t="s">
        <v>65</v>
      </c>
      <c r="M4112" s="148" t="s">
        <v>66</v>
      </c>
      <c r="N4112" s="212">
        <v>46190.0</v>
      </c>
      <c r="O4112" s="148" t="s">
        <v>67</v>
      </c>
      <c r="P4112" s="148" t="s">
        <v>68</v>
      </c>
      <c r="Q4112" s="103"/>
      <c r="R4112" s="103"/>
      <c r="S4112" s="103"/>
      <c r="T4112" s="103"/>
      <c r="U4112" s="148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1">
        <v>4107.0</v>
      </c>
      <c r="B4113" s="180" t="s">
        <v>6880</v>
      </c>
      <c r="C4113" s="82" t="str">
        <f>VLOOKUP($B$7:$B$5000,SUM!$L$6:$L$500,1,FALSE)</f>
        <v>#N/A</v>
      </c>
      <c r="D4113" s="190" t="s">
        <v>6723</v>
      </c>
      <c r="E4113" s="198" t="s">
        <v>58</v>
      </c>
      <c r="F4113" s="199" t="s">
        <v>105</v>
      </c>
      <c r="G4113" s="191" t="s">
        <v>1871</v>
      </c>
      <c r="H4113" s="199" t="s">
        <v>6756</v>
      </c>
      <c r="I4113" s="197" t="s">
        <v>6872</v>
      </c>
      <c r="J4113" s="148" t="s">
        <v>63</v>
      </c>
      <c r="K4113" s="148" t="s">
        <v>64</v>
      </c>
      <c r="L4113" s="148" t="s">
        <v>65</v>
      </c>
      <c r="M4113" s="148" t="s">
        <v>66</v>
      </c>
      <c r="N4113" s="212">
        <v>46190.0</v>
      </c>
      <c r="O4113" s="148" t="s">
        <v>67</v>
      </c>
      <c r="P4113" s="148" t="s">
        <v>68</v>
      </c>
      <c r="Q4113" s="103"/>
      <c r="R4113" s="103"/>
      <c r="S4113" s="103"/>
      <c r="T4113" s="103"/>
      <c r="U4113" s="148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1">
        <v>4108.0</v>
      </c>
      <c r="B4114" s="180" t="s">
        <v>6881</v>
      </c>
      <c r="C4114" s="82" t="str">
        <f>VLOOKUP($B$7:$B$5000,SUM!$L$6:$L$500,1,FALSE)</f>
        <v>#N/A</v>
      </c>
      <c r="D4114" s="190" t="s">
        <v>6723</v>
      </c>
      <c r="E4114" s="198" t="s">
        <v>58</v>
      </c>
      <c r="F4114" s="199" t="s">
        <v>105</v>
      </c>
      <c r="G4114" s="191" t="s">
        <v>1871</v>
      </c>
      <c r="H4114" s="199" t="s">
        <v>6758</v>
      </c>
      <c r="I4114" s="197" t="s">
        <v>6872</v>
      </c>
      <c r="J4114" s="148" t="s">
        <v>63</v>
      </c>
      <c r="K4114" s="148" t="s">
        <v>64</v>
      </c>
      <c r="L4114" s="148" t="s">
        <v>65</v>
      </c>
      <c r="M4114" s="148" t="s">
        <v>66</v>
      </c>
      <c r="N4114" s="212">
        <v>46190.0</v>
      </c>
      <c r="O4114" s="148" t="s">
        <v>67</v>
      </c>
      <c r="P4114" s="148" t="s">
        <v>68</v>
      </c>
      <c r="Q4114" s="103"/>
      <c r="R4114" s="103"/>
      <c r="S4114" s="103"/>
      <c r="T4114" s="103"/>
      <c r="U4114" s="148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1">
        <v>4109.0</v>
      </c>
      <c r="B4115" s="180" t="s">
        <v>6882</v>
      </c>
      <c r="C4115" s="82" t="str">
        <f>VLOOKUP($B$7:$B$5000,SUM!$L$6:$L$500,1,FALSE)</f>
        <v>#N/A</v>
      </c>
      <c r="D4115" s="190" t="s">
        <v>6723</v>
      </c>
      <c r="E4115" s="198" t="s">
        <v>58</v>
      </c>
      <c r="F4115" s="199" t="s">
        <v>105</v>
      </c>
      <c r="G4115" s="191" t="s">
        <v>1871</v>
      </c>
      <c r="H4115" s="199" t="s">
        <v>6760</v>
      </c>
      <c r="I4115" s="197" t="s">
        <v>6872</v>
      </c>
      <c r="J4115" s="148" t="s">
        <v>63</v>
      </c>
      <c r="K4115" s="148" t="s">
        <v>64</v>
      </c>
      <c r="L4115" s="148" t="s">
        <v>65</v>
      </c>
      <c r="M4115" s="148" t="s">
        <v>66</v>
      </c>
      <c r="N4115" s="212">
        <v>46190.0</v>
      </c>
      <c r="O4115" s="148" t="s">
        <v>67</v>
      </c>
      <c r="P4115" s="148" t="s">
        <v>68</v>
      </c>
      <c r="Q4115" s="103"/>
      <c r="R4115" s="103"/>
      <c r="S4115" s="103"/>
      <c r="T4115" s="103"/>
      <c r="U4115" s="148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1">
        <v>4110.0</v>
      </c>
      <c r="B4116" s="180" t="s">
        <v>6883</v>
      </c>
      <c r="C4116" s="82" t="str">
        <f>VLOOKUP($B$7:$B$5000,SUM!$L$6:$L$500,1,FALSE)</f>
        <v>#N/A</v>
      </c>
      <c r="D4116" s="190" t="s">
        <v>6723</v>
      </c>
      <c r="E4116" s="198" t="s">
        <v>58</v>
      </c>
      <c r="F4116" s="199" t="s">
        <v>105</v>
      </c>
      <c r="G4116" s="191" t="s">
        <v>1362</v>
      </c>
      <c r="H4116" s="199" t="s">
        <v>6767</v>
      </c>
      <c r="I4116" s="197" t="s">
        <v>6884</v>
      </c>
      <c r="J4116" s="148" t="s">
        <v>63</v>
      </c>
      <c r="K4116" s="148" t="s">
        <v>64</v>
      </c>
      <c r="L4116" s="148" t="s">
        <v>65</v>
      </c>
      <c r="M4116" s="148" t="s">
        <v>66</v>
      </c>
      <c r="N4116" s="212">
        <v>46190.0</v>
      </c>
      <c r="O4116" s="148" t="s">
        <v>67</v>
      </c>
      <c r="P4116" s="148" t="s">
        <v>68</v>
      </c>
      <c r="Q4116" s="103"/>
      <c r="R4116" s="103"/>
      <c r="S4116" s="103"/>
      <c r="T4116" s="103"/>
      <c r="U4116" s="148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1">
        <v>4111.0</v>
      </c>
      <c r="B4117" s="180" t="s">
        <v>6885</v>
      </c>
      <c r="C4117" s="82" t="str">
        <f>VLOOKUP($B$7:$B$5000,SUM!$L$6:$L$500,1,FALSE)</f>
        <v>#N/A</v>
      </c>
      <c r="D4117" s="190" t="s">
        <v>6723</v>
      </c>
      <c r="E4117" s="198" t="s">
        <v>58</v>
      </c>
      <c r="F4117" s="199" t="s">
        <v>105</v>
      </c>
      <c r="G4117" s="191" t="s">
        <v>1362</v>
      </c>
      <c r="H4117" s="199" t="s">
        <v>6769</v>
      </c>
      <c r="I4117" s="197" t="s">
        <v>6884</v>
      </c>
      <c r="J4117" s="148" t="s">
        <v>63</v>
      </c>
      <c r="K4117" s="148" t="s">
        <v>64</v>
      </c>
      <c r="L4117" s="148" t="s">
        <v>65</v>
      </c>
      <c r="M4117" s="148" t="s">
        <v>66</v>
      </c>
      <c r="N4117" s="212">
        <v>46190.0</v>
      </c>
      <c r="O4117" s="148" t="s">
        <v>67</v>
      </c>
      <c r="P4117" s="148" t="s">
        <v>68</v>
      </c>
      <c r="Q4117" s="103"/>
      <c r="R4117" s="103"/>
      <c r="S4117" s="103"/>
      <c r="T4117" s="103"/>
      <c r="U4117" s="148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1">
        <v>4112.0</v>
      </c>
      <c r="B4118" s="180" t="s">
        <v>6886</v>
      </c>
      <c r="C4118" s="82" t="str">
        <f>VLOOKUP($B$7:$B$5000,SUM!$L$6:$L$500,1,FALSE)</f>
        <v>#N/A</v>
      </c>
      <c r="D4118" s="190" t="s">
        <v>6723</v>
      </c>
      <c r="E4118" s="198" t="s">
        <v>58</v>
      </c>
      <c r="F4118" s="199" t="s">
        <v>105</v>
      </c>
      <c r="G4118" s="191" t="s">
        <v>1362</v>
      </c>
      <c r="H4118" s="199" t="s">
        <v>6771</v>
      </c>
      <c r="I4118" s="197" t="s">
        <v>6884</v>
      </c>
      <c r="J4118" s="148" t="s">
        <v>63</v>
      </c>
      <c r="K4118" s="148" t="s">
        <v>64</v>
      </c>
      <c r="L4118" s="148" t="s">
        <v>65</v>
      </c>
      <c r="M4118" s="148" t="s">
        <v>66</v>
      </c>
      <c r="N4118" s="212">
        <v>46190.0</v>
      </c>
      <c r="O4118" s="148" t="s">
        <v>67</v>
      </c>
      <c r="P4118" s="148" t="s">
        <v>68</v>
      </c>
      <c r="Q4118" s="103"/>
      <c r="R4118" s="103"/>
      <c r="S4118" s="103"/>
      <c r="T4118" s="103"/>
      <c r="U4118" s="148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1">
        <v>4113.0</v>
      </c>
      <c r="B4119" s="180" t="s">
        <v>6887</v>
      </c>
      <c r="C4119" s="82" t="str">
        <f>VLOOKUP($B$7:$B$5000,SUM!$L$6:$L$500,1,FALSE)</f>
        <v>#N/A</v>
      </c>
      <c r="D4119" s="190" t="s">
        <v>6723</v>
      </c>
      <c r="E4119" s="198" t="s">
        <v>58</v>
      </c>
      <c r="F4119" s="199" t="s">
        <v>105</v>
      </c>
      <c r="G4119" s="191" t="s">
        <v>1362</v>
      </c>
      <c r="H4119" s="199" t="s">
        <v>6773</v>
      </c>
      <c r="I4119" s="197" t="s">
        <v>6888</v>
      </c>
      <c r="J4119" s="148" t="s">
        <v>63</v>
      </c>
      <c r="K4119" s="148" t="s">
        <v>64</v>
      </c>
      <c r="L4119" s="148" t="s">
        <v>65</v>
      </c>
      <c r="M4119" s="148" t="s">
        <v>66</v>
      </c>
      <c r="N4119" s="212">
        <v>46190.0</v>
      </c>
      <c r="O4119" s="148" t="s">
        <v>67</v>
      </c>
      <c r="P4119" s="148" t="s">
        <v>68</v>
      </c>
      <c r="Q4119" s="103"/>
      <c r="R4119" s="103"/>
      <c r="S4119" s="103"/>
      <c r="T4119" s="103"/>
      <c r="U4119" s="148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1">
        <v>4114.0</v>
      </c>
      <c r="B4120" s="180" t="s">
        <v>6889</v>
      </c>
      <c r="C4120" s="82" t="str">
        <f>VLOOKUP($B$7:$B$5000,SUM!$L$6:$L$500,1,FALSE)</f>
        <v>#N/A</v>
      </c>
      <c r="D4120" s="190" t="s">
        <v>6723</v>
      </c>
      <c r="E4120" s="198" t="s">
        <v>58</v>
      </c>
      <c r="F4120" s="199" t="s">
        <v>105</v>
      </c>
      <c r="G4120" s="191" t="s">
        <v>1362</v>
      </c>
      <c r="H4120" s="199" t="s">
        <v>6776</v>
      </c>
      <c r="I4120" s="197" t="s">
        <v>6884</v>
      </c>
      <c r="J4120" s="148" t="s">
        <v>63</v>
      </c>
      <c r="K4120" s="148" t="s">
        <v>64</v>
      </c>
      <c r="L4120" s="148" t="s">
        <v>65</v>
      </c>
      <c r="M4120" s="148" t="s">
        <v>66</v>
      </c>
      <c r="N4120" s="212">
        <v>46190.0</v>
      </c>
      <c r="O4120" s="148" t="s">
        <v>67</v>
      </c>
      <c r="P4120" s="148" t="s">
        <v>68</v>
      </c>
      <c r="Q4120" s="103"/>
      <c r="R4120" s="103"/>
      <c r="S4120" s="103"/>
      <c r="T4120" s="103"/>
      <c r="U4120" s="148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1">
        <v>4115.0</v>
      </c>
      <c r="B4121" s="180" t="s">
        <v>6890</v>
      </c>
      <c r="C4121" s="82" t="str">
        <f>VLOOKUP($B$7:$B$5000,SUM!$L$6:$L$500,1,FALSE)</f>
        <v>#N/A</v>
      </c>
      <c r="D4121" s="190" t="s">
        <v>6723</v>
      </c>
      <c r="E4121" s="198" t="s">
        <v>58</v>
      </c>
      <c r="F4121" s="199" t="s">
        <v>105</v>
      </c>
      <c r="G4121" s="191" t="s">
        <v>1362</v>
      </c>
      <c r="H4121" s="199" t="s">
        <v>6779</v>
      </c>
      <c r="I4121" s="197" t="s">
        <v>6891</v>
      </c>
      <c r="J4121" s="148" t="s">
        <v>63</v>
      </c>
      <c r="K4121" s="148" t="s">
        <v>64</v>
      </c>
      <c r="L4121" s="148" t="s">
        <v>65</v>
      </c>
      <c r="M4121" s="148" t="s">
        <v>66</v>
      </c>
      <c r="N4121" s="212">
        <v>46190.0</v>
      </c>
      <c r="O4121" s="148" t="s">
        <v>67</v>
      </c>
      <c r="P4121" s="148" t="s">
        <v>68</v>
      </c>
      <c r="Q4121" s="103"/>
      <c r="R4121" s="103"/>
      <c r="S4121" s="103"/>
      <c r="T4121" s="103"/>
      <c r="U4121" s="148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1">
        <v>4116.0</v>
      </c>
      <c r="B4122" s="180" t="s">
        <v>6892</v>
      </c>
      <c r="C4122" s="82" t="str">
        <f>VLOOKUP($B$7:$B$5000,SUM!$L$6:$L$500,1,FALSE)</f>
        <v>#N/A</v>
      </c>
      <c r="D4122" s="190" t="s">
        <v>6723</v>
      </c>
      <c r="E4122" s="198" t="s">
        <v>58</v>
      </c>
      <c r="F4122" s="199" t="s">
        <v>105</v>
      </c>
      <c r="G4122" s="191" t="s">
        <v>1362</v>
      </c>
      <c r="H4122" s="199" t="s">
        <v>6782</v>
      </c>
      <c r="I4122" s="197" t="s">
        <v>6891</v>
      </c>
      <c r="J4122" s="148" t="s">
        <v>63</v>
      </c>
      <c r="K4122" s="148" t="s">
        <v>64</v>
      </c>
      <c r="L4122" s="148" t="s">
        <v>65</v>
      </c>
      <c r="M4122" s="148" t="s">
        <v>66</v>
      </c>
      <c r="N4122" s="212">
        <v>46190.0</v>
      </c>
      <c r="O4122" s="148" t="s">
        <v>67</v>
      </c>
      <c r="P4122" s="148" t="s">
        <v>68</v>
      </c>
      <c r="Q4122" s="103"/>
      <c r="R4122" s="103"/>
      <c r="S4122" s="103"/>
      <c r="T4122" s="103"/>
      <c r="U4122" s="148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1">
        <v>4117.0</v>
      </c>
      <c r="B4123" s="180" t="s">
        <v>6893</v>
      </c>
      <c r="C4123" s="82" t="str">
        <f>VLOOKUP($B$7:$B$5000,SUM!$L$6:$L$500,1,FALSE)</f>
        <v>#N/A</v>
      </c>
      <c r="D4123" s="190" t="s">
        <v>6723</v>
      </c>
      <c r="E4123" s="198" t="s">
        <v>58</v>
      </c>
      <c r="F4123" s="199" t="s">
        <v>105</v>
      </c>
      <c r="G4123" s="191" t="s">
        <v>1362</v>
      </c>
      <c r="H4123" s="199" t="s">
        <v>6784</v>
      </c>
      <c r="I4123" s="197" t="s">
        <v>6891</v>
      </c>
      <c r="J4123" s="148" t="s">
        <v>63</v>
      </c>
      <c r="K4123" s="148" t="s">
        <v>64</v>
      </c>
      <c r="L4123" s="148" t="s">
        <v>65</v>
      </c>
      <c r="M4123" s="148" t="s">
        <v>66</v>
      </c>
      <c r="N4123" s="212">
        <v>46190.0</v>
      </c>
      <c r="O4123" s="148" t="s">
        <v>67</v>
      </c>
      <c r="P4123" s="148" t="s">
        <v>68</v>
      </c>
      <c r="Q4123" s="103"/>
      <c r="R4123" s="103"/>
      <c r="S4123" s="103"/>
      <c r="T4123" s="103"/>
      <c r="U4123" s="148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1">
        <v>4118.0</v>
      </c>
      <c r="B4124" s="180" t="s">
        <v>6894</v>
      </c>
      <c r="C4124" s="82" t="str">
        <f>VLOOKUP($B$7:$B$5000,SUM!$L$6:$L$500,1,FALSE)</f>
        <v>#N/A</v>
      </c>
      <c r="D4124" s="190" t="s">
        <v>6723</v>
      </c>
      <c r="E4124" s="198" t="s">
        <v>58</v>
      </c>
      <c r="F4124" s="199" t="s">
        <v>105</v>
      </c>
      <c r="G4124" s="191" t="s">
        <v>1362</v>
      </c>
      <c r="H4124" s="199" t="s">
        <v>6786</v>
      </c>
      <c r="I4124" s="197" t="s">
        <v>6891</v>
      </c>
      <c r="J4124" s="148" t="s">
        <v>63</v>
      </c>
      <c r="K4124" s="148" t="s">
        <v>64</v>
      </c>
      <c r="L4124" s="148" t="s">
        <v>65</v>
      </c>
      <c r="M4124" s="148" t="s">
        <v>66</v>
      </c>
      <c r="N4124" s="212">
        <v>46190.0</v>
      </c>
      <c r="O4124" s="148" t="s">
        <v>67</v>
      </c>
      <c r="P4124" s="148" t="s">
        <v>68</v>
      </c>
      <c r="Q4124" s="103"/>
      <c r="R4124" s="103"/>
      <c r="S4124" s="103"/>
      <c r="T4124" s="103"/>
      <c r="U4124" s="148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1">
        <v>4119.0</v>
      </c>
      <c r="B4125" s="180" t="s">
        <v>6895</v>
      </c>
      <c r="C4125" s="82" t="str">
        <f>VLOOKUP($B$7:$B$5000,SUM!$L$6:$L$500,1,FALSE)</f>
        <v>#N/A</v>
      </c>
      <c r="D4125" s="190" t="s">
        <v>6723</v>
      </c>
      <c r="E4125" s="198" t="s">
        <v>58</v>
      </c>
      <c r="F4125" s="199" t="s">
        <v>105</v>
      </c>
      <c r="G4125" s="191" t="s">
        <v>1362</v>
      </c>
      <c r="H4125" s="199" t="s">
        <v>6788</v>
      </c>
      <c r="I4125" s="197" t="s">
        <v>6891</v>
      </c>
      <c r="J4125" s="148" t="s">
        <v>63</v>
      </c>
      <c r="K4125" s="148" t="s">
        <v>64</v>
      </c>
      <c r="L4125" s="148" t="s">
        <v>65</v>
      </c>
      <c r="M4125" s="148" t="s">
        <v>66</v>
      </c>
      <c r="N4125" s="212">
        <v>46190.0</v>
      </c>
      <c r="O4125" s="148" t="s">
        <v>67</v>
      </c>
      <c r="P4125" s="148" t="s">
        <v>68</v>
      </c>
      <c r="Q4125" s="103"/>
      <c r="R4125" s="103"/>
      <c r="S4125" s="103"/>
      <c r="T4125" s="103"/>
      <c r="U4125" s="148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1">
        <v>4120.0</v>
      </c>
      <c r="B4126" s="180" t="s">
        <v>6896</v>
      </c>
      <c r="C4126" s="82" t="str">
        <f>VLOOKUP($B$7:$B$5000,SUM!$L$6:$L$500,1,FALSE)</f>
        <v>#N/A</v>
      </c>
      <c r="D4126" s="190" t="s">
        <v>6723</v>
      </c>
      <c r="E4126" s="198" t="s">
        <v>58</v>
      </c>
      <c r="F4126" s="199" t="s">
        <v>105</v>
      </c>
      <c r="G4126" s="191" t="s">
        <v>1362</v>
      </c>
      <c r="H4126" s="199" t="s">
        <v>6790</v>
      </c>
      <c r="I4126" s="197" t="s">
        <v>6891</v>
      </c>
      <c r="J4126" s="148" t="s">
        <v>63</v>
      </c>
      <c r="K4126" s="148" t="s">
        <v>64</v>
      </c>
      <c r="L4126" s="148" t="s">
        <v>65</v>
      </c>
      <c r="M4126" s="148" t="s">
        <v>66</v>
      </c>
      <c r="N4126" s="212">
        <v>46190.0</v>
      </c>
      <c r="O4126" s="148" t="s">
        <v>67</v>
      </c>
      <c r="P4126" s="148" t="s">
        <v>68</v>
      </c>
      <c r="Q4126" s="103"/>
      <c r="R4126" s="103"/>
      <c r="S4126" s="103"/>
      <c r="T4126" s="103"/>
      <c r="U4126" s="148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1">
        <v>4121.0</v>
      </c>
      <c r="B4127" s="180" t="s">
        <v>6897</v>
      </c>
      <c r="C4127" s="82" t="str">
        <f>VLOOKUP($B$7:$B$5000,SUM!$L$6:$L$500,1,FALSE)</f>
        <v>#N/A</v>
      </c>
      <c r="D4127" s="190" t="s">
        <v>6723</v>
      </c>
      <c r="E4127" s="198" t="s">
        <v>58</v>
      </c>
      <c r="F4127" s="199" t="s">
        <v>105</v>
      </c>
      <c r="G4127" s="191" t="s">
        <v>1362</v>
      </c>
      <c r="H4127" s="199" t="s">
        <v>6792</v>
      </c>
      <c r="I4127" s="197" t="s">
        <v>6891</v>
      </c>
      <c r="J4127" s="148" t="s">
        <v>63</v>
      </c>
      <c r="K4127" s="148" t="s">
        <v>64</v>
      </c>
      <c r="L4127" s="148" t="s">
        <v>65</v>
      </c>
      <c r="M4127" s="148" t="s">
        <v>66</v>
      </c>
      <c r="N4127" s="212">
        <v>46190.0</v>
      </c>
      <c r="O4127" s="148" t="s">
        <v>67</v>
      </c>
      <c r="P4127" s="148" t="s">
        <v>68</v>
      </c>
      <c r="Q4127" s="103"/>
      <c r="R4127" s="103"/>
      <c r="S4127" s="103"/>
      <c r="T4127" s="103"/>
      <c r="U4127" s="148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1">
        <v>4122.0</v>
      </c>
      <c r="B4128" s="180" t="s">
        <v>6898</v>
      </c>
      <c r="C4128" s="82" t="str">
        <f>VLOOKUP($B$7:$B$5000,SUM!$L$6:$L$500,1,FALSE)</f>
        <v>#N/A</v>
      </c>
      <c r="D4128" s="190" t="s">
        <v>6723</v>
      </c>
      <c r="E4128" s="198" t="s">
        <v>58</v>
      </c>
      <c r="F4128" s="199" t="s">
        <v>105</v>
      </c>
      <c r="G4128" s="191" t="s">
        <v>1362</v>
      </c>
      <c r="H4128" s="199" t="s">
        <v>6794</v>
      </c>
      <c r="I4128" s="197" t="s">
        <v>6891</v>
      </c>
      <c r="J4128" s="148" t="s">
        <v>63</v>
      </c>
      <c r="K4128" s="148" t="s">
        <v>64</v>
      </c>
      <c r="L4128" s="148" t="s">
        <v>65</v>
      </c>
      <c r="M4128" s="148" t="s">
        <v>66</v>
      </c>
      <c r="N4128" s="212">
        <v>46190.0</v>
      </c>
      <c r="O4128" s="148" t="s">
        <v>67</v>
      </c>
      <c r="P4128" s="148" t="s">
        <v>68</v>
      </c>
      <c r="Q4128" s="103"/>
      <c r="R4128" s="103"/>
      <c r="S4128" s="103"/>
      <c r="T4128" s="103"/>
      <c r="U4128" s="148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1">
        <v>4123.0</v>
      </c>
      <c r="B4129" s="180" t="s">
        <v>6899</v>
      </c>
      <c r="C4129" s="82" t="str">
        <f>VLOOKUP($B$7:$B$5000,SUM!$L$6:$L$500,1,FALSE)</f>
        <v>#N/A</v>
      </c>
      <c r="D4129" s="190" t="s">
        <v>6723</v>
      </c>
      <c r="E4129" s="198" t="s">
        <v>58</v>
      </c>
      <c r="F4129" s="199" t="s">
        <v>105</v>
      </c>
      <c r="G4129" s="191" t="s">
        <v>1362</v>
      </c>
      <c r="H4129" s="199" t="s">
        <v>6796</v>
      </c>
      <c r="I4129" s="197" t="s">
        <v>6891</v>
      </c>
      <c r="J4129" s="148" t="s">
        <v>63</v>
      </c>
      <c r="K4129" s="148" t="s">
        <v>64</v>
      </c>
      <c r="L4129" s="148" t="s">
        <v>65</v>
      </c>
      <c r="M4129" s="148" t="s">
        <v>66</v>
      </c>
      <c r="N4129" s="212">
        <v>46190.0</v>
      </c>
      <c r="O4129" s="148" t="s">
        <v>67</v>
      </c>
      <c r="P4129" s="148" t="s">
        <v>68</v>
      </c>
      <c r="Q4129" s="103"/>
      <c r="R4129" s="103"/>
      <c r="S4129" s="103"/>
      <c r="T4129" s="103"/>
      <c r="U4129" s="148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1">
        <v>4124.0</v>
      </c>
      <c r="B4130" s="180" t="s">
        <v>6900</v>
      </c>
      <c r="C4130" s="82" t="str">
        <f>VLOOKUP($B$7:$B$5000,SUM!$L$6:$L$500,1,FALSE)</f>
        <v>#N/A</v>
      </c>
      <c r="D4130" s="190" t="s">
        <v>6723</v>
      </c>
      <c r="E4130" s="198" t="s">
        <v>58</v>
      </c>
      <c r="F4130" s="199" t="s">
        <v>105</v>
      </c>
      <c r="G4130" s="191" t="s">
        <v>1362</v>
      </c>
      <c r="H4130" s="199" t="s">
        <v>6798</v>
      </c>
      <c r="I4130" s="197" t="s">
        <v>6870</v>
      </c>
      <c r="J4130" s="148" t="s">
        <v>63</v>
      </c>
      <c r="K4130" s="148" t="s">
        <v>64</v>
      </c>
      <c r="L4130" s="148" t="s">
        <v>65</v>
      </c>
      <c r="M4130" s="148" t="s">
        <v>66</v>
      </c>
      <c r="N4130" s="212">
        <v>46190.0</v>
      </c>
      <c r="O4130" s="148" t="s">
        <v>67</v>
      </c>
      <c r="P4130" s="148" t="s">
        <v>68</v>
      </c>
      <c r="Q4130" s="103"/>
      <c r="R4130" s="103"/>
      <c r="S4130" s="103"/>
      <c r="T4130" s="103"/>
      <c r="U4130" s="148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1">
        <v>4125.0</v>
      </c>
      <c r="B4131" s="180" t="s">
        <v>6901</v>
      </c>
      <c r="C4131" s="82" t="str">
        <f>VLOOKUP($B$7:$B$5000,SUM!$L$6:$L$500,1,FALSE)</f>
        <v>#N/A</v>
      </c>
      <c r="D4131" s="190" t="s">
        <v>6723</v>
      </c>
      <c r="E4131" s="198" t="s">
        <v>58</v>
      </c>
      <c r="F4131" s="199" t="s">
        <v>105</v>
      </c>
      <c r="G4131" s="191" t="s">
        <v>1362</v>
      </c>
      <c r="H4131" s="199" t="s">
        <v>6802</v>
      </c>
      <c r="I4131" s="197" t="s">
        <v>6876</v>
      </c>
      <c r="J4131" s="148" t="s">
        <v>63</v>
      </c>
      <c r="K4131" s="148" t="s">
        <v>64</v>
      </c>
      <c r="L4131" s="148" t="s">
        <v>65</v>
      </c>
      <c r="M4131" s="148" t="s">
        <v>66</v>
      </c>
      <c r="N4131" s="212">
        <v>46190.0</v>
      </c>
      <c r="O4131" s="148" t="s">
        <v>67</v>
      </c>
      <c r="P4131" s="148" t="s">
        <v>68</v>
      </c>
      <c r="Q4131" s="103"/>
      <c r="R4131" s="103"/>
      <c r="S4131" s="103"/>
      <c r="T4131" s="103"/>
      <c r="U4131" s="148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1">
        <v>4126.0</v>
      </c>
      <c r="B4132" s="180" t="s">
        <v>6902</v>
      </c>
      <c r="C4132" s="82" t="str">
        <f>VLOOKUP($B$7:$B$5000,SUM!$L$6:$L$500,1,FALSE)</f>
        <v>#N/A</v>
      </c>
      <c r="D4132" s="190" t="s">
        <v>6723</v>
      </c>
      <c r="E4132" s="198" t="s">
        <v>58</v>
      </c>
      <c r="F4132" s="199" t="s">
        <v>105</v>
      </c>
      <c r="G4132" s="191" t="s">
        <v>1362</v>
      </c>
      <c r="H4132" s="199" t="s">
        <v>6804</v>
      </c>
      <c r="I4132" s="197" t="s">
        <v>6903</v>
      </c>
      <c r="J4132" s="148" t="s">
        <v>63</v>
      </c>
      <c r="K4132" s="148" t="s">
        <v>64</v>
      </c>
      <c r="L4132" s="148" t="s">
        <v>65</v>
      </c>
      <c r="M4132" s="148" t="s">
        <v>66</v>
      </c>
      <c r="N4132" s="212">
        <v>46190.0</v>
      </c>
      <c r="O4132" s="148" t="s">
        <v>67</v>
      </c>
      <c r="P4132" s="148" t="s">
        <v>68</v>
      </c>
      <c r="Q4132" s="103"/>
      <c r="R4132" s="103"/>
      <c r="S4132" s="103"/>
      <c r="T4132" s="103"/>
      <c r="U4132" s="148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1">
        <v>4127.0</v>
      </c>
      <c r="B4133" s="180" t="s">
        <v>6904</v>
      </c>
      <c r="C4133" s="82" t="str">
        <f>VLOOKUP($B$7:$B$5000,SUM!$L$6:$L$500,1,FALSE)</f>
        <v>#N/A</v>
      </c>
      <c r="D4133" s="190" t="s">
        <v>6723</v>
      </c>
      <c r="E4133" s="198" t="s">
        <v>58</v>
      </c>
      <c r="F4133" s="199" t="s">
        <v>105</v>
      </c>
      <c r="G4133" s="191" t="s">
        <v>1362</v>
      </c>
      <c r="H4133" s="199" t="s">
        <v>6806</v>
      </c>
      <c r="I4133" s="197" t="s">
        <v>6876</v>
      </c>
      <c r="J4133" s="148" t="s">
        <v>63</v>
      </c>
      <c r="K4133" s="148" t="s">
        <v>64</v>
      </c>
      <c r="L4133" s="148" t="s">
        <v>65</v>
      </c>
      <c r="M4133" s="148" t="s">
        <v>66</v>
      </c>
      <c r="N4133" s="212">
        <v>46190.0</v>
      </c>
      <c r="O4133" s="148" t="s">
        <v>67</v>
      </c>
      <c r="P4133" s="148" t="s">
        <v>68</v>
      </c>
      <c r="Q4133" s="103"/>
      <c r="R4133" s="103"/>
      <c r="S4133" s="103"/>
      <c r="T4133" s="103"/>
      <c r="U4133" s="148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1">
        <v>4128.0</v>
      </c>
      <c r="B4134" s="180" t="s">
        <v>6905</v>
      </c>
      <c r="C4134" s="82" t="str">
        <f>VLOOKUP($B$7:$B$5000,SUM!$L$6:$L$500,1,FALSE)</f>
        <v>#N/A</v>
      </c>
      <c r="D4134" s="190" t="s">
        <v>6723</v>
      </c>
      <c r="E4134" s="198" t="s">
        <v>58</v>
      </c>
      <c r="F4134" s="199" t="s">
        <v>105</v>
      </c>
      <c r="G4134" s="191" t="s">
        <v>1362</v>
      </c>
      <c r="H4134" s="199" t="s">
        <v>6808</v>
      </c>
      <c r="I4134" s="197" t="s">
        <v>6876</v>
      </c>
      <c r="J4134" s="148" t="s">
        <v>63</v>
      </c>
      <c r="K4134" s="148" t="s">
        <v>64</v>
      </c>
      <c r="L4134" s="148" t="s">
        <v>65</v>
      </c>
      <c r="M4134" s="148" t="s">
        <v>66</v>
      </c>
      <c r="N4134" s="212">
        <v>46190.0</v>
      </c>
      <c r="O4134" s="148" t="s">
        <v>67</v>
      </c>
      <c r="P4134" s="148" t="s">
        <v>68</v>
      </c>
      <c r="Q4134" s="103"/>
      <c r="R4134" s="103"/>
      <c r="S4134" s="103"/>
      <c r="T4134" s="103"/>
      <c r="U4134" s="148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1">
        <v>4129.0</v>
      </c>
      <c r="B4135" s="90" t="s">
        <v>6906</v>
      </c>
      <c r="C4135" s="82" t="str">
        <f>VLOOKUP($B$7:$B$5000,SUM!$L$6:$L$500,1,FALSE)</f>
        <v>#N/A</v>
      </c>
      <c r="D4135" s="190" t="s">
        <v>6724</v>
      </c>
      <c r="E4135" s="244" t="s">
        <v>2678</v>
      </c>
      <c r="F4135" s="199" t="s">
        <v>105</v>
      </c>
      <c r="G4135" s="199" t="s">
        <v>1362</v>
      </c>
      <c r="H4135" s="199" t="s">
        <v>6724</v>
      </c>
      <c r="I4135" s="201" t="s">
        <v>6907</v>
      </c>
      <c r="J4135" s="148" t="s">
        <v>108</v>
      </c>
      <c r="K4135" s="148" t="s">
        <v>64</v>
      </c>
      <c r="L4135" s="148" t="s">
        <v>65</v>
      </c>
      <c r="M4135" s="148" t="s">
        <v>66</v>
      </c>
      <c r="N4135" s="212">
        <v>46190.0</v>
      </c>
      <c r="O4135" s="148" t="s">
        <v>67</v>
      </c>
      <c r="P4135" s="148" t="s">
        <v>68</v>
      </c>
      <c r="Q4135" s="103"/>
      <c r="R4135" s="103"/>
      <c r="S4135" s="103"/>
      <c r="T4135" s="103"/>
      <c r="U4135" s="148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1">
        <v>4130.0</v>
      </c>
      <c r="B4136" s="90" t="s">
        <v>6908</v>
      </c>
      <c r="C4136" s="82" t="str">
        <f>VLOOKUP($B$7:$B$5000,SUM!$L$6:$L$500,1,FALSE)</f>
        <v>#N/A</v>
      </c>
      <c r="D4136" s="190" t="s">
        <v>6726</v>
      </c>
      <c r="E4136" s="244" t="s">
        <v>6909</v>
      </c>
      <c r="F4136" s="199" t="s">
        <v>105</v>
      </c>
      <c r="G4136" s="199" t="s">
        <v>1362</v>
      </c>
      <c r="H4136" s="199" t="s">
        <v>6726</v>
      </c>
      <c r="I4136" s="201" t="s">
        <v>6910</v>
      </c>
      <c r="J4136" s="148" t="s">
        <v>108</v>
      </c>
      <c r="K4136" s="148" t="s">
        <v>64</v>
      </c>
      <c r="L4136" s="148" t="s">
        <v>65</v>
      </c>
      <c r="M4136" s="148" t="s">
        <v>66</v>
      </c>
      <c r="N4136" s="212">
        <v>46190.0</v>
      </c>
      <c r="O4136" s="148" t="s">
        <v>67</v>
      </c>
      <c r="P4136" s="148" t="s">
        <v>68</v>
      </c>
      <c r="Q4136" s="103"/>
      <c r="R4136" s="103"/>
      <c r="S4136" s="103"/>
      <c r="T4136" s="103"/>
      <c r="U4136" s="148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1">
        <v>4131.0</v>
      </c>
      <c r="B4137" s="90" t="s">
        <v>6911</v>
      </c>
      <c r="C4137" s="82" t="str">
        <f>VLOOKUP($B$7:$B$5000,SUM!$L$6:$L$500,1,FALSE)</f>
        <v>#N/A</v>
      </c>
      <c r="D4137" s="190" t="s">
        <v>6734</v>
      </c>
      <c r="E4137" s="244" t="s">
        <v>6912</v>
      </c>
      <c r="F4137" s="199" t="s">
        <v>105</v>
      </c>
      <c r="G4137" s="199" t="s">
        <v>1362</v>
      </c>
      <c r="H4137" s="199" t="s">
        <v>6734</v>
      </c>
      <c r="I4137" s="201" t="s">
        <v>6913</v>
      </c>
      <c r="J4137" s="148" t="s">
        <v>108</v>
      </c>
      <c r="K4137" s="148" t="s">
        <v>64</v>
      </c>
      <c r="L4137" s="148" t="s">
        <v>65</v>
      </c>
      <c r="M4137" s="148" t="s">
        <v>66</v>
      </c>
      <c r="N4137" s="212">
        <v>46190.0</v>
      </c>
      <c r="O4137" s="148" t="s">
        <v>67</v>
      </c>
      <c r="P4137" s="148" t="s">
        <v>68</v>
      </c>
      <c r="Q4137" s="103"/>
      <c r="R4137" s="103"/>
      <c r="S4137" s="103"/>
      <c r="T4137" s="103"/>
      <c r="U4137" s="148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1">
        <v>4132.0</v>
      </c>
      <c r="B4138" s="90" t="s">
        <v>6914</v>
      </c>
      <c r="C4138" s="82" t="str">
        <f>VLOOKUP($B$7:$B$5000,SUM!$L$6:$L$500,1,FALSE)</f>
        <v>#N/A</v>
      </c>
      <c r="D4138" s="231" t="s">
        <v>6915</v>
      </c>
      <c r="E4138" s="198" t="s">
        <v>58</v>
      </c>
      <c r="F4138" s="199" t="s">
        <v>6205</v>
      </c>
      <c r="G4138" s="191" t="s">
        <v>6206</v>
      </c>
      <c r="H4138" s="229" t="s">
        <v>6916</v>
      </c>
      <c r="I4138" s="197" t="s">
        <v>6208</v>
      </c>
      <c r="J4138" s="148" t="s">
        <v>63</v>
      </c>
      <c r="K4138" s="148" t="s">
        <v>64</v>
      </c>
      <c r="L4138" s="148" t="s">
        <v>65</v>
      </c>
      <c r="M4138" s="148" t="s">
        <v>66</v>
      </c>
      <c r="N4138" s="212">
        <v>46193.0</v>
      </c>
      <c r="O4138" s="148" t="s">
        <v>67</v>
      </c>
      <c r="P4138" s="148" t="s">
        <v>68</v>
      </c>
      <c r="Q4138" s="103"/>
      <c r="R4138" s="103"/>
      <c r="S4138" s="103"/>
      <c r="T4138" s="103"/>
      <c r="U4138" s="148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1">
        <v>4133.0</v>
      </c>
      <c r="B4139" s="90" t="s">
        <v>6917</v>
      </c>
      <c r="C4139" s="82" t="str">
        <f>VLOOKUP($B$7:$B$5000,SUM!$L$6:$L$500,1,FALSE)</f>
        <v>#N/A</v>
      </c>
      <c r="D4139" s="232" t="s">
        <v>6915</v>
      </c>
      <c r="E4139" s="198" t="s">
        <v>58</v>
      </c>
      <c r="F4139" s="199" t="s">
        <v>6205</v>
      </c>
      <c r="G4139" s="191" t="s">
        <v>6206</v>
      </c>
      <c r="H4139" s="229" t="s">
        <v>6918</v>
      </c>
      <c r="I4139" s="197" t="s">
        <v>6208</v>
      </c>
      <c r="J4139" s="148" t="s">
        <v>63</v>
      </c>
      <c r="K4139" s="148" t="s">
        <v>64</v>
      </c>
      <c r="L4139" s="148" t="s">
        <v>65</v>
      </c>
      <c r="M4139" s="148" t="s">
        <v>66</v>
      </c>
      <c r="N4139" s="212">
        <v>46193.0</v>
      </c>
      <c r="O4139" s="148" t="s">
        <v>67</v>
      </c>
      <c r="P4139" s="148" t="s">
        <v>68</v>
      </c>
      <c r="Q4139" s="103"/>
      <c r="R4139" s="103"/>
      <c r="S4139" s="103"/>
      <c r="T4139" s="103"/>
      <c r="U4139" s="148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1">
        <v>4134.0</v>
      </c>
      <c r="B4140" s="90" t="s">
        <v>6919</v>
      </c>
      <c r="C4140" s="82" t="str">
        <f>VLOOKUP($B$7:$B$5000,SUM!$L$6:$L$500,1,FALSE)</f>
        <v>#N/A</v>
      </c>
      <c r="D4140" s="232" t="s">
        <v>6915</v>
      </c>
      <c r="E4140" s="198" t="s">
        <v>58</v>
      </c>
      <c r="F4140" s="199" t="s">
        <v>6205</v>
      </c>
      <c r="G4140" s="191" t="s">
        <v>6206</v>
      </c>
      <c r="H4140" s="229" t="s">
        <v>6920</v>
      </c>
      <c r="I4140" s="197" t="s">
        <v>6208</v>
      </c>
      <c r="J4140" s="148" t="s">
        <v>63</v>
      </c>
      <c r="K4140" s="148" t="s">
        <v>64</v>
      </c>
      <c r="L4140" s="148" t="s">
        <v>65</v>
      </c>
      <c r="M4140" s="148" t="s">
        <v>66</v>
      </c>
      <c r="N4140" s="212">
        <v>46193.0</v>
      </c>
      <c r="O4140" s="148" t="s">
        <v>67</v>
      </c>
      <c r="P4140" s="148" t="s">
        <v>68</v>
      </c>
      <c r="Q4140" s="103"/>
      <c r="R4140" s="103"/>
      <c r="S4140" s="103"/>
      <c r="T4140" s="103"/>
      <c r="U4140" s="148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1">
        <v>4135.0</v>
      </c>
      <c r="B4141" s="90" t="s">
        <v>6921</v>
      </c>
      <c r="C4141" s="82" t="str">
        <f>VLOOKUP($B$7:$B$5000,SUM!$L$6:$L$500,1,FALSE)</f>
        <v>#N/A</v>
      </c>
      <c r="D4141" s="232" t="s">
        <v>6915</v>
      </c>
      <c r="E4141" s="198" t="s">
        <v>58</v>
      </c>
      <c r="F4141" s="199" t="s">
        <v>6205</v>
      </c>
      <c r="G4141" s="191" t="s">
        <v>6206</v>
      </c>
      <c r="H4141" s="229" t="s">
        <v>6922</v>
      </c>
      <c r="I4141" s="197" t="s">
        <v>6208</v>
      </c>
      <c r="J4141" s="148" t="s">
        <v>63</v>
      </c>
      <c r="K4141" s="148" t="s">
        <v>64</v>
      </c>
      <c r="L4141" s="148" t="s">
        <v>65</v>
      </c>
      <c r="M4141" s="148" t="s">
        <v>66</v>
      </c>
      <c r="N4141" s="212">
        <v>46193.0</v>
      </c>
      <c r="O4141" s="148" t="s">
        <v>67</v>
      </c>
      <c r="P4141" s="148" t="s">
        <v>68</v>
      </c>
      <c r="Q4141" s="103"/>
      <c r="R4141" s="103"/>
      <c r="S4141" s="103"/>
      <c r="T4141" s="103"/>
      <c r="U4141" s="148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1">
        <v>4136.0</v>
      </c>
      <c r="B4142" s="90" t="s">
        <v>6923</v>
      </c>
      <c r="C4142" s="82" t="str">
        <f>VLOOKUP($B$7:$B$5000,SUM!$L$6:$L$500,1,FALSE)</f>
        <v>#N/A</v>
      </c>
      <c r="D4142" s="232" t="s">
        <v>6915</v>
      </c>
      <c r="E4142" s="198" t="s">
        <v>58</v>
      </c>
      <c r="F4142" s="199" t="s">
        <v>6205</v>
      </c>
      <c r="G4142" s="191" t="s">
        <v>6206</v>
      </c>
      <c r="H4142" s="229" t="s">
        <v>6924</v>
      </c>
      <c r="I4142" s="197" t="s">
        <v>6208</v>
      </c>
      <c r="J4142" s="148" t="s">
        <v>63</v>
      </c>
      <c r="K4142" s="148" t="s">
        <v>64</v>
      </c>
      <c r="L4142" s="148" t="s">
        <v>65</v>
      </c>
      <c r="M4142" s="148" t="s">
        <v>66</v>
      </c>
      <c r="N4142" s="212">
        <v>46193.0</v>
      </c>
      <c r="O4142" s="148" t="s">
        <v>67</v>
      </c>
      <c r="P4142" s="148" t="s">
        <v>68</v>
      </c>
      <c r="Q4142" s="103"/>
      <c r="R4142" s="103"/>
      <c r="S4142" s="103"/>
      <c r="T4142" s="103"/>
      <c r="U4142" s="148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1">
        <v>4137.0</v>
      </c>
      <c r="B4143" s="90" t="s">
        <v>6925</v>
      </c>
      <c r="C4143" s="82" t="str">
        <f>VLOOKUP($B$7:$B$5000,SUM!$L$6:$L$500,1,FALSE)</f>
        <v>#N/A</v>
      </c>
      <c r="D4143" s="232" t="s">
        <v>6915</v>
      </c>
      <c r="E4143" s="198" t="s">
        <v>58</v>
      </c>
      <c r="F4143" s="199" t="s">
        <v>6205</v>
      </c>
      <c r="G4143" s="191" t="s">
        <v>6206</v>
      </c>
      <c r="H4143" s="229" t="s">
        <v>6926</v>
      </c>
      <c r="I4143" s="197" t="s">
        <v>6208</v>
      </c>
      <c r="J4143" s="148" t="s">
        <v>63</v>
      </c>
      <c r="K4143" s="148" t="s">
        <v>64</v>
      </c>
      <c r="L4143" s="148" t="s">
        <v>65</v>
      </c>
      <c r="M4143" s="148" t="s">
        <v>66</v>
      </c>
      <c r="N4143" s="212">
        <v>46193.0</v>
      </c>
      <c r="O4143" s="148" t="s">
        <v>67</v>
      </c>
      <c r="P4143" s="148" t="s">
        <v>68</v>
      </c>
      <c r="Q4143" s="103"/>
      <c r="R4143" s="103"/>
      <c r="S4143" s="103"/>
      <c r="T4143" s="103"/>
      <c r="U4143" s="148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1">
        <v>4138.0</v>
      </c>
      <c r="B4144" s="90" t="s">
        <v>6927</v>
      </c>
      <c r="C4144" s="82" t="str">
        <f>VLOOKUP($B$7:$B$5000,SUM!$L$6:$L$500,1,FALSE)</f>
        <v>#N/A</v>
      </c>
      <c r="D4144" s="232" t="s">
        <v>6915</v>
      </c>
      <c r="E4144" s="198" t="s">
        <v>58</v>
      </c>
      <c r="F4144" s="199" t="s">
        <v>6205</v>
      </c>
      <c r="G4144" s="191" t="s">
        <v>6206</v>
      </c>
      <c r="H4144" s="229" t="s">
        <v>6928</v>
      </c>
      <c r="I4144" s="197" t="s">
        <v>6208</v>
      </c>
      <c r="J4144" s="148" t="s">
        <v>63</v>
      </c>
      <c r="K4144" s="148" t="s">
        <v>64</v>
      </c>
      <c r="L4144" s="148" t="s">
        <v>65</v>
      </c>
      <c r="M4144" s="148" t="s">
        <v>66</v>
      </c>
      <c r="N4144" s="212">
        <v>46193.0</v>
      </c>
      <c r="O4144" s="148" t="s">
        <v>67</v>
      </c>
      <c r="P4144" s="148" t="s">
        <v>68</v>
      </c>
      <c r="Q4144" s="103"/>
      <c r="R4144" s="103"/>
      <c r="S4144" s="103"/>
      <c r="T4144" s="103"/>
      <c r="U4144" s="148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1">
        <v>4139.0</v>
      </c>
      <c r="B4145" s="90" t="s">
        <v>6929</v>
      </c>
      <c r="C4145" s="82" t="str">
        <f>VLOOKUP($B$7:$B$5000,SUM!$L$6:$L$500,1,FALSE)</f>
        <v>#N/A</v>
      </c>
      <c r="D4145" s="232" t="s">
        <v>6915</v>
      </c>
      <c r="E4145" s="198" t="s">
        <v>58</v>
      </c>
      <c r="F4145" s="199" t="s">
        <v>6205</v>
      </c>
      <c r="G4145" s="191" t="s">
        <v>6206</v>
      </c>
      <c r="H4145" s="229" t="s">
        <v>6930</v>
      </c>
      <c r="I4145" s="197" t="s">
        <v>6208</v>
      </c>
      <c r="J4145" s="148" t="s">
        <v>63</v>
      </c>
      <c r="K4145" s="148" t="s">
        <v>64</v>
      </c>
      <c r="L4145" s="148" t="s">
        <v>65</v>
      </c>
      <c r="M4145" s="148" t="s">
        <v>66</v>
      </c>
      <c r="N4145" s="212">
        <v>46193.0</v>
      </c>
      <c r="O4145" s="148" t="s">
        <v>67</v>
      </c>
      <c r="P4145" s="148" t="s">
        <v>68</v>
      </c>
      <c r="Q4145" s="103"/>
      <c r="R4145" s="103"/>
      <c r="S4145" s="103"/>
      <c r="T4145" s="103"/>
      <c r="U4145" s="148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1">
        <v>4140.0</v>
      </c>
      <c r="B4146" s="90" t="s">
        <v>6931</v>
      </c>
      <c r="C4146" s="82" t="str">
        <f>VLOOKUP($B$7:$B$5000,SUM!$L$6:$L$500,1,FALSE)</f>
        <v>#N/A</v>
      </c>
      <c r="D4146" s="232" t="s">
        <v>6915</v>
      </c>
      <c r="E4146" s="198" t="s">
        <v>58</v>
      </c>
      <c r="F4146" s="199" t="s">
        <v>6205</v>
      </c>
      <c r="G4146" s="191" t="s">
        <v>6206</v>
      </c>
      <c r="H4146" s="229" t="s">
        <v>6932</v>
      </c>
      <c r="I4146" s="197" t="s">
        <v>6208</v>
      </c>
      <c r="J4146" s="148" t="s">
        <v>63</v>
      </c>
      <c r="K4146" s="148" t="s">
        <v>64</v>
      </c>
      <c r="L4146" s="148" t="s">
        <v>65</v>
      </c>
      <c r="M4146" s="148" t="s">
        <v>66</v>
      </c>
      <c r="N4146" s="212">
        <v>46193.0</v>
      </c>
      <c r="O4146" s="148" t="s">
        <v>67</v>
      </c>
      <c r="P4146" s="148" t="s">
        <v>68</v>
      </c>
      <c r="Q4146" s="103"/>
      <c r="R4146" s="103"/>
      <c r="S4146" s="103"/>
      <c r="T4146" s="103"/>
      <c r="U4146" s="148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1">
        <v>4141.0</v>
      </c>
      <c r="B4147" s="90" t="s">
        <v>6933</v>
      </c>
      <c r="C4147" s="82" t="str">
        <f>VLOOKUP($B$7:$B$5000,SUM!$L$6:$L$500,1,FALSE)</f>
        <v>#N/A</v>
      </c>
      <c r="D4147" s="190" t="s">
        <v>6915</v>
      </c>
      <c r="E4147" s="198" t="s">
        <v>58</v>
      </c>
      <c r="F4147" s="199" t="s">
        <v>6205</v>
      </c>
      <c r="G4147" s="191" t="s">
        <v>6206</v>
      </c>
      <c r="H4147" s="199" t="s">
        <v>6934</v>
      </c>
      <c r="I4147" s="197" t="s">
        <v>6208</v>
      </c>
      <c r="J4147" s="148" t="s">
        <v>63</v>
      </c>
      <c r="K4147" s="148" t="s">
        <v>64</v>
      </c>
      <c r="L4147" s="148" t="s">
        <v>65</v>
      </c>
      <c r="M4147" s="148" t="s">
        <v>66</v>
      </c>
      <c r="N4147" s="212">
        <v>46193.0</v>
      </c>
      <c r="O4147" s="148" t="s">
        <v>67</v>
      </c>
      <c r="P4147" s="148" t="s">
        <v>68</v>
      </c>
      <c r="Q4147" s="103"/>
      <c r="R4147" s="103"/>
      <c r="S4147" s="103"/>
      <c r="T4147" s="103"/>
      <c r="U4147" s="148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1">
        <v>4142.0</v>
      </c>
      <c r="B4148" s="90" t="s">
        <v>6935</v>
      </c>
      <c r="C4148" s="82" t="str">
        <f>VLOOKUP($B$7:$B$5000,SUM!$L$6:$L$500,1,FALSE)</f>
        <v>#N/A</v>
      </c>
      <c r="D4148" s="190" t="s">
        <v>6936</v>
      </c>
      <c r="E4148" s="198" t="s">
        <v>58</v>
      </c>
      <c r="F4148" s="199" t="s">
        <v>6937</v>
      </c>
      <c r="G4148" s="191" t="s">
        <v>5443</v>
      </c>
      <c r="H4148" s="199" t="s">
        <v>61</v>
      </c>
      <c r="I4148" s="221" t="s">
        <v>6938</v>
      </c>
      <c r="J4148" s="199" t="s">
        <v>63</v>
      </c>
      <c r="K4148" s="245" t="s">
        <v>64</v>
      </c>
      <c r="L4148" s="199" t="s">
        <v>65</v>
      </c>
      <c r="M4148" s="199" t="s">
        <v>66</v>
      </c>
      <c r="N4148" s="222">
        <v>46193.0</v>
      </c>
      <c r="O4148" s="199" t="s">
        <v>67</v>
      </c>
      <c r="P4148" s="148" t="s">
        <v>68</v>
      </c>
      <c r="Q4148" s="103"/>
      <c r="R4148" s="103"/>
      <c r="S4148" s="103"/>
      <c r="T4148" s="103"/>
      <c r="U4148" s="148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1">
        <v>4143.0</v>
      </c>
      <c r="B4149" s="90" t="s">
        <v>6939</v>
      </c>
      <c r="C4149" s="82" t="str">
        <f>VLOOKUP($B$7:$B$5000,SUM!$L$6:$L$500,1,FALSE)</f>
        <v>#N/A</v>
      </c>
      <c r="D4149" s="190" t="s">
        <v>6936</v>
      </c>
      <c r="E4149" s="198" t="s">
        <v>58</v>
      </c>
      <c r="F4149" s="199" t="s">
        <v>6937</v>
      </c>
      <c r="G4149" s="191" t="s">
        <v>5443</v>
      </c>
      <c r="H4149" s="199" t="s">
        <v>61</v>
      </c>
      <c r="I4149" s="223" t="s">
        <v>6940</v>
      </c>
      <c r="J4149" s="199" t="s">
        <v>108</v>
      </c>
      <c r="K4149" s="245" t="s">
        <v>64</v>
      </c>
      <c r="L4149" s="199" t="s">
        <v>65</v>
      </c>
      <c r="M4149" s="199" t="s">
        <v>66</v>
      </c>
      <c r="N4149" s="222">
        <v>46193.0</v>
      </c>
      <c r="O4149" s="199" t="s">
        <v>67</v>
      </c>
      <c r="P4149" s="148" t="s">
        <v>68</v>
      </c>
      <c r="Q4149" s="103"/>
      <c r="R4149" s="103"/>
      <c r="S4149" s="103"/>
      <c r="T4149" s="103"/>
      <c r="U4149" s="148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1">
        <v>4144.0</v>
      </c>
      <c r="B4150" s="90" t="s">
        <v>6941</v>
      </c>
      <c r="C4150" s="82" t="str">
        <f>VLOOKUP($B$7:$B$5000,SUM!$L$6:$L$500,1,FALSE)</f>
        <v>#N/A</v>
      </c>
      <c r="D4150" s="190" t="s">
        <v>6936</v>
      </c>
      <c r="E4150" s="198" t="s">
        <v>58</v>
      </c>
      <c r="F4150" s="199" t="s">
        <v>6937</v>
      </c>
      <c r="G4150" s="191" t="s">
        <v>5443</v>
      </c>
      <c r="H4150" s="199" t="s">
        <v>61</v>
      </c>
      <c r="I4150" s="223" t="s">
        <v>6942</v>
      </c>
      <c r="J4150" s="199" t="s">
        <v>74</v>
      </c>
      <c r="K4150" s="245" t="s">
        <v>64</v>
      </c>
      <c r="L4150" s="199" t="s">
        <v>65</v>
      </c>
      <c r="M4150" s="199" t="s">
        <v>66</v>
      </c>
      <c r="N4150" s="222">
        <v>46193.0</v>
      </c>
      <c r="O4150" s="199" t="s">
        <v>67</v>
      </c>
      <c r="P4150" s="148" t="s">
        <v>68</v>
      </c>
      <c r="Q4150" s="103"/>
      <c r="R4150" s="103"/>
      <c r="S4150" s="103"/>
      <c r="T4150" s="103"/>
      <c r="U4150" s="148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1">
        <v>4145.0</v>
      </c>
      <c r="B4151" s="90" t="s">
        <v>6943</v>
      </c>
      <c r="C4151" s="82" t="str">
        <f>VLOOKUP($B$7:$B$5000,SUM!$L$6:$L$500,1,FALSE)</f>
        <v>#N/A</v>
      </c>
      <c r="D4151" s="190" t="s">
        <v>6936</v>
      </c>
      <c r="E4151" s="198" t="s">
        <v>58</v>
      </c>
      <c r="F4151" s="199" t="s">
        <v>6937</v>
      </c>
      <c r="G4151" s="191" t="s">
        <v>5443</v>
      </c>
      <c r="H4151" s="199" t="s">
        <v>61</v>
      </c>
      <c r="I4151" s="223" t="s">
        <v>6944</v>
      </c>
      <c r="J4151" s="199" t="s">
        <v>74</v>
      </c>
      <c r="K4151" s="245" t="s">
        <v>64</v>
      </c>
      <c r="L4151" s="199" t="s">
        <v>65</v>
      </c>
      <c r="M4151" s="199" t="s">
        <v>66</v>
      </c>
      <c r="N4151" s="222">
        <v>46193.0</v>
      </c>
      <c r="O4151" s="199" t="s">
        <v>67</v>
      </c>
      <c r="P4151" s="148" t="s">
        <v>68</v>
      </c>
      <c r="Q4151" s="103"/>
      <c r="R4151" s="103"/>
      <c r="S4151" s="103"/>
      <c r="T4151" s="103"/>
      <c r="U4151" s="148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1">
        <v>4146.0</v>
      </c>
      <c r="B4152" s="90" t="s">
        <v>6945</v>
      </c>
      <c r="C4152" s="82" t="str">
        <f>VLOOKUP($B$7:$B$5000,SUM!$L$6:$L$500,1,FALSE)</f>
        <v>#N/A</v>
      </c>
      <c r="D4152" s="190" t="s">
        <v>6946</v>
      </c>
      <c r="E4152" s="198" t="s">
        <v>58</v>
      </c>
      <c r="F4152" s="199" t="s">
        <v>6947</v>
      </c>
      <c r="G4152" s="191" t="s">
        <v>5443</v>
      </c>
      <c r="H4152" s="199" t="s">
        <v>61</v>
      </c>
      <c r="I4152" s="221" t="s">
        <v>6948</v>
      </c>
      <c r="J4152" s="199" t="s">
        <v>63</v>
      </c>
      <c r="K4152" s="199" t="s">
        <v>4434</v>
      </c>
      <c r="L4152" s="199" t="s">
        <v>65</v>
      </c>
      <c r="M4152" s="199" t="s">
        <v>66</v>
      </c>
      <c r="N4152" s="222">
        <v>46193.0</v>
      </c>
      <c r="O4152" s="199" t="s">
        <v>67</v>
      </c>
      <c r="P4152" s="148" t="s">
        <v>68</v>
      </c>
      <c r="Q4152" s="103"/>
      <c r="R4152" s="103"/>
      <c r="S4152" s="103"/>
      <c r="T4152" s="103"/>
      <c r="U4152" s="148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1">
        <v>4147.0</v>
      </c>
      <c r="B4153" s="90" t="s">
        <v>6949</v>
      </c>
      <c r="C4153" s="82" t="str">
        <f>VLOOKUP($B$7:$B$5000,SUM!$L$6:$L$500,1,FALSE)</f>
        <v>#N/A</v>
      </c>
      <c r="D4153" s="190" t="s">
        <v>6946</v>
      </c>
      <c r="E4153" s="198" t="s">
        <v>58</v>
      </c>
      <c r="F4153" s="199" t="s">
        <v>6947</v>
      </c>
      <c r="G4153" s="191" t="s">
        <v>5443</v>
      </c>
      <c r="H4153" s="199" t="s">
        <v>61</v>
      </c>
      <c r="I4153" s="223" t="s">
        <v>6033</v>
      </c>
      <c r="J4153" s="199" t="s">
        <v>108</v>
      </c>
      <c r="K4153" s="199" t="s">
        <v>4434</v>
      </c>
      <c r="L4153" s="199" t="s">
        <v>65</v>
      </c>
      <c r="M4153" s="199" t="s">
        <v>66</v>
      </c>
      <c r="N4153" s="222">
        <v>46193.0</v>
      </c>
      <c r="O4153" s="199" t="s">
        <v>67</v>
      </c>
      <c r="P4153" s="148" t="s">
        <v>68</v>
      </c>
      <c r="Q4153" s="103"/>
      <c r="R4153" s="103"/>
      <c r="S4153" s="103"/>
      <c r="T4153" s="103"/>
      <c r="U4153" s="148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1">
        <v>4148.0</v>
      </c>
      <c r="B4154" s="90" t="s">
        <v>6950</v>
      </c>
      <c r="C4154" s="82" t="str">
        <f>VLOOKUP($B$7:$B$5000,SUM!$L$6:$L$500,1,FALSE)</f>
        <v>#N/A</v>
      </c>
      <c r="D4154" s="190" t="s">
        <v>6946</v>
      </c>
      <c r="E4154" s="198" t="s">
        <v>58</v>
      </c>
      <c r="F4154" s="199" t="s">
        <v>6947</v>
      </c>
      <c r="G4154" s="191" t="s">
        <v>5443</v>
      </c>
      <c r="H4154" s="199" t="s">
        <v>61</v>
      </c>
      <c r="I4154" s="223" t="s">
        <v>6035</v>
      </c>
      <c r="J4154" s="199" t="s">
        <v>74</v>
      </c>
      <c r="K4154" s="199" t="s">
        <v>4434</v>
      </c>
      <c r="L4154" s="199" t="s">
        <v>65</v>
      </c>
      <c r="M4154" s="199" t="s">
        <v>66</v>
      </c>
      <c r="N4154" s="222">
        <v>46193.0</v>
      </c>
      <c r="O4154" s="199" t="s">
        <v>67</v>
      </c>
      <c r="P4154" s="148" t="s">
        <v>68</v>
      </c>
      <c r="Q4154" s="103"/>
      <c r="R4154" s="103"/>
      <c r="S4154" s="103"/>
      <c r="T4154" s="103"/>
      <c r="U4154" s="148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1">
        <v>4149.0</v>
      </c>
      <c r="B4155" s="90" t="s">
        <v>6951</v>
      </c>
      <c r="C4155" s="82" t="str">
        <f>VLOOKUP($B$7:$B$5000,SUM!$L$6:$L$500,1,FALSE)</f>
        <v>#N/A</v>
      </c>
      <c r="D4155" s="190" t="s">
        <v>6946</v>
      </c>
      <c r="E4155" s="198" t="s">
        <v>58</v>
      </c>
      <c r="F4155" s="199" t="s">
        <v>6947</v>
      </c>
      <c r="G4155" s="191" t="s">
        <v>5443</v>
      </c>
      <c r="H4155" s="199" t="s">
        <v>61</v>
      </c>
      <c r="I4155" s="223" t="s">
        <v>6039</v>
      </c>
      <c r="J4155" s="199" t="s">
        <v>74</v>
      </c>
      <c r="K4155" s="199" t="s">
        <v>4434</v>
      </c>
      <c r="L4155" s="199" t="s">
        <v>65</v>
      </c>
      <c r="M4155" s="199" t="s">
        <v>66</v>
      </c>
      <c r="N4155" s="222">
        <v>46193.0</v>
      </c>
      <c r="O4155" s="199" t="s">
        <v>67</v>
      </c>
      <c r="P4155" s="148" t="s">
        <v>68</v>
      </c>
      <c r="Q4155" s="103"/>
      <c r="R4155" s="103"/>
      <c r="S4155" s="103"/>
      <c r="T4155" s="103"/>
      <c r="U4155" s="148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1">
        <v>4150.0</v>
      </c>
      <c r="B4156" s="90" t="s">
        <v>6952</v>
      </c>
      <c r="C4156" s="82" t="str">
        <f>VLOOKUP($B$7:$B$5000,SUM!$L$6:$L$500,1,FALSE)</f>
        <v>#N/A</v>
      </c>
      <c r="D4156" s="190" t="s">
        <v>6953</v>
      </c>
      <c r="E4156" s="198" t="s">
        <v>58</v>
      </c>
      <c r="F4156" s="199" t="s">
        <v>6954</v>
      </c>
      <c r="G4156" s="191" t="s">
        <v>2640</v>
      </c>
      <c r="H4156" s="199" t="s">
        <v>1485</v>
      </c>
      <c r="I4156" s="197" t="s">
        <v>6955</v>
      </c>
      <c r="J4156" s="148" t="s">
        <v>63</v>
      </c>
      <c r="K4156" s="199" t="s">
        <v>64</v>
      </c>
      <c r="L4156" s="148" t="s">
        <v>65</v>
      </c>
      <c r="M4156" s="148" t="s">
        <v>66</v>
      </c>
      <c r="N4156" s="212">
        <v>46193.0</v>
      </c>
      <c r="O4156" s="148" t="s">
        <v>67</v>
      </c>
      <c r="P4156" s="148" t="s">
        <v>68</v>
      </c>
      <c r="Q4156" s="103"/>
      <c r="R4156" s="103"/>
      <c r="S4156" s="103"/>
      <c r="T4156" s="103"/>
      <c r="U4156" s="148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1">
        <v>4151.0</v>
      </c>
      <c r="B4157" s="90" t="s">
        <v>6956</v>
      </c>
      <c r="C4157" s="82" t="str">
        <f>VLOOKUP($B$7:$B$5000,SUM!$L$6:$L$500,1,FALSE)</f>
        <v>#N/A</v>
      </c>
      <c r="D4157" s="190" t="s">
        <v>6953</v>
      </c>
      <c r="E4157" s="198" t="s">
        <v>58</v>
      </c>
      <c r="F4157" s="199" t="s">
        <v>6954</v>
      </c>
      <c r="G4157" s="191" t="s">
        <v>2640</v>
      </c>
      <c r="H4157" s="199" t="s">
        <v>1487</v>
      </c>
      <c r="I4157" s="197" t="s">
        <v>6955</v>
      </c>
      <c r="J4157" s="148" t="s">
        <v>63</v>
      </c>
      <c r="K4157" s="148" t="s">
        <v>64</v>
      </c>
      <c r="L4157" s="148" t="s">
        <v>65</v>
      </c>
      <c r="M4157" s="148" t="s">
        <v>66</v>
      </c>
      <c r="N4157" s="212">
        <v>46193.0</v>
      </c>
      <c r="O4157" s="148" t="s">
        <v>67</v>
      </c>
      <c r="P4157" s="148" t="s">
        <v>68</v>
      </c>
      <c r="Q4157" s="103"/>
      <c r="R4157" s="103"/>
      <c r="S4157" s="103"/>
      <c r="T4157" s="103"/>
      <c r="U4157" s="148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1">
        <v>4152.0</v>
      </c>
      <c r="B4158" s="90" t="s">
        <v>6957</v>
      </c>
      <c r="C4158" s="82" t="str">
        <f>VLOOKUP($B$7:$B$5000,SUM!$L$6:$L$500,1,FALSE)</f>
        <v>#N/A</v>
      </c>
      <c r="D4158" s="190" t="s">
        <v>6953</v>
      </c>
      <c r="E4158" s="198" t="s">
        <v>58</v>
      </c>
      <c r="F4158" s="199" t="s">
        <v>6954</v>
      </c>
      <c r="G4158" s="191" t="s">
        <v>2640</v>
      </c>
      <c r="H4158" s="199" t="s">
        <v>1489</v>
      </c>
      <c r="I4158" s="197" t="s">
        <v>6955</v>
      </c>
      <c r="J4158" s="148" t="s">
        <v>63</v>
      </c>
      <c r="K4158" s="148" t="s">
        <v>64</v>
      </c>
      <c r="L4158" s="148" t="s">
        <v>65</v>
      </c>
      <c r="M4158" s="148" t="s">
        <v>66</v>
      </c>
      <c r="N4158" s="212">
        <v>46193.0</v>
      </c>
      <c r="O4158" s="148" t="s">
        <v>67</v>
      </c>
      <c r="P4158" s="148" t="s">
        <v>68</v>
      </c>
      <c r="Q4158" s="103"/>
      <c r="R4158" s="103"/>
      <c r="S4158" s="103"/>
      <c r="T4158" s="103"/>
      <c r="U4158" s="148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1">
        <v>4153.0</v>
      </c>
      <c r="B4159" s="90" t="s">
        <v>6958</v>
      </c>
      <c r="C4159" s="82" t="str">
        <f>VLOOKUP($B$7:$B$5000,SUM!$L$6:$L$500,1,FALSE)</f>
        <v>#N/A</v>
      </c>
      <c r="D4159" s="190" t="s">
        <v>6953</v>
      </c>
      <c r="E4159" s="198" t="s">
        <v>58</v>
      </c>
      <c r="F4159" s="199" t="s">
        <v>6954</v>
      </c>
      <c r="G4159" s="191" t="s">
        <v>2640</v>
      </c>
      <c r="H4159" s="199" t="s">
        <v>1491</v>
      </c>
      <c r="I4159" s="197" t="s">
        <v>6955</v>
      </c>
      <c r="J4159" s="148" t="s">
        <v>63</v>
      </c>
      <c r="K4159" s="148" t="s">
        <v>64</v>
      </c>
      <c r="L4159" s="148" t="s">
        <v>65</v>
      </c>
      <c r="M4159" s="148" t="s">
        <v>66</v>
      </c>
      <c r="N4159" s="212">
        <v>46193.0</v>
      </c>
      <c r="O4159" s="148" t="s">
        <v>67</v>
      </c>
      <c r="P4159" s="148" t="s">
        <v>68</v>
      </c>
      <c r="Q4159" s="103"/>
      <c r="R4159" s="103"/>
      <c r="S4159" s="103"/>
      <c r="T4159" s="103"/>
      <c r="U4159" s="148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1">
        <v>4154.0</v>
      </c>
      <c r="B4160" s="90" t="s">
        <v>6959</v>
      </c>
      <c r="C4160" s="82" t="str">
        <f>VLOOKUP($B$7:$B$5000,SUM!$L$6:$L$500,1,FALSE)</f>
        <v>#N/A</v>
      </c>
      <c r="D4160" s="190" t="s">
        <v>6953</v>
      </c>
      <c r="E4160" s="198" t="s">
        <v>58</v>
      </c>
      <c r="F4160" s="199" t="s">
        <v>6954</v>
      </c>
      <c r="G4160" s="191" t="s">
        <v>2640</v>
      </c>
      <c r="H4160" s="199" t="s">
        <v>1493</v>
      </c>
      <c r="I4160" s="197" t="s">
        <v>6955</v>
      </c>
      <c r="J4160" s="148" t="s">
        <v>63</v>
      </c>
      <c r="K4160" s="148" t="s">
        <v>64</v>
      </c>
      <c r="L4160" s="148" t="s">
        <v>65</v>
      </c>
      <c r="M4160" s="148" t="s">
        <v>66</v>
      </c>
      <c r="N4160" s="212">
        <v>46193.0</v>
      </c>
      <c r="O4160" s="148" t="s">
        <v>67</v>
      </c>
      <c r="P4160" s="148" t="s">
        <v>68</v>
      </c>
      <c r="Q4160" s="103"/>
      <c r="R4160" s="103"/>
      <c r="S4160" s="103"/>
      <c r="T4160" s="103"/>
      <c r="U4160" s="148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1">
        <v>4155.0</v>
      </c>
      <c r="B4161" s="90" t="s">
        <v>6960</v>
      </c>
      <c r="C4161" s="82" t="str">
        <f>VLOOKUP($B$7:$B$5000,SUM!$L$6:$L$500,1,FALSE)</f>
        <v>#N/A</v>
      </c>
      <c r="D4161" s="190" t="s">
        <v>6953</v>
      </c>
      <c r="E4161" s="198" t="s">
        <v>58</v>
      </c>
      <c r="F4161" s="199" t="s">
        <v>6954</v>
      </c>
      <c r="G4161" s="191" t="s">
        <v>2640</v>
      </c>
      <c r="H4161" s="199" t="s">
        <v>1495</v>
      </c>
      <c r="I4161" s="197" t="s">
        <v>6955</v>
      </c>
      <c r="J4161" s="148" t="s">
        <v>63</v>
      </c>
      <c r="K4161" s="148" t="s">
        <v>64</v>
      </c>
      <c r="L4161" s="148" t="s">
        <v>65</v>
      </c>
      <c r="M4161" s="148" t="s">
        <v>66</v>
      </c>
      <c r="N4161" s="212">
        <v>46193.0</v>
      </c>
      <c r="O4161" s="148" t="s">
        <v>67</v>
      </c>
      <c r="P4161" s="148" t="s">
        <v>68</v>
      </c>
      <c r="Q4161" s="103"/>
      <c r="R4161" s="103"/>
      <c r="S4161" s="103"/>
      <c r="T4161" s="103"/>
      <c r="U4161" s="148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1">
        <v>4156.0</v>
      </c>
      <c r="B4162" s="90" t="s">
        <v>6961</v>
      </c>
      <c r="C4162" s="82" t="str">
        <f>VLOOKUP($B$7:$B$5000,SUM!$L$6:$L$500,1,FALSE)</f>
        <v>#N/A</v>
      </c>
      <c r="D4162" s="190" t="s">
        <v>6953</v>
      </c>
      <c r="E4162" s="198" t="s">
        <v>58</v>
      </c>
      <c r="F4162" s="199" t="s">
        <v>6954</v>
      </c>
      <c r="G4162" s="191" t="s">
        <v>2640</v>
      </c>
      <c r="H4162" s="199" t="s">
        <v>1497</v>
      </c>
      <c r="I4162" s="197" t="s">
        <v>6955</v>
      </c>
      <c r="J4162" s="148" t="s">
        <v>63</v>
      </c>
      <c r="K4162" s="148" t="s">
        <v>64</v>
      </c>
      <c r="L4162" s="148" t="s">
        <v>65</v>
      </c>
      <c r="M4162" s="148" t="s">
        <v>66</v>
      </c>
      <c r="N4162" s="212">
        <v>46193.0</v>
      </c>
      <c r="O4162" s="148" t="s">
        <v>67</v>
      </c>
      <c r="P4162" s="148" t="s">
        <v>68</v>
      </c>
      <c r="Q4162" s="103"/>
      <c r="R4162" s="103"/>
      <c r="S4162" s="103"/>
      <c r="T4162" s="103"/>
      <c r="U4162" s="148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1">
        <v>4157.0</v>
      </c>
      <c r="B4163" s="90" t="s">
        <v>6962</v>
      </c>
      <c r="C4163" s="82" t="str">
        <f>VLOOKUP($B$7:$B$5000,SUM!$L$6:$L$500,1,FALSE)</f>
        <v>#N/A</v>
      </c>
      <c r="D4163" s="190" t="s">
        <v>6953</v>
      </c>
      <c r="E4163" s="198" t="s">
        <v>58</v>
      </c>
      <c r="F4163" s="199" t="s">
        <v>6954</v>
      </c>
      <c r="G4163" s="191" t="s">
        <v>2640</v>
      </c>
      <c r="H4163" s="199" t="s">
        <v>1499</v>
      </c>
      <c r="I4163" s="197" t="s">
        <v>6955</v>
      </c>
      <c r="J4163" s="148" t="s">
        <v>63</v>
      </c>
      <c r="K4163" s="148" t="s">
        <v>64</v>
      </c>
      <c r="L4163" s="148" t="s">
        <v>65</v>
      </c>
      <c r="M4163" s="148" t="s">
        <v>66</v>
      </c>
      <c r="N4163" s="212">
        <v>46193.0</v>
      </c>
      <c r="O4163" s="148" t="s">
        <v>67</v>
      </c>
      <c r="P4163" s="148" t="s">
        <v>68</v>
      </c>
      <c r="Q4163" s="103"/>
      <c r="R4163" s="103"/>
      <c r="S4163" s="103"/>
      <c r="T4163" s="103"/>
      <c r="U4163" s="148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1">
        <v>4158.0</v>
      </c>
      <c r="B4164" s="90" t="s">
        <v>6963</v>
      </c>
      <c r="C4164" s="82" t="str">
        <f>VLOOKUP($B$7:$B$5000,SUM!$L$6:$L$500,1,FALSE)</f>
        <v>#N/A</v>
      </c>
      <c r="D4164" s="190" t="s">
        <v>6953</v>
      </c>
      <c r="E4164" s="198" t="s">
        <v>58</v>
      </c>
      <c r="F4164" s="199" t="s">
        <v>6954</v>
      </c>
      <c r="G4164" s="191" t="s">
        <v>2640</v>
      </c>
      <c r="H4164" s="199" t="s">
        <v>1501</v>
      </c>
      <c r="I4164" s="197" t="s">
        <v>6955</v>
      </c>
      <c r="J4164" s="148" t="s">
        <v>63</v>
      </c>
      <c r="K4164" s="148" t="s">
        <v>64</v>
      </c>
      <c r="L4164" s="148" t="s">
        <v>65</v>
      </c>
      <c r="M4164" s="148" t="s">
        <v>66</v>
      </c>
      <c r="N4164" s="212">
        <v>46193.0</v>
      </c>
      <c r="O4164" s="148" t="s">
        <v>67</v>
      </c>
      <c r="P4164" s="148" t="s">
        <v>68</v>
      </c>
      <c r="Q4164" s="103"/>
      <c r="R4164" s="103"/>
      <c r="S4164" s="103"/>
      <c r="T4164" s="103"/>
      <c r="U4164" s="148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1">
        <v>4159.0</v>
      </c>
      <c r="B4165" s="90" t="s">
        <v>6964</v>
      </c>
      <c r="C4165" s="82" t="str">
        <f>VLOOKUP($B$7:$B$5000,SUM!$L$6:$L$500,1,FALSE)</f>
        <v>#N/A</v>
      </c>
      <c r="D4165" s="190" t="s">
        <v>6953</v>
      </c>
      <c r="E4165" s="198" t="s">
        <v>58</v>
      </c>
      <c r="F4165" s="199" t="s">
        <v>6954</v>
      </c>
      <c r="G4165" s="191" t="s">
        <v>2640</v>
      </c>
      <c r="H4165" s="199" t="s">
        <v>1503</v>
      </c>
      <c r="I4165" s="197" t="s">
        <v>6955</v>
      </c>
      <c r="J4165" s="148" t="s">
        <v>63</v>
      </c>
      <c r="K4165" s="148" t="s">
        <v>64</v>
      </c>
      <c r="L4165" s="148" t="s">
        <v>65</v>
      </c>
      <c r="M4165" s="148" t="s">
        <v>66</v>
      </c>
      <c r="N4165" s="212">
        <v>46193.0</v>
      </c>
      <c r="O4165" s="148" t="s">
        <v>67</v>
      </c>
      <c r="P4165" s="148" t="s">
        <v>68</v>
      </c>
      <c r="Q4165" s="103"/>
      <c r="R4165" s="103"/>
      <c r="S4165" s="103"/>
      <c r="T4165" s="103"/>
      <c r="U4165" s="148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1">
        <v>4160.0</v>
      </c>
      <c r="B4166" s="90" t="s">
        <v>6965</v>
      </c>
      <c r="C4166" s="82" t="str">
        <f>VLOOKUP($B$7:$B$5000,SUM!$L$6:$L$500,1,FALSE)</f>
        <v>#N/A</v>
      </c>
      <c r="D4166" s="190" t="s">
        <v>6953</v>
      </c>
      <c r="E4166" s="198" t="s">
        <v>58</v>
      </c>
      <c r="F4166" s="199" t="s">
        <v>6954</v>
      </c>
      <c r="G4166" s="191" t="s">
        <v>2640</v>
      </c>
      <c r="H4166" s="199" t="s">
        <v>1505</v>
      </c>
      <c r="I4166" s="197" t="s">
        <v>6955</v>
      </c>
      <c r="J4166" s="148" t="s">
        <v>63</v>
      </c>
      <c r="K4166" s="148" t="s">
        <v>64</v>
      </c>
      <c r="L4166" s="148" t="s">
        <v>65</v>
      </c>
      <c r="M4166" s="148" t="s">
        <v>66</v>
      </c>
      <c r="N4166" s="212">
        <v>46193.0</v>
      </c>
      <c r="O4166" s="148" t="s">
        <v>67</v>
      </c>
      <c r="P4166" s="148" t="s">
        <v>68</v>
      </c>
      <c r="Q4166" s="103"/>
      <c r="R4166" s="103"/>
      <c r="S4166" s="103"/>
      <c r="T4166" s="103"/>
      <c r="U4166" s="148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1">
        <v>4161.0</v>
      </c>
      <c r="B4167" s="90" t="s">
        <v>6966</v>
      </c>
      <c r="C4167" s="82" t="str">
        <f>VLOOKUP($B$7:$B$5000,SUM!$L$6:$L$500,1,FALSE)</f>
        <v>#N/A</v>
      </c>
      <c r="D4167" s="190" t="s">
        <v>6953</v>
      </c>
      <c r="E4167" s="198" t="s">
        <v>2678</v>
      </c>
      <c r="F4167" s="199" t="s">
        <v>6954</v>
      </c>
      <c r="G4167" s="191" t="s">
        <v>2640</v>
      </c>
      <c r="H4167" s="199" t="s">
        <v>1507</v>
      </c>
      <c r="I4167" s="197" t="s">
        <v>6955</v>
      </c>
      <c r="J4167" s="148" t="s">
        <v>63</v>
      </c>
      <c r="K4167" s="148" t="s">
        <v>64</v>
      </c>
      <c r="L4167" s="148" t="s">
        <v>65</v>
      </c>
      <c r="M4167" s="148" t="s">
        <v>66</v>
      </c>
      <c r="N4167" s="212">
        <v>46193.0</v>
      </c>
      <c r="O4167" s="148" t="s">
        <v>67</v>
      </c>
      <c r="P4167" s="148" t="s">
        <v>68</v>
      </c>
      <c r="Q4167" s="103"/>
      <c r="R4167" s="103"/>
      <c r="S4167" s="103"/>
      <c r="T4167" s="103"/>
      <c r="U4167" s="148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1">
        <v>4162.0</v>
      </c>
      <c r="B4168" s="90" t="s">
        <v>6967</v>
      </c>
      <c r="C4168" s="82" t="str">
        <f>VLOOKUP($B$7:$B$5000,SUM!$L$6:$L$500,1,FALSE)</f>
        <v>#N/A</v>
      </c>
      <c r="D4168" s="190" t="s">
        <v>6953</v>
      </c>
      <c r="E4168" s="198" t="s">
        <v>58</v>
      </c>
      <c r="F4168" s="199" t="s">
        <v>6954</v>
      </c>
      <c r="G4168" s="191" t="s">
        <v>2640</v>
      </c>
      <c r="H4168" s="199" t="s">
        <v>1485</v>
      </c>
      <c r="I4168" s="197" t="s">
        <v>6968</v>
      </c>
      <c r="J4168" s="148" t="s">
        <v>63</v>
      </c>
      <c r="K4168" s="148" t="s">
        <v>64</v>
      </c>
      <c r="L4168" s="148" t="s">
        <v>65</v>
      </c>
      <c r="M4168" s="148" t="s">
        <v>66</v>
      </c>
      <c r="N4168" s="212">
        <v>46193.0</v>
      </c>
      <c r="O4168" s="148" t="s">
        <v>67</v>
      </c>
      <c r="P4168" s="148" t="s">
        <v>68</v>
      </c>
      <c r="Q4168" s="103"/>
      <c r="R4168" s="103"/>
      <c r="S4168" s="103"/>
      <c r="T4168" s="103"/>
      <c r="U4168" s="148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1">
        <v>4163.0</v>
      </c>
      <c r="B4169" s="90" t="s">
        <v>6969</v>
      </c>
      <c r="C4169" s="82" t="str">
        <f>VLOOKUP($B$7:$B$5000,SUM!$L$6:$L$500,1,FALSE)</f>
        <v>#N/A</v>
      </c>
      <c r="D4169" s="190" t="s">
        <v>6953</v>
      </c>
      <c r="E4169" s="198" t="s">
        <v>58</v>
      </c>
      <c r="F4169" s="199" t="s">
        <v>6954</v>
      </c>
      <c r="G4169" s="191" t="s">
        <v>2640</v>
      </c>
      <c r="H4169" s="199" t="s">
        <v>1487</v>
      </c>
      <c r="I4169" s="197" t="s">
        <v>6968</v>
      </c>
      <c r="J4169" s="148" t="s">
        <v>63</v>
      </c>
      <c r="K4169" s="148" t="s">
        <v>64</v>
      </c>
      <c r="L4169" s="148" t="s">
        <v>65</v>
      </c>
      <c r="M4169" s="148" t="s">
        <v>66</v>
      </c>
      <c r="N4169" s="212">
        <v>46193.0</v>
      </c>
      <c r="O4169" s="148" t="s">
        <v>67</v>
      </c>
      <c r="P4169" s="148" t="s">
        <v>68</v>
      </c>
      <c r="Q4169" s="103"/>
      <c r="R4169" s="103"/>
      <c r="S4169" s="103"/>
      <c r="T4169" s="103"/>
      <c r="U4169" s="148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1">
        <v>4164.0</v>
      </c>
      <c r="B4170" s="90" t="s">
        <v>6970</v>
      </c>
      <c r="C4170" s="82" t="str">
        <f>VLOOKUP($B$7:$B$5000,SUM!$L$6:$L$500,1,FALSE)</f>
        <v>#N/A</v>
      </c>
      <c r="D4170" s="190" t="s">
        <v>6953</v>
      </c>
      <c r="E4170" s="198" t="s">
        <v>58</v>
      </c>
      <c r="F4170" s="199" t="s">
        <v>6954</v>
      </c>
      <c r="G4170" s="191" t="s">
        <v>2640</v>
      </c>
      <c r="H4170" s="199" t="s">
        <v>1489</v>
      </c>
      <c r="I4170" s="197" t="s">
        <v>6968</v>
      </c>
      <c r="J4170" s="148" t="s">
        <v>63</v>
      </c>
      <c r="K4170" s="148" t="s">
        <v>64</v>
      </c>
      <c r="L4170" s="148" t="s">
        <v>65</v>
      </c>
      <c r="M4170" s="148" t="s">
        <v>66</v>
      </c>
      <c r="N4170" s="212">
        <v>46193.0</v>
      </c>
      <c r="O4170" s="148" t="s">
        <v>67</v>
      </c>
      <c r="P4170" s="148" t="s">
        <v>68</v>
      </c>
      <c r="Q4170" s="103"/>
      <c r="R4170" s="103"/>
      <c r="S4170" s="103"/>
      <c r="T4170" s="103"/>
      <c r="U4170" s="148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1">
        <v>4165.0</v>
      </c>
      <c r="B4171" s="90" t="s">
        <v>6971</v>
      </c>
      <c r="C4171" s="82" t="str">
        <f>VLOOKUP($B$7:$B$5000,SUM!$L$6:$L$500,1,FALSE)</f>
        <v>#N/A</v>
      </c>
      <c r="D4171" s="190" t="s">
        <v>6953</v>
      </c>
      <c r="E4171" s="198" t="s">
        <v>58</v>
      </c>
      <c r="F4171" s="199" t="s">
        <v>6954</v>
      </c>
      <c r="G4171" s="191" t="s">
        <v>2640</v>
      </c>
      <c r="H4171" s="199" t="s">
        <v>1491</v>
      </c>
      <c r="I4171" s="197" t="s">
        <v>6968</v>
      </c>
      <c r="J4171" s="148" t="s">
        <v>63</v>
      </c>
      <c r="K4171" s="148" t="s">
        <v>64</v>
      </c>
      <c r="L4171" s="148" t="s">
        <v>65</v>
      </c>
      <c r="M4171" s="148" t="s">
        <v>66</v>
      </c>
      <c r="N4171" s="212">
        <v>46193.0</v>
      </c>
      <c r="O4171" s="148" t="s">
        <v>67</v>
      </c>
      <c r="P4171" s="148" t="s">
        <v>68</v>
      </c>
      <c r="Q4171" s="103"/>
      <c r="R4171" s="103"/>
      <c r="S4171" s="103"/>
      <c r="T4171" s="103"/>
      <c r="U4171" s="148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1">
        <v>4166.0</v>
      </c>
      <c r="B4172" s="90" t="s">
        <v>6972</v>
      </c>
      <c r="C4172" s="82" t="str">
        <f>VLOOKUP($B$7:$B$5000,SUM!$L$6:$L$500,1,FALSE)</f>
        <v>#N/A</v>
      </c>
      <c r="D4172" s="190" t="s">
        <v>6953</v>
      </c>
      <c r="E4172" s="198" t="s">
        <v>58</v>
      </c>
      <c r="F4172" s="199" t="s">
        <v>6954</v>
      </c>
      <c r="G4172" s="191" t="s">
        <v>2640</v>
      </c>
      <c r="H4172" s="199" t="s">
        <v>1493</v>
      </c>
      <c r="I4172" s="197" t="s">
        <v>6968</v>
      </c>
      <c r="J4172" s="148" t="s">
        <v>63</v>
      </c>
      <c r="K4172" s="148" t="s">
        <v>64</v>
      </c>
      <c r="L4172" s="148" t="s">
        <v>65</v>
      </c>
      <c r="M4172" s="148" t="s">
        <v>66</v>
      </c>
      <c r="N4172" s="212">
        <v>46193.0</v>
      </c>
      <c r="O4172" s="148" t="s">
        <v>67</v>
      </c>
      <c r="P4172" s="148" t="s">
        <v>68</v>
      </c>
      <c r="Q4172" s="103"/>
      <c r="R4172" s="103"/>
      <c r="S4172" s="103"/>
      <c r="T4172" s="103"/>
      <c r="U4172" s="148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1">
        <v>4167.0</v>
      </c>
      <c r="B4173" s="90" t="s">
        <v>6973</v>
      </c>
      <c r="C4173" s="82" t="str">
        <f>VLOOKUP($B$7:$B$5000,SUM!$L$6:$L$500,1,FALSE)</f>
        <v>#N/A</v>
      </c>
      <c r="D4173" s="190" t="s">
        <v>6953</v>
      </c>
      <c r="E4173" s="198" t="s">
        <v>58</v>
      </c>
      <c r="F4173" s="199" t="s">
        <v>6954</v>
      </c>
      <c r="G4173" s="191" t="s">
        <v>2640</v>
      </c>
      <c r="H4173" s="199" t="s">
        <v>1495</v>
      </c>
      <c r="I4173" s="197" t="s">
        <v>6968</v>
      </c>
      <c r="J4173" s="148" t="s">
        <v>63</v>
      </c>
      <c r="K4173" s="148" t="s">
        <v>64</v>
      </c>
      <c r="L4173" s="148" t="s">
        <v>65</v>
      </c>
      <c r="M4173" s="148" t="s">
        <v>66</v>
      </c>
      <c r="N4173" s="212">
        <v>46193.0</v>
      </c>
      <c r="O4173" s="148" t="s">
        <v>67</v>
      </c>
      <c r="P4173" s="148" t="s">
        <v>68</v>
      </c>
      <c r="Q4173" s="103"/>
      <c r="R4173" s="103"/>
      <c r="S4173" s="103"/>
      <c r="T4173" s="103"/>
      <c r="U4173" s="148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1">
        <v>4168.0</v>
      </c>
      <c r="B4174" s="90" t="s">
        <v>6974</v>
      </c>
      <c r="C4174" s="82" t="str">
        <f>VLOOKUP($B$7:$B$5000,SUM!$L$6:$L$500,1,FALSE)</f>
        <v>#N/A</v>
      </c>
      <c r="D4174" s="190" t="s">
        <v>6953</v>
      </c>
      <c r="E4174" s="198" t="s">
        <v>58</v>
      </c>
      <c r="F4174" s="199" t="s">
        <v>6954</v>
      </c>
      <c r="G4174" s="191" t="s">
        <v>2640</v>
      </c>
      <c r="H4174" s="199" t="s">
        <v>1497</v>
      </c>
      <c r="I4174" s="197" t="s">
        <v>6968</v>
      </c>
      <c r="J4174" s="148" t="s">
        <v>63</v>
      </c>
      <c r="K4174" s="148" t="s">
        <v>64</v>
      </c>
      <c r="L4174" s="148" t="s">
        <v>65</v>
      </c>
      <c r="M4174" s="148" t="s">
        <v>66</v>
      </c>
      <c r="N4174" s="212">
        <v>46193.0</v>
      </c>
      <c r="O4174" s="148" t="s">
        <v>67</v>
      </c>
      <c r="P4174" s="148" t="s">
        <v>68</v>
      </c>
      <c r="Q4174" s="103"/>
      <c r="R4174" s="103"/>
      <c r="S4174" s="103"/>
      <c r="T4174" s="103"/>
      <c r="U4174" s="148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1">
        <v>4169.0</v>
      </c>
      <c r="B4175" s="90" t="s">
        <v>6975</v>
      </c>
      <c r="C4175" s="82" t="str">
        <f>VLOOKUP($B$7:$B$5000,SUM!$L$6:$L$500,1,FALSE)</f>
        <v>#N/A</v>
      </c>
      <c r="D4175" s="190" t="s">
        <v>6953</v>
      </c>
      <c r="E4175" s="198" t="s">
        <v>58</v>
      </c>
      <c r="F4175" s="199" t="s">
        <v>6954</v>
      </c>
      <c r="G4175" s="191" t="s">
        <v>2640</v>
      </c>
      <c r="H4175" s="199" t="s">
        <v>1499</v>
      </c>
      <c r="I4175" s="197" t="s">
        <v>6968</v>
      </c>
      <c r="J4175" s="148" t="s">
        <v>63</v>
      </c>
      <c r="K4175" s="148" t="s">
        <v>64</v>
      </c>
      <c r="L4175" s="148" t="s">
        <v>65</v>
      </c>
      <c r="M4175" s="148" t="s">
        <v>66</v>
      </c>
      <c r="N4175" s="212">
        <v>46193.0</v>
      </c>
      <c r="O4175" s="148" t="s">
        <v>67</v>
      </c>
      <c r="P4175" s="148" t="s">
        <v>68</v>
      </c>
      <c r="Q4175" s="103"/>
      <c r="R4175" s="103"/>
      <c r="S4175" s="103"/>
      <c r="T4175" s="103"/>
      <c r="U4175" s="148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1">
        <v>4170.0</v>
      </c>
      <c r="B4176" s="90" t="s">
        <v>6976</v>
      </c>
      <c r="C4176" s="82" t="str">
        <f>VLOOKUP($B$7:$B$5000,SUM!$L$6:$L$500,1,FALSE)</f>
        <v>#N/A</v>
      </c>
      <c r="D4176" s="190" t="s">
        <v>6953</v>
      </c>
      <c r="E4176" s="198" t="s">
        <v>58</v>
      </c>
      <c r="F4176" s="199" t="s">
        <v>6954</v>
      </c>
      <c r="G4176" s="191" t="s">
        <v>2640</v>
      </c>
      <c r="H4176" s="199" t="s">
        <v>1501</v>
      </c>
      <c r="I4176" s="197" t="s">
        <v>6968</v>
      </c>
      <c r="J4176" s="148" t="s">
        <v>63</v>
      </c>
      <c r="K4176" s="148" t="s">
        <v>64</v>
      </c>
      <c r="L4176" s="148" t="s">
        <v>65</v>
      </c>
      <c r="M4176" s="148" t="s">
        <v>66</v>
      </c>
      <c r="N4176" s="212">
        <v>46193.0</v>
      </c>
      <c r="O4176" s="148" t="s">
        <v>67</v>
      </c>
      <c r="P4176" s="148" t="s">
        <v>68</v>
      </c>
      <c r="Q4176" s="103"/>
      <c r="R4176" s="103"/>
      <c r="S4176" s="103"/>
      <c r="T4176" s="103"/>
      <c r="U4176" s="148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1">
        <v>4171.0</v>
      </c>
      <c r="B4177" s="90" t="s">
        <v>6977</v>
      </c>
      <c r="C4177" s="82" t="str">
        <f>VLOOKUP($B$7:$B$5000,SUM!$L$6:$L$500,1,FALSE)</f>
        <v>#N/A</v>
      </c>
      <c r="D4177" s="190" t="s">
        <v>6953</v>
      </c>
      <c r="E4177" s="198" t="s">
        <v>58</v>
      </c>
      <c r="F4177" s="199" t="s">
        <v>6954</v>
      </c>
      <c r="G4177" s="191" t="s">
        <v>2640</v>
      </c>
      <c r="H4177" s="199" t="s">
        <v>1503</v>
      </c>
      <c r="I4177" s="197" t="s">
        <v>6968</v>
      </c>
      <c r="J4177" s="148" t="s">
        <v>63</v>
      </c>
      <c r="K4177" s="148" t="s">
        <v>64</v>
      </c>
      <c r="L4177" s="148" t="s">
        <v>65</v>
      </c>
      <c r="M4177" s="148" t="s">
        <v>66</v>
      </c>
      <c r="N4177" s="212">
        <v>46193.0</v>
      </c>
      <c r="O4177" s="148" t="s">
        <v>67</v>
      </c>
      <c r="P4177" s="148" t="s">
        <v>68</v>
      </c>
      <c r="Q4177" s="103"/>
      <c r="R4177" s="103"/>
      <c r="S4177" s="103"/>
      <c r="T4177" s="103"/>
      <c r="U4177" s="148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1">
        <v>4172.0</v>
      </c>
      <c r="B4178" s="90" t="s">
        <v>6978</v>
      </c>
      <c r="C4178" s="82" t="str">
        <f>VLOOKUP($B$7:$B$5000,SUM!$L$6:$L$500,1,FALSE)</f>
        <v>#N/A</v>
      </c>
      <c r="D4178" s="190" t="s">
        <v>6953</v>
      </c>
      <c r="E4178" s="198" t="s">
        <v>58</v>
      </c>
      <c r="F4178" s="199" t="s">
        <v>6954</v>
      </c>
      <c r="G4178" s="191" t="s">
        <v>2640</v>
      </c>
      <c r="H4178" s="199" t="s">
        <v>1505</v>
      </c>
      <c r="I4178" s="197" t="s">
        <v>6968</v>
      </c>
      <c r="J4178" s="148" t="s">
        <v>63</v>
      </c>
      <c r="K4178" s="148" t="s">
        <v>64</v>
      </c>
      <c r="L4178" s="148" t="s">
        <v>65</v>
      </c>
      <c r="M4178" s="148" t="s">
        <v>66</v>
      </c>
      <c r="N4178" s="212">
        <v>46193.0</v>
      </c>
      <c r="O4178" s="148" t="s">
        <v>67</v>
      </c>
      <c r="P4178" s="148" t="s">
        <v>68</v>
      </c>
      <c r="Q4178" s="103"/>
      <c r="R4178" s="103"/>
      <c r="S4178" s="103"/>
      <c r="T4178" s="103"/>
      <c r="U4178" s="148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1">
        <v>4173.0</v>
      </c>
      <c r="B4179" s="90" t="s">
        <v>6979</v>
      </c>
      <c r="C4179" s="82" t="str">
        <f>VLOOKUP($B$7:$B$5000,SUM!$L$6:$L$500,1,FALSE)</f>
        <v>#N/A</v>
      </c>
      <c r="D4179" s="190" t="s">
        <v>6953</v>
      </c>
      <c r="E4179" s="198" t="s">
        <v>58</v>
      </c>
      <c r="F4179" s="199" t="s">
        <v>6954</v>
      </c>
      <c r="G4179" s="191" t="s">
        <v>2640</v>
      </c>
      <c r="H4179" s="199" t="s">
        <v>1507</v>
      </c>
      <c r="I4179" s="197" t="s">
        <v>6968</v>
      </c>
      <c r="J4179" s="148" t="s">
        <v>63</v>
      </c>
      <c r="K4179" s="148" t="s">
        <v>64</v>
      </c>
      <c r="L4179" s="148" t="s">
        <v>65</v>
      </c>
      <c r="M4179" s="148" t="s">
        <v>66</v>
      </c>
      <c r="N4179" s="212">
        <v>46193.0</v>
      </c>
      <c r="O4179" s="148" t="s">
        <v>67</v>
      </c>
      <c r="P4179" s="148" t="s">
        <v>68</v>
      </c>
      <c r="Q4179" s="103"/>
      <c r="R4179" s="103"/>
      <c r="S4179" s="103"/>
      <c r="T4179" s="103"/>
      <c r="U4179" s="148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1">
        <v>4174.0</v>
      </c>
      <c r="B4180" s="90" t="s">
        <v>6980</v>
      </c>
      <c r="C4180" s="82" t="str">
        <f>VLOOKUP($B$7:$B$5000,SUM!$L$6:$L$500,1,FALSE)</f>
        <v>#N/A</v>
      </c>
      <c r="D4180" s="246" t="s">
        <v>6981</v>
      </c>
      <c r="E4180" s="247" t="s">
        <v>58</v>
      </c>
      <c r="F4180" s="248" t="s">
        <v>6982</v>
      </c>
      <c r="G4180" s="249" t="s">
        <v>6983</v>
      </c>
      <c r="H4180" s="250" t="s">
        <v>6984</v>
      </c>
      <c r="I4180" s="251" t="s">
        <v>6985</v>
      </c>
      <c r="J4180" s="252" t="s">
        <v>63</v>
      </c>
      <c r="K4180" s="148" t="s">
        <v>91</v>
      </c>
      <c r="L4180" s="148" t="s">
        <v>65</v>
      </c>
      <c r="M4180" s="148" t="s">
        <v>66</v>
      </c>
      <c r="N4180" s="159">
        <v>46193.0</v>
      </c>
      <c r="O4180" s="148" t="s">
        <v>67</v>
      </c>
      <c r="P4180" s="148" t="s">
        <v>68</v>
      </c>
      <c r="Q4180" s="103"/>
      <c r="R4180" s="103"/>
      <c r="S4180" s="103"/>
      <c r="T4180" s="103"/>
      <c r="U4180" s="148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1">
        <v>4175.0</v>
      </c>
      <c r="B4181" s="90" t="s">
        <v>6986</v>
      </c>
      <c r="C4181" s="82" t="str">
        <f>VLOOKUP($B$7:$B$5000,SUM!$L$6:$L$500,1,FALSE)</f>
        <v>#N/A</v>
      </c>
      <c r="D4181" s="190" t="s">
        <v>6981</v>
      </c>
      <c r="E4181" s="198" t="s">
        <v>58</v>
      </c>
      <c r="F4181" s="199" t="s">
        <v>6982</v>
      </c>
      <c r="G4181" s="191" t="s">
        <v>6983</v>
      </c>
      <c r="H4181" s="253" t="s">
        <v>6987</v>
      </c>
      <c r="I4181" s="197" t="s">
        <v>6985</v>
      </c>
      <c r="J4181" s="148" t="s">
        <v>63</v>
      </c>
      <c r="K4181" s="148" t="s">
        <v>91</v>
      </c>
      <c r="L4181" s="148" t="s">
        <v>65</v>
      </c>
      <c r="M4181" s="148" t="s">
        <v>66</v>
      </c>
      <c r="N4181" s="159">
        <v>46193.0</v>
      </c>
      <c r="O4181" s="148" t="s">
        <v>67</v>
      </c>
      <c r="P4181" s="148" t="s">
        <v>68</v>
      </c>
      <c r="Q4181" s="103"/>
      <c r="R4181" s="103"/>
      <c r="S4181" s="103"/>
      <c r="T4181" s="103"/>
      <c r="U4181" s="148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1">
        <v>4176.0</v>
      </c>
      <c r="B4182" s="90" t="s">
        <v>6988</v>
      </c>
      <c r="C4182" s="82" t="str">
        <f>VLOOKUP($B$7:$B$5000,SUM!$L$6:$L$500,1,FALSE)</f>
        <v>#N/A</v>
      </c>
      <c r="D4182" s="190" t="s">
        <v>6981</v>
      </c>
      <c r="E4182" s="198" t="s">
        <v>58</v>
      </c>
      <c r="F4182" s="199" t="s">
        <v>6982</v>
      </c>
      <c r="G4182" s="191" t="s">
        <v>6983</v>
      </c>
      <c r="H4182" s="253" t="s">
        <v>6989</v>
      </c>
      <c r="I4182" s="197" t="s">
        <v>6985</v>
      </c>
      <c r="J4182" s="148" t="s">
        <v>63</v>
      </c>
      <c r="K4182" s="148" t="s">
        <v>91</v>
      </c>
      <c r="L4182" s="148" t="s">
        <v>65</v>
      </c>
      <c r="M4182" s="148" t="s">
        <v>66</v>
      </c>
      <c r="N4182" s="159">
        <v>46193.0</v>
      </c>
      <c r="O4182" s="148" t="s">
        <v>67</v>
      </c>
      <c r="P4182" s="148" t="s">
        <v>68</v>
      </c>
      <c r="Q4182" s="103"/>
      <c r="R4182" s="103"/>
      <c r="S4182" s="103"/>
      <c r="T4182" s="103"/>
      <c r="U4182" s="148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1">
        <v>4177.0</v>
      </c>
      <c r="B4183" s="90" t="s">
        <v>6990</v>
      </c>
      <c r="C4183" s="82" t="str">
        <f>VLOOKUP($B$7:$B$5000,SUM!$L$6:$L$500,1,FALSE)</f>
        <v>#N/A</v>
      </c>
      <c r="D4183" s="190" t="s">
        <v>6981</v>
      </c>
      <c r="E4183" s="198" t="s">
        <v>58</v>
      </c>
      <c r="F4183" s="199" t="s">
        <v>6982</v>
      </c>
      <c r="G4183" s="191" t="s">
        <v>6983</v>
      </c>
      <c r="H4183" s="253" t="s">
        <v>6991</v>
      </c>
      <c r="I4183" s="197" t="s">
        <v>6985</v>
      </c>
      <c r="J4183" s="148" t="s">
        <v>63</v>
      </c>
      <c r="K4183" s="148" t="s">
        <v>91</v>
      </c>
      <c r="L4183" s="148" t="s">
        <v>65</v>
      </c>
      <c r="M4183" s="148" t="s">
        <v>66</v>
      </c>
      <c r="N4183" s="159">
        <v>46193.0</v>
      </c>
      <c r="O4183" s="148" t="s">
        <v>67</v>
      </c>
      <c r="P4183" s="148" t="s">
        <v>68</v>
      </c>
      <c r="Q4183" s="103"/>
      <c r="R4183" s="103"/>
      <c r="S4183" s="103"/>
      <c r="T4183" s="103"/>
      <c r="U4183" s="148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1">
        <v>4178.0</v>
      </c>
      <c r="B4184" s="90" t="s">
        <v>6992</v>
      </c>
      <c r="C4184" s="82" t="str">
        <f>VLOOKUP($B$7:$B$5000,SUM!$L$6:$L$500,1,FALSE)</f>
        <v>#N/A</v>
      </c>
      <c r="D4184" s="190" t="s">
        <v>6981</v>
      </c>
      <c r="E4184" s="198" t="s">
        <v>58</v>
      </c>
      <c r="F4184" s="199" t="s">
        <v>6982</v>
      </c>
      <c r="G4184" s="191" t="s">
        <v>6983</v>
      </c>
      <c r="H4184" s="253" t="s">
        <v>6993</v>
      </c>
      <c r="I4184" s="197" t="s">
        <v>6985</v>
      </c>
      <c r="J4184" s="148" t="s">
        <v>63</v>
      </c>
      <c r="K4184" s="148" t="s">
        <v>91</v>
      </c>
      <c r="L4184" s="148" t="s">
        <v>65</v>
      </c>
      <c r="M4184" s="148" t="s">
        <v>66</v>
      </c>
      <c r="N4184" s="159">
        <v>46193.0</v>
      </c>
      <c r="O4184" s="148" t="s">
        <v>67</v>
      </c>
      <c r="P4184" s="148" t="s">
        <v>68</v>
      </c>
      <c r="Q4184" s="103"/>
      <c r="R4184" s="103"/>
      <c r="S4184" s="103"/>
      <c r="T4184" s="103"/>
      <c r="U4184" s="148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1">
        <v>4179.0</v>
      </c>
      <c r="B4185" s="90" t="s">
        <v>6994</v>
      </c>
      <c r="C4185" s="82" t="str">
        <f>VLOOKUP($B$7:$B$5000,SUM!$L$6:$L$500,1,FALSE)</f>
        <v>#N/A</v>
      </c>
      <c r="D4185" s="190" t="s">
        <v>6981</v>
      </c>
      <c r="E4185" s="198" t="s">
        <v>58</v>
      </c>
      <c r="F4185" s="199" t="s">
        <v>6982</v>
      </c>
      <c r="G4185" s="191" t="s">
        <v>6983</v>
      </c>
      <c r="H4185" s="253" t="s">
        <v>6995</v>
      </c>
      <c r="I4185" s="197" t="s">
        <v>6985</v>
      </c>
      <c r="J4185" s="148" t="s">
        <v>63</v>
      </c>
      <c r="K4185" s="148" t="s">
        <v>91</v>
      </c>
      <c r="L4185" s="148" t="s">
        <v>65</v>
      </c>
      <c r="M4185" s="148" t="s">
        <v>66</v>
      </c>
      <c r="N4185" s="159">
        <v>46193.0</v>
      </c>
      <c r="O4185" s="148" t="s">
        <v>67</v>
      </c>
      <c r="P4185" s="148" t="s">
        <v>68</v>
      </c>
      <c r="Q4185" s="103"/>
      <c r="R4185" s="103"/>
      <c r="S4185" s="103"/>
      <c r="T4185" s="103"/>
      <c r="U4185" s="148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1">
        <v>4180.0</v>
      </c>
      <c r="B4186" s="90" t="s">
        <v>6996</v>
      </c>
      <c r="C4186" s="82" t="str">
        <f>VLOOKUP($B$7:$B$5000,SUM!$L$6:$L$500,1,FALSE)</f>
        <v>#N/A</v>
      </c>
      <c r="D4186" s="190" t="s">
        <v>6981</v>
      </c>
      <c r="E4186" s="198" t="s">
        <v>58</v>
      </c>
      <c r="F4186" s="199" t="s">
        <v>6982</v>
      </c>
      <c r="G4186" s="191" t="s">
        <v>6983</v>
      </c>
      <c r="H4186" s="253" t="s">
        <v>6997</v>
      </c>
      <c r="I4186" s="197" t="s">
        <v>6985</v>
      </c>
      <c r="J4186" s="148" t="s">
        <v>63</v>
      </c>
      <c r="K4186" s="148" t="s">
        <v>91</v>
      </c>
      <c r="L4186" s="148" t="s">
        <v>65</v>
      </c>
      <c r="M4186" s="148" t="s">
        <v>66</v>
      </c>
      <c r="N4186" s="159">
        <v>46193.0</v>
      </c>
      <c r="O4186" s="148" t="s">
        <v>67</v>
      </c>
      <c r="P4186" s="148" t="s">
        <v>68</v>
      </c>
      <c r="Q4186" s="103"/>
      <c r="R4186" s="103"/>
      <c r="S4186" s="103"/>
      <c r="T4186" s="103"/>
      <c r="U4186" s="148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1">
        <v>4181.0</v>
      </c>
      <c r="B4187" s="90" t="s">
        <v>6998</v>
      </c>
      <c r="C4187" s="82" t="str">
        <f>VLOOKUP($B$7:$B$5000,SUM!$L$6:$L$500,1,FALSE)</f>
        <v>#N/A</v>
      </c>
      <c r="D4187" s="190" t="s">
        <v>6981</v>
      </c>
      <c r="E4187" s="198" t="s">
        <v>58</v>
      </c>
      <c r="F4187" s="199" t="s">
        <v>6982</v>
      </c>
      <c r="G4187" s="191" t="s">
        <v>6983</v>
      </c>
      <c r="H4187" s="253" t="s">
        <v>6999</v>
      </c>
      <c r="I4187" s="197" t="s">
        <v>6985</v>
      </c>
      <c r="J4187" s="148" t="s">
        <v>63</v>
      </c>
      <c r="K4187" s="148" t="s">
        <v>91</v>
      </c>
      <c r="L4187" s="148" t="s">
        <v>65</v>
      </c>
      <c r="M4187" s="148" t="s">
        <v>66</v>
      </c>
      <c r="N4187" s="159">
        <v>46193.0</v>
      </c>
      <c r="O4187" s="148" t="s">
        <v>67</v>
      </c>
      <c r="P4187" s="148" t="s">
        <v>68</v>
      </c>
      <c r="Q4187" s="103"/>
      <c r="R4187" s="103"/>
      <c r="S4187" s="103"/>
      <c r="T4187" s="103"/>
      <c r="U4187" s="148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1">
        <v>4182.0</v>
      </c>
      <c r="B4188" s="90" t="s">
        <v>7000</v>
      </c>
      <c r="C4188" s="82" t="str">
        <f>VLOOKUP($B$7:$B$5000,SUM!$L$6:$L$500,1,FALSE)</f>
        <v>#N/A</v>
      </c>
      <c r="D4188" s="190" t="s">
        <v>6981</v>
      </c>
      <c r="E4188" s="198" t="s">
        <v>58</v>
      </c>
      <c r="F4188" s="199" t="s">
        <v>6982</v>
      </c>
      <c r="G4188" s="191" t="s">
        <v>6983</v>
      </c>
      <c r="H4188" s="253" t="s">
        <v>7001</v>
      </c>
      <c r="I4188" s="197" t="s">
        <v>6985</v>
      </c>
      <c r="J4188" s="148" t="s">
        <v>63</v>
      </c>
      <c r="K4188" s="148" t="s">
        <v>91</v>
      </c>
      <c r="L4188" s="148" t="s">
        <v>65</v>
      </c>
      <c r="M4188" s="148" t="s">
        <v>66</v>
      </c>
      <c r="N4188" s="159">
        <v>46193.0</v>
      </c>
      <c r="O4188" s="148" t="s">
        <v>67</v>
      </c>
      <c r="P4188" s="148" t="s">
        <v>68</v>
      </c>
      <c r="Q4188" s="103"/>
      <c r="R4188" s="103"/>
      <c r="S4188" s="103"/>
      <c r="T4188" s="103"/>
      <c r="U4188" s="148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1">
        <v>4183.0</v>
      </c>
      <c r="B4189" s="90" t="s">
        <v>7002</v>
      </c>
      <c r="C4189" s="82" t="str">
        <f>VLOOKUP($B$7:$B$5000,SUM!$L$6:$L$500,1,FALSE)</f>
        <v>#N/A</v>
      </c>
      <c r="D4189" s="190" t="s">
        <v>6981</v>
      </c>
      <c r="E4189" s="198" t="s">
        <v>58</v>
      </c>
      <c r="F4189" s="199" t="s">
        <v>6982</v>
      </c>
      <c r="G4189" s="191" t="s">
        <v>6983</v>
      </c>
      <c r="H4189" s="253" t="s">
        <v>7003</v>
      </c>
      <c r="I4189" s="197" t="s">
        <v>6985</v>
      </c>
      <c r="J4189" s="148" t="s">
        <v>63</v>
      </c>
      <c r="K4189" s="148" t="s">
        <v>91</v>
      </c>
      <c r="L4189" s="148" t="s">
        <v>65</v>
      </c>
      <c r="M4189" s="148" t="s">
        <v>66</v>
      </c>
      <c r="N4189" s="159">
        <v>46193.0</v>
      </c>
      <c r="O4189" s="148" t="s">
        <v>67</v>
      </c>
      <c r="P4189" s="148" t="s">
        <v>68</v>
      </c>
      <c r="Q4189" s="103"/>
      <c r="R4189" s="103"/>
      <c r="S4189" s="103"/>
      <c r="T4189" s="103"/>
      <c r="U4189" s="148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1">
        <v>4184.0</v>
      </c>
      <c r="B4190" s="90" t="s">
        <v>7004</v>
      </c>
      <c r="C4190" s="82" t="str">
        <f>VLOOKUP($B$7:$B$5000,SUM!$L$6:$L$500,1,FALSE)</f>
        <v>#N/A</v>
      </c>
      <c r="D4190" s="190" t="s">
        <v>6981</v>
      </c>
      <c r="E4190" s="198" t="s">
        <v>58</v>
      </c>
      <c r="F4190" s="199" t="s">
        <v>6982</v>
      </c>
      <c r="G4190" s="191" t="s">
        <v>6983</v>
      </c>
      <c r="H4190" s="253" t="s">
        <v>7005</v>
      </c>
      <c r="I4190" s="197" t="s">
        <v>6985</v>
      </c>
      <c r="J4190" s="148" t="s">
        <v>63</v>
      </c>
      <c r="K4190" s="148" t="s">
        <v>91</v>
      </c>
      <c r="L4190" s="148" t="s">
        <v>65</v>
      </c>
      <c r="M4190" s="148" t="s">
        <v>66</v>
      </c>
      <c r="N4190" s="159">
        <v>46193.0</v>
      </c>
      <c r="O4190" s="148" t="s">
        <v>67</v>
      </c>
      <c r="P4190" s="148" t="s">
        <v>68</v>
      </c>
      <c r="Q4190" s="103"/>
      <c r="R4190" s="103"/>
      <c r="S4190" s="103"/>
      <c r="T4190" s="103"/>
      <c r="U4190" s="148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1">
        <v>4185.0</v>
      </c>
      <c r="B4191" s="90" t="s">
        <v>7006</v>
      </c>
      <c r="C4191" s="82" t="str">
        <f>VLOOKUP($B$7:$B$5000,SUM!$L$6:$L$500,1,FALSE)</f>
        <v>#N/A</v>
      </c>
      <c r="D4191" s="190" t="s">
        <v>6981</v>
      </c>
      <c r="E4191" s="198" t="s">
        <v>58</v>
      </c>
      <c r="F4191" s="199" t="s">
        <v>6982</v>
      </c>
      <c r="G4191" s="191" t="s">
        <v>6983</v>
      </c>
      <c r="H4191" s="253" t="s">
        <v>7007</v>
      </c>
      <c r="I4191" s="197" t="s">
        <v>6985</v>
      </c>
      <c r="J4191" s="148" t="s">
        <v>63</v>
      </c>
      <c r="K4191" s="148" t="s">
        <v>91</v>
      </c>
      <c r="L4191" s="148" t="s">
        <v>65</v>
      </c>
      <c r="M4191" s="148" t="s">
        <v>66</v>
      </c>
      <c r="N4191" s="159">
        <v>46193.0</v>
      </c>
      <c r="O4191" s="148" t="s">
        <v>67</v>
      </c>
      <c r="P4191" s="148" t="s">
        <v>68</v>
      </c>
      <c r="Q4191" s="103"/>
      <c r="R4191" s="103"/>
      <c r="S4191" s="103"/>
      <c r="T4191" s="103"/>
      <c r="U4191" s="148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1">
        <v>4186.0</v>
      </c>
      <c r="B4192" s="90" t="s">
        <v>7008</v>
      </c>
      <c r="C4192" s="82" t="str">
        <f>VLOOKUP($B$7:$B$5000,SUM!$L$6:$L$500,1,FALSE)</f>
        <v>#N/A</v>
      </c>
      <c r="D4192" s="190" t="s">
        <v>6981</v>
      </c>
      <c r="E4192" s="198" t="s">
        <v>58</v>
      </c>
      <c r="F4192" s="199" t="s">
        <v>6982</v>
      </c>
      <c r="G4192" s="191" t="s">
        <v>6983</v>
      </c>
      <c r="H4192" s="253" t="s">
        <v>7009</v>
      </c>
      <c r="I4192" s="197" t="s">
        <v>6985</v>
      </c>
      <c r="J4192" s="148" t="s">
        <v>63</v>
      </c>
      <c r="K4192" s="148" t="s">
        <v>91</v>
      </c>
      <c r="L4192" s="148" t="s">
        <v>65</v>
      </c>
      <c r="M4192" s="148" t="s">
        <v>66</v>
      </c>
      <c r="N4192" s="159">
        <v>46193.0</v>
      </c>
      <c r="O4192" s="148" t="s">
        <v>67</v>
      </c>
      <c r="P4192" s="148" t="s">
        <v>68</v>
      </c>
      <c r="Q4192" s="103"/>
      <c r="R4192" s="103"/>
      <c r="S4192" s="103"/>
      <c r="T4192" s="103"/>
      <c r="U4192" s="148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1">
        <v>4187.0</v>
      </c>
      <c r="B4193" s="90" t="s">
        <v>7010</v>
      </c>
      <c r="C4193" s="82" t="str">
        <f>VLOOKUP($B$7:$B$5000,SUM!$L$6:$L$500,1,FALSE)</f>
        <v>#N/A</v>
      </c>
      <c r="D4193" s="190" t="s">
        <v>6981</v>
      </c>
      <c r="E4193" s="198" t="s">
        <v>58</v>
      </c>
      <c r="F4193" s="199" t="s">
        <v>6982</v>
      </c>
      <c r="G4193" s="191" t="s">
        <v>6983</v>
      </c>
      <c r="H4193" s="253" t="s">
        <v>7011</v>
      </c>
      <c r="I4193" s="197" t="s">
        <v>6985</v>
      </c>
      <c r="J4193" s="148" t="s">
        <v>63</v>
      </c>
      <c r="K4193" s="148" t="s">
        <v>91</v>
      </c>
      <c r="L4193" s="148" t="s">
        <v>65</v>
      </c>
      <c r="M4193" s="148" t="s">
        <v>66</v>
      </c>
      <c r="N4193" s="159">
        <v>46193.0</v>
      </c>
      <c r="O4193" s="148" t="s">
        <v>67</v>
      </c>
      <c r="P4193" s="148" t="s">
        <v>68</v>
      </c>
      <c r="Q4193" s="103"/>
      <c r="R4193" s="103"/>
      <c r="S4193" s="103"/>
      <c r="T4193" s="103"/>
      <c r="U4193" s="148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1">
        <v>4188.0</v>
      </c>
      <c r="B4194" s="90" t="s">
        <v>7012</v>
      </c>
      <c r="C4194" s="82" t="str">
        <f>VLOOKUP($B$7:$B$5000,SUM!$L$6:$L$500,1,FALSE)</f>
        <v>#N/A</v>
      </c>
      <c r="D4194" s="190" t="s">
        <v>6981</v>
      </c>
      <c r="E4194" s="198" t="s">
        <v>58</v>
      </c>
      <c r="F4194" s="199" t="s">
        <v>6982</v>
      </c>
      <c r="G4194" s="191" t="s">
        <v>6983</v>
      </c>
      <c r="H4194" s="253" t="s">
        <v>7013</v>
      </c>
      <c r="I4194" s="197" t="s">
        <v>6985</v>
      </c>
      <c r="J4194" s="148" t="s">
        <v>63</v>
      </c>
      <c r="K4194" s="148" t="s">
        <v>91</v>
      </c>
      <c r="L4194" s="148" t="s">
        <v>65</v>
      </c>
      <c r="M4194" s="148" t="s">
        <v>66</v>
      </c>
      <c r="N4194" s="159">
        <v>46193.0</v>
      </c>
      <c r="O4194" s="148" t="s">
        <v>67</v>
      </c>
      <c r="P4194" s="148" t="s">
        <v>68</v>
      </c>
      <c r="Q4194" s="103"/>
      <c r="R4194" s="103"/>
      <c r="S4194" s="103"/>
      <c r="T4194" s="103"/>
      <c r="U4194" s="148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1">
        <v>4189.0</v>
      </c>
      <c r="B4195" s="90" t="s">
        <v>7014</v>
      </c>
      <c r="C4195" s="82" t="str">
        <f>VLOOKUP($B$7:$B$5000,SUM!$L$6:$L$500,1,FALSE)</f>
        <v>#N/A</v>
      </c>
      <c r="D4195" s="190" t="s">
        <v>6981</v>
      </c>
      <c r="E4195" s="198" t="s">
        <v>58</v>
      </c>
      <c r="F4195" s="199" t="s">
        <v>6982</v>
      </c>
      <c r="G4195" s="191" t="s">
        <v>6983</v>
      </c>
      <c r="H4195" s="253" t="s">
        <v>7015</v>
      </c>
      <c r="I4195" s="197" t="s">
        <v>6985</v>
      </c>
      <c r="J4195" s="148" t="s">
        <v>63</v>
      </c>
      <c r="K4195" s="148" t="s">
        <v>91</v>
      </c>
      <c r="L4195" s="148" t="s">
        <v>65</v>
      </c>
      <c r="M4195" s="148" t="s">
        <v>66</v>
      </c>
      <c r="N4195" s="159">
        <v>46193.0</v>
      </c>
      <c r="O4195" s="148" t="s">
        <v>67</v>
      </c>
      <c r="P4195" s="148" t="s">
        <v>68</v>
      </c>
      <c r="Q4195" s="103"/>
      <c r="R4195" s="103"/>
      <c r="S4195" s="103"/>
      <c r="T4195" s="103"/>
      <c r="U4195" s="148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1">
        <v>4190.0</v>
      </c>
      <c r="B4196" s="90" t="s">
        <v>7016</v>
      </c>
      <c r="C4196" s="82" t="str">
        <f>VLOOKUP($B$7:$B$5000,SUM!$L$6:$L$500,1,FALSE)</f>
        <v>#N/A</v>
      </c>
      <c r="D4196" s="190" t="s">
        <v>6981</v>
      </c>
      <c r="E4196" s="198" t="s">
        <v>58</v>
      </c>
      <c r="F4196" s="199" t="s">
        <v>6982</v>
      </c>
      <c r="G4196" s="191" t="s">
        <v>6983</v>
      </c>
      <c r="H4196" s="253" t="s">
        <v>7017</v>
      </c>
      <c r="I4196" s="197" t="s">
        <v>6985</v>
      </c>
      <c r="J4196" s="148" t="s">
        <v>63</v>
      </c>
      <c r="K4196" s="148" t="s">
        <v>91</v>
      </c>
      <c r="L4196" s="148" t="s">
        <v>65</v>
      </c>
      <c r="M4196" s="148" t="s">
        <v>66</v>
      </c>
      <c r="N4196" s="159">
        <v>46193.0</v>
      </c>
      <c r="O4196" s="148" t="s">
        <v>67</v>
      </c>
      <c r="P4196" s="148" t="s">
        <v>68</v>
      </c>
      <c r="Q4196" s="103"/>
      <c r="R4196" s="103"/>
      <c r="S4196" s="103"/>
      <c r="T4196" s="103"/>
      <c r="U4196" s="148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1">
        <v>4191.0</v>
      </c>
      <c r="B4197" s="90" t="s">
        <v>7018</v>
      </c>
      <c r="C4197" s="82" t="str">
        <f>VLOOKUP($B$7:$B$5000,SUM!$L$6:$L$500,1,FALSE)</f>
        <v>#N/A</v>
      </c>
      <c r="D4197" s="190" t="s">
        <v>6981</v>
      </c>
      <c r="E4197" s="198" t="s">
        <v>58</v>
      </c>
      <c r="F4197" s="199" t="s">
        <v>6982</v>
      </c>
      <c r="G4197" s="191" t="s">
        <v>6983</v>
      </c>
      <c r="H4197" s="253" t="s">
        <v>7019</v>
      </c>
      <c r="I4197" s="197" t="s">
        <v>6985</v>
      </c>
      <c r="J4197" s="148" t="s">
        <v>63</v>
      </c>
      <c r="K4197" s="148" t="s">
        <v>91</v>
      </c>
      <c r="L4197" s="148" t="s">
        <v>65</v>
      </c>
      <c r="M4197" s="148" t="s">
        <v>66</v>
      </c>
      <c r="N4197" s="159">
        <v>46193.0</v>
      </c>
      <c r="O4197" s="148" t="s">
        <v>67</v>
      </c>
      <c r="P4197" s="148" t="s">
        <v>68</v>
      </c>
      <c r="Q4197" s="103"/>
      <c r="R4197" s="103"/>
      <c r="S4197" s="103"/>
      <c r="T4197" s="103"/>
      <c r="U4197" s="148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1">
        <v>4192.0</v>
      </c>
      <c r="B4198" s="90" t="s">
        <v>7020</v>
      </c>
      <c r="C4198" s="82" t="str">
        <f>VLOOKUP($B$7:$B$5000,SUM!$L$6:$L$500,1,FALSE)</f>
        <v>#N/A</v>
      </c>
      <c r="D4198" s="190" t="s">
        <v>6981</v>
      </c>
      <c r="E4198" s="198" t="s">
        <v>58</v>
      </c>
      <c r="F4198" s="199" t="s">
        <v>6982</v>
      </c>
      <c r="G4198" s="191" t="s">
        <v>6983</v>
      </c>
      <c r="H4198" s="253" t="s">
        <v>7021</v>
      </c>
      <c r="I4198" s="197" t="s">
        <v>6985</v>
      </c>
      <c r="J4198" s="148" t="s">
        <v>63</v>
      </c>
      <c r="K4198" s="148" t="s">
        <v>91</v>
      </c>
      <c r="L4198" s="148" t="s">
        <v>65</v>
      </c>
      <c r="M4198" s="148" t="s">
        <v>66</v>
      </c>
      <c r="N4198" s="159">
        <v>46193.0</v>
      </c>
      <c r="O4198" s="148" t="s">
        <v>67</v>
      </c>
      <c r="P4198" s="148" t="s">
        <v>68</v>
      </c>
      <c r="Q4198" s="103"/>
      <c r="R4198" s="103"/>
      <c r="S4198" s="103"/>
      <c r="T4198" s="103"/>
      <c r="U4198" s="148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1">
        <v>4193.0</v>
      </c>
      <c r="B4199" s="90" t="s">
        <v>7022</v>
      </c>
      <c r="C4199" s="82" t="str">
        <f>VLOOKUP($B$7:$B$5000,SUM!$L$6:$L$500,1,FALSE)</f>
        <v>#N/A</v>
      </c>
      <c r="D4199" s="190" t="s">
        <v>6981</v>
      </c>
      <c r="E4199" s="198" t="s">
        <v>58</v>
      </c>
      <c r="F4199" s="199" t="s">
        <v>6982</v>
      </c>
      <c r="G4199" s="191" t="s">
        <v>6983</v>
      </c>
      <c r="H4199" s="253" t="s">
        <v>7023</v>
      </c>
      <c r="I4199" s="197" t="s">
        <v>6985</v>
      </c>
      <c r="J4199" s="148" t="s">
        <v>63</v>
      </c>
      <c r="K4199" s="148" t="s">
        <v>91</v>
      </c>
      <c r="L4199" s="148" t="s">
        <v>65</v>
      </c>
      <c r="M4199" s="148" t="s">
        <v>66</v>
      </c>
      <c r="N4199" s="159">
        <v>46193.0</v>
      </c>
      <c r="O4199" s="148" t="s">
        <v>67</v>
      </c>
      <c r="P4199" s="148" t="s">
        <v>68</v>
      </c>
      <c r="Q4199" s="103"/>
      <c r="R4199" s="103"/>
      <c r="S4199" s="103"/>
      <c r="T4199" s="103"/>
      <c r="U4199" s="148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1">
        <v>4194.0</v>
      </c>
      <c r="B4200" s="90" t="s">
        <v>7024</v>
      </c>
      <c r="C4200" s="82" t="str">
        <f>VLOOKUP($B$7:$B$5000,SUM!$L$6:$L$500,1,FALSE)</f>
        <v>#N/A</v>
      </c>
      <c r="D4200" s="190" t="s">
        <v>6981</v>
      </c>
      <c r="E4200" s="198" t="s">
        <v>58</v>
      </c>
      <c r="F4200" s="199" t="s">
        <v>6982</v>
      </c>
      <c r="G4200" s="191" t="s">
        <v>6983</v>
      </c>
      <c r="H4200" s="253" t="s">
        <v>7025</v>
      </c>
      <c r="I4200" s="197" t="s">
        <v>6985</v>
      </c>
      <c r="J4200" s="148" t="s">
        <v>63</v>
      </c>
      <c r="K4200" s="148" t="s">
        <v>91</v>
      </c>
      <c r="L4200" s="148" t="s">
        <v>65</v>
      </c>
      <c r="M4200" s="148" t="s">
        <v>66</v>
      </c>
      <c r="N4200" s="159">
        <v>46193.0</v>
      </c>
      <c r="O4200" s="148" t="s">
        <v>67</v>
      </c>
      <c r="P4200" s="148" t="s">
        <v>68</v>
      </c>
      <c r="Q4200" s="103"/>
      <c r="R4200" s="103"/>
      <c r="S4200" s="103"/>
      <c r="T4200" s="103"/>
      <c r="U4200" s="148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1">
        <v>4195.0</v>
      </c>
      <c r="B4201" s="90" t="s">
        <v>7026</v>
      </c>
      <c r="C4201" s="82" t="str">
        <f>VLOOKUP($B$7:$B$5000,SUM!$L$6:$L$500,1,FALSE)</f>
        <v>#N/A</v>
      </c>
      <c r="D4201" s="190" t="s">
        <v>6981</v>
      </c>
      <c r="E4201" s="198" t="s">
        <v>58</v>
      </c>
      <c r="F4201" s="199" t="s">
        <v>6982</v>
      </c>
      <c r="G4201" s="191" t="s">
        <v>6983</v>
      </c>
      <c r="H4201" s="253" t="s">
        <v>7027</v>
      </c>
      <c r="I4201" s="197" t="s">
        <v>6985</v>
      </c>
      <c r="J4201" s="148" t="s">
        <v>63</v>
      </c>
      <c r="K4201" s="148" t="s">
        <v>91</v>
      </c>
      <c r="L4201" s="148" t="s">
        <v>65</v>
      </c>
      <c r="M4201" s="148" t="s">
        <v>66</v>
      </c>
      <c r="N4201" s="159">
        <v>46193.0</v>
      </c>
      <c r="O4201" s="148" t="s">
        <v>67</v>
      </c>
      <c r="P4201" s="148" t="s">
        <v>68</v>
      </c>
      <c r="Q4201" s="103"/>
      <c r="R4201" s="103"/>
      <c r="S4201" s="103"/>
      <c r="T4201" s="103"/>
      <c r="U4201" s="148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1">
        <v>4196.0</v>
      </c>
      <c r="B4202" s="90" t="s">
        <v>7028</v>
      </c>
      <c r="C4202" s="82" t="str">
        <f>VLOOKUP($B$7:$B$5000,SUM!$L$6:$L$500,1,FALSE)</f>
        <v>#N/A</v>
      </c>
      <c r="D4202" s="190" t="s">
        <v>6981</v>
      </c>
      <c r="E4202" s="198" t="s">
        <v>58</v>
      </c>
      <c r="F4202" s="199" t="s">
        <v>6982</v>
      </c>
      <c r="G4202" s="191" t="s">
        <v>6983</v>
      </c>
      <c r="H4202" s="253" t="s">
        <v>7029</v>
      </c>
      <c r="I4202" s="197" t="s">
        <v>6985</v>
      </c>
      <c r="J4202" s="148" t="s">
        <v>63</v>
      </c>
      <c r="K4202" s="148" t="s">
        <v>91</v>
      </c>
      <c r="L4202" s="148" t="s">
        <v>65</v>
      </c>
      <c r="M4202" s="148" t="s">
        <v>66</v>
      </c>
      <c r="N4202" s="159">
        <v>46193.0</v>
      </c>
      <c r="O4202" s="148" t="s">
        <v>67</v>
      </c>
      <c r="P4202" s="148" t="s">
        <v>68</v>
      </c>
      <c r="Q4202" s="103"/>
      <c r="R4202" s="103"/>
      <c r="S4202" s="103"/>
      <c r="T4202" s="103"/>
      <c r="U4202" s="148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1">
        <v>4197.0</v>
      </c>
      <c r="B4203" s="90" t="s">
        <v>7030</v>
      </c>
      <c r="C4203" s="82" t="str">
        <f>VLOOKUP($B$7:$B$5000,SUM!$L$6:$L$500,1,FALSE)</f>
        <v>#N/A</v>
      </c>
      <c r="D4203" s="190" t="s">
        <v>6981</v>
      </c>
      <c r="E4203" s="198" t="s">
        <v>58</v>
      </c>
      <c r="F4203" s="199" t="s">
        <v>6982</v>
      </c>
      <c r="G4203" s="191" t="s">
        <v>6983</v>
      </c>
      <c r="H4203" s="253" t="s">
        <v>7031</v>
      </c>
      <c r="I4203" s="197" t="s">
        <v>6985</v>
      </c>
      <c r="J4203" s="148" t="s">
        <v>63</v>
      </c>
      <c r="K4203" s="148" t="s">
        <v>91</v>
      </c>
      <c r="L4203" s="148" t="s">
        <v>65</v>
      </c>
      <c r="M4203" s="148" t="s">
        <v>66</v>
      </c>
      <c r="N4203" s="159">
        <v>46193.0</v>
      </c>
      <c r="O4203" s="148" t="s">
        <v>67</v>
      </c>
      <c r="P4203" s="148" t="s">
        <v>68</v>
      </c>
      <c r="Q4203" s="103"/>
      <c r="R4203" s="103"/>
      <c r="S4203" s="103"/>
      <c r="T4203" s="103"/>
      <c r="U4203" s="148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1">
        <v>4198.0</v>
      </c>
      <c r="B4204" s="90" t="s">
        <v>7032</v>
      </c>
      <c r="C4204" s="82" t="str">
        <f>VLOOKUP($B$7:$B$5000,SUM!$L$6:$L$500,1,FALSE)</f>
        <v>#N/A</v>
      </c>
      <c r="D4204" s="190" t="s">
        <v>6981</v>
      </c>
      <c r="E4204" s="198" t="s">
        <v>58</v>
      </c>
      <c r="F4204" s="199" t="s">
        <v>6982</v>
      </c>
      <c r="G4204" s="191" t="s">
        <v>6983</v>
      </c>
      <c r="H4204" s="253" t="s">
        <v>7033</v>
      </c>
      <c r="I4204" s="197" t="s">
        <v>6985</v>
      </c>
      <c r="J4204" s="148" t="s">
        <v>63</v>
      </c>
      <c r="K4204" s="148" t="s">
        <v>91</v>
      </c>
      <c r="L4204" s="148" t="s">
        <v>65</v>
      </c>
      <c r="M4204" s="148" t="s">
        <v>66</v>
      </c>
      <c r="N4204" s="159">
        <v>46193.0</v>
      </c>
      <c r="O4204" s="148" t="s">
        <v>67</v>
      </c>
      <c r="P4204" s="148" t="s">
        <v>68</v>
      </c>
      <c r="Q4204" s="103"/>
      <c r="R4204" s="103"/>
      <c r="S4204" s="103"/>
      <c r="T4204" s="103"/>
      <c r="U4204" s="148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1">
        <v>4199.0</v>
      </c>
      <c r="B4205" s="90" t="s">
        <v>7034</v>
      </c>
      <c r="C4205" s="82" t="str">
        <f>VLOOKUP($B$7:$B$5000,SUM!$L$6:$L$500,1,FALSE)</f>
        <v>#N/A</v>
      </c>
      <c r="D4205" s="190" t="s">
        <v>6981</v>
      </c>
      <c r="E4205" s="198" t="s">
        <v>58</v>
      </c>
      <c r="F4205" s="199" t="s">
        <v>6982</v>
      </c>
      <c r="G4205" s="191" t="s">
        <v>6983</v>
      </c>
      <c r="H4205" s="254" t="s">
        <v>7017</v>
      </c>
      <c r="I4205" s="197" t="s">
        <v>7035</v>
      </c>
      <c r="J4205" s="148" t="s">
        <v>108</v>
      </c>
      <c r="K4205" s="148" t="s">
        <v>91</v>
      </c>
      <c r="L4205" s="148" t="s">
        <v>65</v>
      </c>
      <c r="M4205" s="148" t="s">
        <v>66</v>
      </c>
      <c r="N4205" s="159">
        <v>46193.0</v>
      </c>
      <c r="O4205" s="148" t="s">
        <v>67</v>
      </c>
      <c r="P4205" s="148" t="s">
        <v>68</v>
      </c>
      <c r="Q4205" s="103"/>
      <c r="R4205" s="103"/>
      <c r="S4205" s="103"/>
      <c r="T4205" s="103"/>
      <c r="U4205" s="148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1">
        <v>4200.0</v>
      </c>
      <c r="B4206" s="90" t="s">
        <v>7036</v>
      </c>
      <c r="C4206" s="82" t="str">
        <f>VLOOKUP($B$7:$B$5000,SUM!$L$6:$L$500,1,FALSE)</f>
        <v>#N/A</v>
      </c>
      <c r="D4206" s="190" t="s">
        <v>6981</v>
      </c>
      <c r="E4206" s="198" t="s">
        <v>58</v>
      </c>
      <c r="F4206" s="199" t="s">
        <v>6982</v>
      </c>
      <c r="G4206" s="191" t="s">
        <v>6983</v>
      </c>
      <c r="H4206" s="254" t="s">
        <v>7019</v>
      </c>
      <c r="I4206" s="197" t="s">
        <v>7035</v>
      </c>
      <c r="J4206" s="148" t="s">
        <v>108</v>
      </c>
      <c r="K4206" s="148" t="s">
        <v>91</v>
      </c>
      <c r="L4206" s="148" t="s">
        <v>65</v>
      </c>
      <c r="M4206" s="148" t="s">
        <v>66</v>
      </c>
      <c r="N4206" s="159">
        <v>46193.0</v>
      </c>
      <c r="O4206" s="148" t="s">
        <v>67</v>
      </c>
      <c r="P4206" s="148" t="s">
        <v>68</v>
      </c>
      <c r="Q4206" s="103"/>
      <c r="R4206" s="103"/>
      <c r="S4206" s="103"/>
      <c r="T4206" s="103"/>
      <c r="U4206" s="148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1">
        <v>4201.0</v>
      </c>
      <c r="B4207" s="90" t="s">
        <v>7037</v>
      </c>
      <c r="C4207" s="82" t="str">
        <f>VLOOKUP($B$7:$B$5000,SUM!$L$6:$L$500,1,FALSE)</f>
        <v>#N/A</v>
      </c>
      <c r="D4207" s="190" t="s">
        <v>6981</v>
      </c>
      <c r="E4207" s="198" t="s">
        <v>58</v>
      </c>
      <c r="F4207" s="199" t="s">
        <v>6982</v>
      </c>
      <c r="G4207" s="191" t="s">
        <v>6983</v>
      </c>
      <c r="H4207" s="254" t="s">
        <v>7023</v>
      </c>
      <c r="I4207" s="197" t="s">
        <v>7035</v>
      </c>
      <c r="J4207" s="148" t="s">
        <v>108</v>
      </c>
      <c r="K4207" s="148" t="s">
        <v>91</v>
      </c>
      <c r="L4207" s="148" t="s">
        <v>65</v>
      </c>
      <c r="M4207" s="148" t="s">
        <v>66</v>
      </c>
      <c r="N4207" s="159">
        <v>46193.0</v>
      </c>
      <c r="O4207" s="148" t="s">
        <v>67</v>
      </c>
      <c r="P4207" s="148" t="s">
        <v>68</v>
      </c>
      <c r="Q4207" s="103"/>
      <c r="R4207" s="103"/>
      <c r="S4207" s="103"/>
      <c r="T4207" s="103"/>
      <c r="U4207" s="148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1">
        <v>4202.0</v>
      </c>
      <c r="B4208" s="90" t="s">
        <v>7038</v>
      </c>
      <c r="C4208" s="82" t="str">
        <f>VLOOKUP($B$7:$B$5000,SUM!$L$6:$L$500,1,FALSE)</f>
        <v>#N/A</v>
      </c>
      <c r="D4208" s="190" t="s">
        <v>6981</v>
      </c>
      <c r="E4208" s="198" t="s">
        <v>58</v>
      </c>
      <c r="F4208" s="199" t="s">
        <v>6982</v>
      </c>
      <c r="G4208" s="191" t="s">
        <v>6983</v>
      </c>
      <c r="H4208" s="254" t="s">
        <v>7005</v>
      </c>
      <c r="I4208" s="197" t="s">
        <v>7035</v>
      </c>
      <c r="J4208" s="148" t="s">
        <v>108</v>
      </c>
      <c r="K4208" s="148" t="s">
        <v>91</v>
      </c>
      <c r="L4208" s="148" t="s">
        <v>65</v>
      </c>
      <c r="M4208" s="148" t="s">
        <v>66</v>
      </c>
      <c r="N4208" s="159">
        <v>46193.0</v>
      </c>
      <c r="O4208" s="148" t="s">
        <v>67</v>
      </c>
      <c r="P4208" s="148" t="s">
        <v>68</v>
      </c>
      <c r="Q4208" s="103"/>
      <c r="R4208" s="103"/>
      <c r="S4208" s="103"/>
      <c r="T4208" s="103"/>
      <c r="U4208" s="148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1">
        <v>4203.0</v>
      </c>
      <c r="B4209" s="90" t="s">
        <v>7039</v>
      </c>
      <c r="C4209" s="82" t="str">
        <f>VLOOKUP($B$7:$B$5000,SUM!$L$6:$L$500,1,FALSE)</f>
        <v>#N/A</v>
      </c>
      <c r="D4209" s="190" t="s">
        <v>6981</v>
      </c>
      <c r="E4209" s="198" t="s">
        <v>58</v>
      </c>
      <c r="F4209" s="199" t="s">
        <v>6982</v>
      </c>
      <c r="G4209" s="191" t="s">
        <v>6983</v>
      </c>
      <c r="H4209" s="254" t="s">
        <v>7007</v>
      </c>
      <c r="I4209" s="197" t="s">
        <v>7035</v>
      </c>
      <c r="J4209" s="148" t="s">
        <v>108</v>
      </c>
      <c r="K4209" s="148" t="s">
        <v>91</v>
      </c>
      <c r="L4209" s="148" t="s">
        <v>65</v>
      </c>
      <c r="M4209" s="148" t="s">
        <v>66</v>
      </c>
      <c r="N4209" s="159">
        <v>46193.0</v>
      </c>
      <c r="O4209" s="148" t="s">
        <v>67</v>
      </c>
      <c r="P4209" s="148" t="s">
        <v>68</v>
      </c>
      <c r="Q4209" s="103"/>
      <c r="R4209" s="103"/>
      <c r="S4209" s="103"/>
      <c r="T4209" s="103"/>
      <c r="U4209" s="148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1">
        <v>4204.0</v>
      </c>
      <c r="B4210" s="90" t="s">
        <v>7040</v>
      </c>
      <c r="C4210" s="82" t="str">
        <f>VLOOKUP($B$7:$B$5000,SUM!$L$6:$L$500,1,FALSE)</f>
        <v>#N/A</v>
      </c>
      <c r="D4210" s="190" t="s">
        <v>6981</v>
      </c>
      <c r="E4210" s="198" t="s">
        <v>58</v>
      </c>
      <c r="F4210" s="199" t="s">
        <v>6982</v>
      </c>
      <c r="G4210" s="191" t="s">
        <v>6983</v>
      </c>
      <c r="H4210" s="254" t="s">
        <v>7025</v>
      </c>
      <c r="I4210" s="197" t="s">
        <v>7035</v>
      </c>
      <c r="J4210" s="148" t="s">
        <v>108</v>
      </c>
      <c r="K4210" s="148" t="s">
        <v>91</v>
      </c>
      <c r="L4210" s="148" t="s">
        <v>65</v>
      </c>
      <c r="M4210" s="148" t="s">
        <v>66</v>
      </c>
      <c r="N4210" s="159">
        <v>46193.0</v>
      </c>
      <c r="O4210" s="148" t="s">
        <v>67</v>
      </c>
      <c r="P4210" s="148" t="s">
        <v>68</v>
      </c>
      <c r="Q4210" s="103"/>
      <c r="R4210" s="103"/>
      <c r="S4210" s="103"/>
      <c r="T4210" s="103"/>
      <c r="U4210" s="148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1">
        <v>4205.0</v>
      </c>
      <c r="B4211" s="90" t="s">
        <v>7041</v>
      </c>
      <c r="C4211" s="82" t="str">
        <f>VLOOKUP($B$7:$B$5000,SUM!$L$6:$L$500,1,FALSE)</f>
        <v>#N/A</v>
      </c>
      <c r="D4211" s="190" t="s">
        <v>6981</v>
      </c>
      <c r="E4211" s="198" t="s">
        <v>58</v>
      </c>
      <c r="F4211" s="199" t="s">
        <v>6982</v>
      </c>
      <c r="G4211" s="191" t="s">
        <v>6983</v>
      </c>
      <c r="H4211" s="254" t="s">
        <v>7001</v>
      </c>
      <c r="I4211" s="197" t="s">
        <v>7035</v>
      </c>
      <c r="J4211" s="148" t="s">
        <v>108</v>
      </c>
      <c r="K4211" s="148" t="s">
        <v>91</v>
      </c>
      <c r="L4211" s="148" t="s">
        <v>65</v>
      </c>
      <c r="M4211" s="148" t="s">
        <v>66</v>
      </c>
      <c r="N4211" s="159">
        <v>46193.0</v>
      </c>
      <c r="O4211" s="148" t="s">
        <v>67</v>
      </c>
      <c r="P4211" s="148" t="s">
        <v>68</v>
      </c>
      <c r="Q4211" s="103"/>
      <c r="R4211" s="103"/>
      <c r="S4211" s="103"/>
      <c r="T4211" s="103"/>
      <c r="U4211" s="148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1">
        <v>4206.0</v>
      </c>
      <c r="B4212" s="90" t="s">
        <v>7042</v>
      </c>
      <c r="C4212" s="82" t="str">
        <f>VLOOKUP($B$7:$B$5000,SUM!$L$6:$L$500,1,FALSE)</f>
        <v>#N/A</v>
      </c>
      <c r="D4212" s="190" t="s">
        <v>6981</v>
      </c>
      <c r="E4212" s="198" t="s">
        <v>58</v>
      </c>
      <c r="F4212" s="199" t="s">
        <v>6982</v>
      </c>
      <c r="G4212" s="191" t="s">
        <v>6983</v>
      </c>
      <c r="H4212" s="254" t="s">
        <v>7003</v>
      </c>
      <c r="I4212" s="197" t="s">
        <v>7035</v>
      </c>
      <c r="J4212" s="148" t="s">
        <v>108</v>
      </c>
      <c r="K4212" s="148" t="s">
        <v>91</v>
      </c>
      <c r="L4212" s="148" t="s">
        <v>65</v>
      </c>
      <c r="M4212" s="148" t="s">
        <v>66</v>
      </c>
      <c r="N4212" s="159">
        <v>46193.0</v>
      </c>
      <c r="O4212" s="148" t="s">
        <v>67</v>
      </c>
      <c r="P4212" s="148" t="s">
        <v>68</v>
      </c>
      <c r="Q4212" s="103"/>
      <c r="R4212" s="103"/>
      <c r="S4212" s="103"/>
      <c r="T4212" s="103"/>
      <c r="U4212" s="148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1">
        <v>4207.0</v>
      </c>
      <c r="B4213" s="90" t="s">
        <v>7043</v>
      </c>
      <c r="C4213" s="82" t="str">
        <f>VLOOKUP($B$7:$B$5000,SUM!$L$6:$L$500,1,FALSE)</f>
        <v>#N/A</v>
      </c>
      <c r="D4213" s="190" t="s">
        <v>6981</v>
      </c>
      <c r="E4213" s="198" t="s">
        <v>58</v>
      </c>
      <c r="F4213" s="199" t="s">
        <v>6982</v>
      </c>
      <c r="G4213" s="191" t="s">
        <v>6983</v>
      </c>
      <c r="H4213" s="254" t="s">
        <v>7021</v>
      </c>
      <c r="I4213" s="197" t="s">
        <v>7035</v>
      </c>
      <c r="J4213" s="148" t="s">
        <v>108</v>
      </c>
      <c r="K4213" s="148" t="s">
        <v>91</v>
      </c>
      <c r="L4213" s="148" t="s">
        <v>65</v>
      </c>
      <c r="M4213" s="148" t="s">
        <v>66</v>
      </c>
      <c r="N4213" s="159">
        <v>46193.0</v>
      </c>
      <c r="O4213" s="148" t="s">
        <v>67</v>
      </c>
      <c r="P4213" s="148" t="s">
        <v>68</v>
      </c>
      <c r="Q4213" s="103"/>
      <c r="R4213" s="103"/>
      <c r="S4213" s="103"/>
      <c r="T4213" s="103"/>
      <c r="U4213" s="148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1">
        <v>4208.0</v>
      </c>
      <c r="B4214" s="90" t="s">
        <v>7044</v>
      </c>
      <c r="C4214" s="82" t="str">
        <f>VLOOKUP($B$7:$B$5000,SUM!$L$6:$L$500,1,FALSE)</f>
        <v>#N/A</v>
      </c>
      <c r="D4214" s="190" t="s">
        <v>6981</v>
      </c>
      <c r="E4214" s="198" t="s">
        <v>58</v>
      </c>
      <c r="F4214" s="199" t="s">
        <v>6982</v>
      </c>
      <c r="G4214" s="191" t="s">
        <v>6983</v>
      </c>
      <c r="H4214" s="254" t="s">
        <v>6997</v>
      </c>
      <c r="I4214" s="197" t="s">
        <v>7035</v>
      </c>
      <c r="J4214" s="148" t="s">
        <v>108</v>
      </c>
      <c r="K4214" s="148" t="s">
        <v>91</v>
      </c>
      <c r="L4214" s="148" t="s">
        <v>65</v>
      </c>
      <c r="M4214" s="148" t="s">
        <v>66</v>
      </c>
      <c r="N4214" s="159">
        <v>46193.0</v>
      </c>
      <c r="O4214" s="148" t="s">
        <v>67</v>
      </c>
      <c r="P4214" s="148" t="s">
        <v>68</v>
      </c>
      <c r="Q4214" s="103"/>
      <c r="R4214" s="103"/>
      <c r="S4214" s="103"/>
      <c r="T4214" s="103"/>
      <c r="U4214" s="148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1">
        <v>4209.0</v>
      </c>
      <c r="B4215" s="90" t="s">
        <v>7045</v>
      </c>
      <c r="C4215" s="82" t="str">
        <f>VLOOKUP($B$7:$B$5000,SUM!$L$6:$L$500,1,FALSE)</f>
        <v>#N/A</v>
      </c>
      <c r="D4215" s="190" t="s">
        <v>6981</v>
      </c>
      <c r="E4215" s="198" t="s">
        <v>58</v>
      </c>
      <c r="F4215" s="199" t="s">
        <v>6982</v>
      </c>
      <c r="G4215" s="191" t="s">
        <v>6983</v>
      </c>
      <c r="H4215" s="254" t="s">
        <v>6999</v>
      </c>
      <c r="I4215" s="197" t="s">
        <v>7035</v>
      </c>
      <c r="J4215" s="148" t="s">
        <v>108</v>
      </c>
      <c r="K4215" s="148" t="s">
        <v>91</v>
      </c>
      <c r="L4215" s="148" t="s">
        <v>65</v>
      </c>
      <c r="M4215" s="148" t="s">
        <v>66</v>
      </c>
      <c r="N4215" s="159">
        <v>46193.0</v>
      </c>
      <c r="O4215" s="148" t="s">
        <v>67</v>
      </c>
      <c r="P4215" s="148" t="s">
        <v>68</v>
      </c>
      <c r="Q4215" s="103"/>
      <c r="R4215" s="103"/>
      <c r="S4215" s="103"/>
      <c r="T4215" s="103"/>
      <c r="U4215" s="148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1">
        <v>4210.0</v>
      </c>
      <c r="B4216" s="90" t="s">
        <v>7046</v>
      </c>
      <c r="C4216" s="82" t="str">
        <f>VLOOKUP($B$7:$B$5000,SUM!$L$6:$L$500,1,FALSE)</f>
        <v>#N/A</v>
      </c>
      <c r="D4216" s="190" t="s">
        <v>6981</v>
      </c>
      <c r="E4216" s="198" t="s">
        <v>58</v>
      </c>
      <c r="F4216" s="199" t="s">
        <v>6982</v>
      </c>
      <c r="G4216" s="191" t="s">
        <v>6983</v>
      </c>
      <c r="H4216" s="254" t="s">
        <v>7027</v>
      </c>
      <c r="I4216" s="197" t="s">
        <v>7035</v>
      </c>
      <c r="J4216" s="148" t="s">
        <v>108</v>
      </c>
      <c r="K4216" s="148" t="s">
        <v>91</v>
      </c>
      <c r="L4216" s="148" t="s">
        <v>65</v>
      </c>
      <c r="M4216" s="148" t="s">
        <v>66</v>
      </c>
      <c r="N4216" s="159">
        <v>46193.0</v>
      </c>
      <c r="O4216" s="148" t="s">
        <v>67</v>
      </c>
      <c r="P4216" s="148" t="s">
        <v>68</v>
      </c>
      <c r="Q4216" s="103"/>
      <c r="R4216" s="103"/>
      <c r="S4216" s="103"/>
      <c r="T4216" s="103"/>
      <c r="U4216" s="148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1">
        <v>4211.0</v>
      </c>
      <c r="B4217" s="90" t="s">
        <v>7047</v>
      </c>
      <c r="C4217" s="82" t="str">
        <f>VLOOKUP($B$7:$B$5000,SUM!$L$6:$L$500,1,FALSE)</f>
        <v>#N/A</v>
      </c>
      <c r="D4217" s="190" t="s">
        <v>6981</v>
      </c>
      <c r="E4217" s="198" t="s">
        <v>58</v>
      </c>
      <c r="F4217" s="199" t="s">
        <v>6982</v>
      </c>
      <c r="G4217" s="191" t="s">
        <v>6983</v>
      </c>
      <c r="H4217" s="254" t="s">
        <v>7009</v>
      </c>
      <c r="I4217" s="197" t="s">
        <v>7035</v>
      </c>
      <c r="J4217" s="148" t="s">
        <v>108</v>
      </c>
      <c r="K4217" s="148" t="s">
        <v>91</v>
      </c>
      <c r="L4217" s="148" t="s">
        <v>65</v>
      </c>
      <c r="M4217" s="148" t="s">
        <v>66</v>
      </c>
      <c r="N4217" s="159">
        <v>46193.0</v>
      </c>
      <c r="O4217" s="148" t="s">
        <v>67</v>
      </c>
      <c r="P4217" s="148" t="s">
        <v>68</v>
      </c>
      <c r="Q4217" s="103"/>
      <c r="R4217" s="103"/>
      <c r="S4217" s="103"/>
      <c r="T4217" s="103"/>
      <c r="U4217" s="148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1">
        <v>4212.0</v>
      </c>
      <c r="B4218" s="90" t="s">
        <v>7048</v>
      </c>
      <c r="C4218" s="82" t="str">
        <f>VLOOKUP($B$7:$B$5000,SUM!$L$6:$L$500,1,FALSE)</f>
        <v>#N/A</v>
      </c>
      <c r="D4218" s="190" t="s">
        <v>6981</v>
      </c>
      <c r="E4218" s="198" t="s">
        <v>58</v>
      </c>
      <c r="F4218" s="199" t="s">
        <v>6982</v>
      </c>
      <c r="G4218" s="191" t="s">
        <v>6983</v>
      </c>
      <c r="H4218" s="254" t="s">
        <v>7011</v>
      </c>
      <c r="I4218" s="197" t="s">
        <v>7035</v>
      </c>
      <c r="J4218" s="148" t="s">
        <v>108</v>
      </c>
      <c r="K4218" s="148" t="s">
        <v>91</v>
      </c>
      <c r="L4218" s="148" t="s">
        <v>65</v>
      </c>
      <c r="M4218" s="148" t="s">
        <v>66</v>
      </c>
      <c r="N4218" s="159">
        <v>46193.0</v>
      </c>
      <c r="O4218" s="148" t="s">
        <v>67</v>
      </c>
      <c r="P4218" s="148" t="s">
        <v>68</v>
      </c>
      <c r="Q4218" s="103"/>
      <c r="R4218" s="103"/>
      <c r="S4218" s="103"/>
      <c r="T4218" s="103"/>
      <c r="U4218" s="148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1">
        <v>4213.0</v>
      </c>
      <c r="B4219" s="90" t="s">
        <v>7049</v>
      </c>
      <c r="C4219" s="82" t="str">
        <f>VLOOKUP($B$7:$B$5000,SUM!$L$6:$L$500,1,FALSE)</f>
        <v>#N/A</v>
      </c>
      <c r="D4219" s="190" t="s">
        <v>6981</v>
      </c>
      <c r="E4219" s="198" t="s">
        <v>58</v>
      </c>
      <c r="F4219" s="199" t="s">
        <v>6982</v>
      </c>
      <c r="G4219" s="191" t="s">
        <v>6983</v>
      </c>
      <c r="H4219" s="253" t="s">
        <v>6995</v>
      </c>
      <c r="I4219" s="197" t="s">
        <v>7050</v>
      </c>
      <c r="J4219" s="148" t="s">
        <v>63</v>
      </c>
      <c r="K4219" s="148" t="s">
        <v>91</v>
      </c>
      <c r="L4219" s="148" t="s">
        <v>65</v>
      </c>
      <c r="M4219" s="148" t="s">
        <v>66</v>
      </c>
      <c r="N4219" s="159">
        <v>46193.0</v>
      </c>
      <c r="O4219" s="148" t="s">
        <v>67</v>
      </c>
      <c r="P4219" s="148" t="s">
        <v>68</v>
      </c>
      <c r="Q4219" s="103"/>
      <c r="R4219" s="103"/>
      <c r="S4219" s="103"/>
      <c r="T4219" s="103"/>
      <c r="U4219" s="148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1">
        <v>4214.0</v>
      </c>
      <c r="B4220" s="90" t="s">
        <v>7051</v>
      </c>
      <c r="C4220" s="82" t="str">
        <f>VLOOKUP($B$7:$B$5000,SUM!$L$6:$L$500,1,FALSE)</f>
        <v>#N/A</v>
      </c>
      <c r="D4220" s="190" t="s">
        <v>6981</v>
      </c>
      <c r="E4220" s="198" t="s">
        <v>58</v>
      </c>
      <c r="F4220" s="199" t="s">
        <v>6982</v>
      </c>
      <c r="G4220" s="191" t="s">
        <v>6983</v>
      </c>
      <c r="H4220" s="253" t="s">
        <v>7013</v>
      </c>
      <c r="I4220" s="197" t="s">
        <v>7052</v>
      </c>
      <c r="J4220" s="148" t="s">
        <v>63</v>
      </c>
      <c r="K4220" s="148" t="s">
        <v>91</v>
      </c>
      <c r="L4220" s="148" t="s">
        <v>65</v>
      </c>
      <c r="M4220" s="148" t="s">
        <v>66</v>
      </c>
      <c r="N4220" s="159">
        <v>46193.0</v>
      </c>
      <c r="O4220" s="148" t="s">
        <v>67</v>
      </c>
      <c r="P4220" s="148" t="s">
        <v>68</v>
      </c>
      <c r="Q4220" s="103"/>
      <c r="R4220" s="103"/>
      <c r="S4220" s="103"/>
      <c r="T4220" s="103"/>
      <c r="U4220" s="148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1">
        <v>4215.0</v>
      </c>
      <c r="B4221" s="90" t="s">
        <v>7053</v>
      </c>
      <c r="C4221" s="82" t="str">
        <f>VLOOKUP($B$7:$B$5000,SUM!$L$6:$L$500,1,FALSE)</f>
        <v>#N/A</v>
      </c>
      <c r="D4221" s="190" t="s">
        <v>6981</v>
      </c>
      <c r="E4221" s="198" t="s">
        <v>58</v>
      </c>
      <c r="F4221" s="199" t="s">
        <v>6982</v>
      </c>
      <c r="G4221" s="191" t="s">
        <v>6983</v>
      </c>
      <c r="H4221" s="253" t="s">
        <v>7015</v>
      </c>
      <c r="I4221" s="197" t="s">
        <v>7052</v>
      </c>
      <c r="J4221" s="148" t="s">
        <v>63</v>
      </c>
      <c r="K4221" s="148" t="s">
        <v>91</v>
      </c>
      <c r="L4221" s="148" t="s">
        <v>65</v>
      </c>
      <c r="M4221" s="148" t="s">
        <v>66</v>
      </c>
      <c r="N4221" s="159">
        <v>46193.0</v>
      </c>
      <c r="O4221" s="148" t="s">
        <v>67</v>
      </c>
      <c r="P4221" s="148" t="s">
        <v>68</v>
      </c>
      <c r="Q4221" s="103"/>
      <c r="R4221" s="103"/>
      <c r="S4221" s="103"/>
      <c r="T4221" s="103"/>
      <c r="U4221" s="148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1">
        <v>4216.0</v>
      </c>
      <c r="B4222" s="90" t="s">
        <v>7054</v>
      </c>
      <c r="C4222" s="82" t="str">
        <f>VLOOKUP($B$7:$B$5000,SUM!$L$6:$L$500,1,FALSE)</f>
        <v>#N/A</v>
      </c>
      <c r="D4222" s="190" t="s">
        <v>6981</v>
      </c>
      <c r="E4222" s="198" t="s">
        <v>58</v>
      </c>
      <c r="F4222" s="199" t="s">
        <v>6982</v>
      </c>
      <c r="G4222" s="191" t="s">
        <v>6983</v>
      </c>
      <c r="H4222" s="253" t="s">
        <v>7029</v>
      </c>
      <c r="I4222" s="197" t="s">
        <v>7052</v>
      </c>
      <c r="J4222" s="148" t="s">
        <v>63</v>
      </c>
      <c r="K4222" s="148" t="s">
        <v>91</v>
      </c>
      <c r="L4222" s="148" t="s">
        <v>65</v>
      </c>
      <c r="M4222" s="148" t="s">
        <v>66</v>
      </c>
      <c r="N4222" s="159">
        <v>46193.0</v>
      </c>
      <c r="O4222" s="148" t="s">
        <v>67</v>
      </c>
      <c r="P4222" s="148" t="s">
        <v>68</v>
      </c>
      <c r="Q4222" s="103"/>
      <c r="R4222" s="103"/>
      <c r="S4222" s="103"/>
      <c r="T4222" s="103"/>
      <c r="U4222" s="148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1">
        <v>4217.0</v>
      </c>
      <c r="B4223" s="90" t="s">
        <v>7055</v>
      </c>
      <c r="C4223" s="82" t="str">
        <f>VLOOKUP($B$7:$B$5000,SUM!$L$6:$L$500,1,FALSE)</f>
        <v>#N/A</v>
      </c>
      <c r="D4223" s="190" t="s">
        <v>6981</v>
      </c>
      <c r="E4223" s="198" t="s">
        <v>58</v>
      </c>
      <c r="F4223" s="199" t="s">
        <v>6982</v>
      </c>
      <c r="G4223" s="191" t="s">
        <v>6983</v>
      </c>
      <c r="H4223" s="253" t="s">
        <v>7031</v>
      </c>
      <c r="I4223" s="197" t="s">
        <v>7052</v>
      </c>
      <c r="J4223" s="148" t="s">
        <v>63</v>
      </c>
      <c r="K4223" s="148" t="s">
        <v>91</v>
      </c>
      <c r="L4223" s="148" t="s">
        <v>65</v>
      </c>
      <c r="M4223" s="148" t="s">
        <v>66</v>
      </c>
      <c r="N4223" s="159">
        <v>46193.0</v>
      </c>
      <c r="O4223" s="148" t="s">
        <v>67</v>
      </c>
      <c r="P4223" s="148" t="s">
        <v>68</v>
      </c>
      <c r="Q4223" s="103"/>
      <c r="R4223" s="103"/>
      <c r="S4223" s="103"/>
      <c r="T4223" s="103"/>
      <c r="U4223" s="148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1">
        <v>4218.0</v>
      </c>
      <c r="B4224" s="90" t="s">
        <v>7056</v>
      </c>
      <c r="C4224" s="82" t="str">
        <f>VLOOKUP($B$7:$B$5000,SUM!$L$6:$L$500,1,FALSE)</f>
        <v>#N/A</v>
      </c>
      <c r="D4224" s="246" t="s">
        <v>6981</v>
      </c>
      <c r="E4224" s="247" t="s">
        <v>58</v>
      </c>
      <c r="F4224" s="248" t="s">
        <v>6982</v>
      </c>
      <c r="G4224" s="249" t="s">
        <v>6983</v>
      </c>
      <c r="H4224" s="250" t="s">
        <v>7033</v>
      </c>
      <c r="I4224" s="251" t="s">
        <v>7052</v>
      </c>
      <c r="J4224" s="252" t="s">
        <v>63</v>
      </c>
      <c r="K4224" s="148" t="s">
        <v>91</v>
      </c>
      <c r="L4224" s="148" t="s">
        <v>65</v>
      </c>
      <c r="M4224" s="148" t="s">
        <v>66</v>
      </c>
      <c r="N4224" s="159">
        <v>46193.0</v>
      </c>
      <c r="O4224" s="148" t="s">
        <v>67</v>
      </c>
      <c r="P4224" s="148" t="s">
        <v>68</v>
      </c>
      <c r="Q4224" s="103"/>
      <c r="R4224" s="103"/>
      <c r="S4224" s="103"/>
      <c r="T4224" s="103"/>
      <c r="U4224" s="148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1">
        <v>4219.0</v>
      </c>
      <c r="B4225" s="90" t="s">
        <v>7057</v>
      </c>
      <c r="C4225" s="82" t="str">
        <f>VLOOKUP($B$7:$B$5000,SUM!$L$6:$L$500,1,FALSE)</f>
        <v>#N/A</v>
      </c>
      <c r="D4225" s="190" t="s">
        <v>7058</v>
      </c>
      <c r="E4225" s="198" t="s">
        <v>58</v>
      </c>
      <c r="F4225" s="199" t="s">
        <v>7059</v>
      </c>
      <c r="G4225" s="191" t="s">
        <v>7060</v>
      </c>
      <c r="H4225" s="253" t="s">
        <v>7061</v>
      </c>
      <c r="I4225" s="197" t="s">
        <v>7062</v>
      </c>
      <c r="J4225" s="148" t="s">
        <v>74</v>
      </c>
      <c r="K4225" s="148" t="s">
        <v>7063</v>
      </c>
      <c r="L4225" s="148" t="s">
        <v>65</v>
      </c>
      <c r="M4225" s="148" t="s">
        <v>66</v>
      </c>
      <c r="N4225" s="159">
        <v>46193.0</v>
      </c>
      <c r="O4225" s="148" t="s">
        <v>67</v>
      </c>
      <c r="P4225" s="148" t="s">
        <v>68</v>
      </c>
      <c r="Q4225" s="103"/>
      <c r="R4225" s="103"/>
      <c r="S4225" s="103"/>
      <c r="T4225" s="103"/>
      <c r="U4225" s="148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1">
        <v>4220.0</v>
      </c>
      <c r="B4226" s="90" t="s">
        <v>7064</v>
      </c>
      <c r="C4226" s="82" t="str">
        <f>VLOOKUP($B$7:$B$5000,SUM!$L$6:$L$500,1,FALSE)</f>
        <v>#N/A</v>
      </c>
      <c r="D4226" s="190" t="s">
        <v>7058</v>
      </c>
      <c r="E4226" s="198" t="s">
        <v>58</v>
      </c>
      <c r="F4226" s="199" t="s">
        <v>7059</v>
      </c>
      <c r="G4226" s="191" t="s">
        <v>7060</v>
      </c>
      <c r="H4226" s="253" t="s">
        <v>7065</v>
      </c>
      <c r="I4226" s="197" t="s">
        <v>7066</v>
      </c>
      <c r="J4226" s="148" t="s">
        <v>74</v>
      </c>
      <c r="K4226" s="148" t="s">
        <v>7063</v>
      </c>
      <c r="L4226" s="148" t="s">
        <v>65</v>
      </c>
      <c r="M4226" s="148" t="s">
        <v>66</v>
      </c>
      <c r="N4226" s="159">
        <v>46193.0</v>
      </c>
      <c r="O4226" s="148" t="s">
        <v>67</v>
      </c>
      <c r="P4226" s="148" t="s">
        <v>68</v>
      </c>
      <c r="Q4226" s="103"/>
      <c r="R4226" s="103"/>
      <c r="S4226" s="103"/>
      <c r="T4226" s="103"/>
      <c r="U4226" s="148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1">
        <v>4221.0</v>
      </c>
      <c r="B4227" s="90" t="s">
        <v>7067</v>
      </c>
      <c r="C4227" s="82" t="str">
        <f>VLOOKUP($B$7:$B$5000,SUM!$L$6:$L$500,1,FALSE)</f>
        <v>#N/A</v>
      </c>
      <c r="D4227" s="190" t="s">
        <v>7058</v>
      </c>
      <c r="E4227" s="198" t="s">
        <v>58</v>
      </c>
      <c r="F4227" s="199" t="s">
        <v>7059</v>
      </c>
      <c r="G4227" s="191" t="s">
        <v>7060</v>
      </c>
      <c r="H4227" s="253" t="s">
        <v>7068</v>
      </c>
      <c r="I4227" s="197" t="s">
        <v>7066</v>
      </c>
      <c r="J4227" s="148" t="s">
        <v>74</v>
      </c>
      <c r="K4227" s="148" t="s">
        <v>7063</v>
      </c>
      <c r="L4227" s="148" t="s">
        <v>65</v>
      </c>
      <c r="M4227" s="148" t="s">
        <v>66</v>
      </c>
      <c r="N4227" s="159">
        <v>46193.0</v>
      </c>
      <c r="O4227" s="148" t="s">
        <v>67</v>
      </c>
      <c r="P4227" s="148" t="s">
        <v>68</v>
      </c>
      <c r="Q4227" s="103"/>
      <c r="R4227" s="103"/>
      <c r="S4227" s="103"/>
      <c r="T4227" s="103"/>
      <c r="U4227" s="148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1">
        <v>4222.0</v>
      </c>
      <c r="B4228" s="90" t="s">
        <v>7069</v>
      </c>
      <c r="C4228" s="82" t="str">
        <f>VLOOKUP($B$7:$B$5000,SUM!$L$6:$L$500,1,FALSE)</f>
        <v>#N/A</v>
      </c>
      <c r="D4228" s="190" t="s">
        <v>7070</v>
      </c>
      <c r="E4228" s="198" t="s">
        <v>58</v>
      </c>
      <c r="F4228" s="199" t="s">
        <v>7071</v>
      </c>
      <c r="G4228" s="191" t="s">
        <v>6206</v>
      </c>
      <c r="H4228" s="229" t="s">
        <v>7072</v>
      </c>
      <c r="I4228" s="197" t="s">
        <v>7073</v>
      </c>
      <c r="J4228" s="148" t="s">
        <v>63</v>
      </c>
      <c r="K4228" s="148" t="s">
        <v>64</v>
      </c>
      <c r="L4228" s="148" t="s">
        <v>65</v>
      </c>
      <c r="M4228" s="148" t="s">
        <v>66</v>
      </c>
      <c r="N4228" s="159">
        <v>46193.0</v>
      </c>
      <c r="O4228" s="148" t="s">
        <v>67</v>
      </c>
      <c r="P4228" s="148" t="s">
        <v>68</v>
      </c>
      <c r="Q4228" s="103"/>
      <c r="R4228" s="103"/>
      <c r="S4228" s="103"/>
      <c r="T4228" s="103"/>
      <c r="U4228" s="148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1">
        <v>4223.0</v>
      </c>
      <c r="B4229" s="90" t="s">
        <v>7074</v>
      </c>
      <c r="C4229" s="82" t="str">
        <f>VLOOKUP($B$7:$B$5000,SUM!$L$6:$L$500,1,FALSE)</f>
        <v>#N/A</v>
      </c>
      <c r="D4229" s="190" t="s">
        <v>7070</v>
      </c>
      <c r="E4229" s="198" t="s">
        <v>58</v>
      </c>
      <c r="F4229" s="199" t="s">
        <v>7071</v>
      </c>
      <c r="G4229" s="191" t="s">
        <v>6206</v>
      </c>
      <c r="H4229" s="229" t="s">
        <v>7075</v>
      </c>
      <c r="I4229" s="197" t="s">
        <v>7073</v>
      </c>
      <c r="J4229" s="148" t="s">
        <v>63</v>
      </c>
      <c r="K4229" s="148" t="s">
        <v>64</v>
      </c>
      <c r="L4229" s="148" t="s">
        <v>65</v>
      </c>
      <c r="M4229" s="148" t="s">
        <v>66</v>
      </c>
      <c r="N4229" s="159">
        <v>46193.0</v>
      </c>
      <c r="O4229" s="148" t="s">
        <v>67</v>
      </c>
      <c r="P4229" s="148" t="s">
        <v>68</v>
      </c>
      <c r="Q4229" s="103"/>
      <c r="R4229" s="103"/>
      <c r="S4229" s="103"/>
      <c r="T4229" s="103"/>
      <c r="U4229" s="148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1">
        <v>4224.0</v>
      </c>
      <c r="B4230" s="90" t="s">
        <v>7076</v>
      </c>
      <c r="C4230" s="82" t="str">
        <f>VLOOKUP($B$7:$B$5000,SUM!$L$6:$L$500,1,FALSE)</f>
        <v>#N/A</v>
      </c>
      <c r="D4230" s="190" t="s">
        <v>7070</v>
      </c>
      <c r="E4230" s="198" t="s">
        <v>58</v>
      </c>
      <c r="F4230" s="199" t="s">
        <v>7071</v>
      </c>
      <c r="G4230" s="191" t="s">
        <v>6206</v>
      </c>
      <c r="H4230" s="229" t="s">
        <v>7077</v>
      </c>
      <c r="I4230" s="197" t="s">
        <v>7073</v>
      </c>
      <c r="J4230" s="148" t="s">
        <v>63</v>
      </c>
      <c r="K4230" s="148" t="s">
        <v>64</v>
      </c>
      <c r="L4230" s="148" t="s">
        <v>65</v>
      </c>
      <c r="M4230" s="148" t="s">
        <v>66</v>
      </c>
      <c r="N4230" s="159">
        <v>46193.0</v>
      </c>
      <c r="O4230" s="148" t="s">
        <v>67</v>
      </c>
      <c r="P4230" s="148" t="s">
        <v>68</v>
      </c>
      <c r="Q4230" s="103"/>
      <c r="R4230" s="103"/>
      <c r="S4230" s="103"/>
      <c r="T4230" s="103"/>
      <c r="U4230" s="148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1">
        <v>4225.0</v>
      </c>
      <c r="B4231" s="90" t="s">
        <v>7078</v>
      </c>
      <c r="C4231" s="82" t="str">
        <f>VLOOKUP($B$7:$B$5000,SUM!$L$6:$L$500,1,FALSE)</f>
        <v>#N/A</v>
      </c>
      <c r="D4231" s="190" t="s">
        <v>7079</v>
      </c>
      <c r="E4231" s="198" t="s">
        <v>58</v>
      </c>
      <c r="F4231" s="199" t="s">
        <v>105</v>
      </c>
      <c r="G4231" s="191" t="s">
        <v>1362</v>
      </c>
      <c r="H4231" s="199" t="s">
        <v>7080</v>
      </c>
      <c r="I4231" s="197" t="s">
        <v>7081</v>
      </c>
      <c r="J4231" s="148" t="s">
        <v>63</v>
      </c>
      <c r="K4231" s="148" t="s">
        <v>64</v>
      </c>
      <c r="L4231" s="148" t="s">
        <v>65</v>
      </c>
      <c r="M4231" s="148" t="s">
        <v>66</v>
      </c>
      <c r="N4231" s="212">
        <v>46194.0</v>
      </c>
      <c r="O4231" s="148" t="s">
        <v>67</v>
      </c>
      <c r="P4231" s="148" t="s">
        <v>68</v>
      </c>
      <c r="Q4231" s="103"/>
      <c r="R4231" s="103"/>
      <c r="S4231" s="103"/>
      <c r="T4231" s="103"/>
      <c r="U4231" s="148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1">
        <v>4226.0</v>
      </c>
      <c r="B4232" s="90" t="s">
        <v>7082</v>
      </c>
      <c r="C4232" s="82" t="str">
        <f>VLOOKUP($B$7:$B$5000,SUM!$L$6:$L$500,1,FALSE)</f>
        <v>#N/A</v>
      </c>
      <c r="D4232" s="190" t="s">
        <v>7079</v>
      </c>
      <c r="E4232" s="198" t="s">
        <v>58</v>
      </c>
      <c r="F4232" s="199" t="s">
        <v>105</v>
      </c>
      <c r="G4232" s="191" t="s">
        <v>1871</v>
      </c>
      <c r="H4232" s="199" t="s">
        <v>7083</v>
      </c>
      <c r="I4232" s="197" t="s">
        <v>7084</v>
      </c>
      <c r="J4232" s="148" t="s">
        <v>63</v>
      </c>
      <c r="K4232" s="148" t="s">
        <v>64</v>
      </c>
      <c r="L4232" s="148" t="s">
        <v>65</v>
      </c>
      <c r="M4232" s="148" t="s">
        <v>66</v>
      </c>
      <c r="N4232" s="212">
        <v>46194.0</v>
      </c>
      <c r="O4232" s="148" t="s">
        <v>67</v>
      </c>
      <c r="P4232" s="148" t="s">
        <v>68</v>
      </c>
      <c r="Q4232" s="103"/>
      <c r="R4232" s="103"/>
      <c r="S4232" s="103"/>
      <c r="T4232" s="103"/>
      <c r="U4232" s="148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1">
        <v>4227.0</v>
      </c>
      <c r="B4233" s="90" t="s">
        <v>7085</v>
      </c>
      <c r="C4233" s="82" t="str">
        <f>VLOOKUP($B$7:$B$5000,SUM!$L$6:$L$500,1,FALSE)</f>
        <v>#N/A</v>
      </c>
      <c r="D4233" s="190" t="s">
        <v>7079</v>
      </c>
      <c r="E4233" s="198" t="s">
        <v>58</v>
      </c>
      <c r="F4233" s="199" t="s">
        <v>105</v>
      </c>
      <c r="G4233" s="191" t="s">
        <v>1871</v>
      </c>
      <c r="H4233" s="199" t="s">
        <v>7086</v>
      </c>
      <c r="I4233" s="197" t="s">
        <v>7084</v>
      </c>
      <c r="J4233" s="148" t="s">
        <v>63</v>
      </c>
      <c r="K4233" s="148" t="s">
        <v>64</v>
      </c>
      <c r="L4233" s="148" t="s">
        <v>65</v>
      </c>
      <c r="M4233" s="148" t="s">
        <v>66</v>
      </c>
      <c r="N4233" s="212">
        <v>46194.0</v>
      </c>
      <c r="O4233" s="148" t="s">
        <v>67</v>
      </c>
      <c r="P4233" s="148" t="s">
        <v>68</v>
      </c>
      <c r="Q4233" s="103"/>
      <c r="R4233" s="103"/>
      <c r="S4233" s="103"/>
      <c r="T4233" s="103"/>
      <c r="U4233" s="148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1">
        <v>4228.0</v>
      </c>
      <c r="B4234" s="90" t="s">
        <v>7087</v>
      </c>
      <c r="C4234" s="82" t="str">
        <f>VLOOKUP($B$7:$B$5000,SUM!$L$6:$L$500,1,FALSE)</f>
        <v>#N/A</v>
      </c>
      <c r="D4234" s="190" t="s">
        <v>7079</v>
      </c>
      <c r="E4234" s="198" t="s">
        <v>58</v>
      </c>
      <c r="F4234" s="199" t="s">
        <v>105</v>
      </c>
      <c r="G4234" s="191" t="s">
        <v>1871</v>
      </c>
      <c r="H4234" s="199" t="s">
        <v>7088</v>
      </c>
      <c r="I4234" s="197" t="s">
        <v>7089</v>
      </c>
      <c r="J4234" s="148" t="s">
        <v>63</v>
      </c>
      <c r="K4234" s="148" t="s">
        <v>64</v>
      </c>
      <c r="L4234" s="148" t="s">
        <v>65</v>
      </c>
      <c r="M4234" s="148" t="s">
        <v>66</v>
      </c>
      <c r="N4234" s="212">
        <v>46194.0</v>
      </c>
      <c r="O4234" s="148" t="s">
        <v>67</v>
      </c>
      <c r="P4234" s="148" t="s">
        <v>68</v>
      </c>
      <c r="Q4234" s="103"/>
      <c r="R4234" s="103"/>
      <c r="S4234" s="103"/>
      <c r="T4234" s="103"/>
      <c r="U4234" s="148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1">
        <v>4229.0</v>
      </c>
      <c r="B4235" s="90" t="s">
        <v>7090</v>
      </c>
      <c r="C4235" s="82" t="str">
        <f>VLOOKUP($B$7:$B$5000,SUM!$L$6:$L$500,1,FALSE)</f>
        <v>#N/A</v>
      </c>
      <c r="D4235" s="190" t="s">
        <v>7079</v>
      </c>
      <c r="E4235" s="198" t="s">
        <v>58</v>
      </c>
      <c r="F4235" s="199" t="s">
        <v>105</v>
      </c>
      <c r="G4235" s="191" t="s">
        <v>1871</v>
      </c>
      <c r="H4235" s="199" t="s">
        <v>7091</v>
      </c>
      <c r="I4235" s="197" t="s">
        <v>7084</v>
      </c>
      <c r="J4235" s="148" t="s">
        <v>63</v>
      </c>
      <c r="K4235" s="148" t="s">
        <v>64</v>
      </c>
      <c r="L4235" s="148" t="s">
        <v>65</v>
      </c>
      <c r="M4235" s="148" t="s">
        <v>66</v>
      </c>
      <c r="N4235" s="212">
        <v>46194.0</v>
      </c>
      <c r="O4235" s="148" t="s">
        <v>67</v>
      </c>
      <c r="P4235" s="148" t="s">
        <v>68</v>
      </c>
      <c r="Q4235" s="103"/>
      <c r="R4235" s="103"/>
      <c r="S4235" s="103"/>
      <c r="T4235" s="103"/>
      <c r="U4235" s="148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1">
        <v>4230.0</v>
      </c>
      <c r="B4236" s="90" t="s">
        <v>7092</v>
      </c>
      <c r="C4236" s="82" t="str">
        <f>VLOOKUP($B$7:$B$5000,SUM!$L$6:$L$500,1,FALSE)</f>
        <v>#N/A</v>
      </c>
      <c r="D4236" s="190" t="s">
        <v>7079</v>
      </c>
      <c r="E4236" s="198" t="s">
        <v>58</v>
      </c>
      <c r="F4236" s="199" t="s">
        <v>105</v>
      </c>
      <c r="G4236" s="191" t="s">
        <v>1871</v>
      </c>
      <c r="H4236" s="199" t="s">
        <v>7093</v>
      </c>
      <c r="I4236" s="197" t="s">
        <v>7084</v>
      </c>
      <c r="J4236" s="148" t="s">
        <v>63</v>
      </c>
      <c r="K4236" s="148" t="s">
        <v>64</v>
      </c>
      <c r="L4236" s="148" t="s">
        <v>65</v>
      </c>
      <c r="M4236" s="148" t="s">
        <v>66</v>
      </c>
      <c r="N4236" s="212">
        <v>46194.0</v>
      </c>
      <c r="O4236" s="148" t="s">
        <v>67</v>
      </c>
      <c r="P4236" s="148" t="s">
        <v>68</v>
      </c>
      <c r="Q4236" s="103"/>
      <c r="R4236" s="103"/>
      <c r="S4236" s="103"/>
      <c r="T4236" s="103"/>
      <c r="U4236" s="148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1">
        <v>4231.0</v>
      </c>
      <c r="B4237" s="90" t="s">
        <v>7094</v>
      </c>
      <c r="C4237" s="82" t="str">
        <f>VLOOKUP($B$7:$B$5000,SUM!$L$6:$L$500,1,FALSE)</f>
        <v>#N/A</v>
      </c>
      <c r="D4237" s="190" t="s">
        <v>7079</v>
      </c>
      <c r="E4237" s="198" t="s">
        <v>58</v>
      </c>
      <c r="F4237" s="199" t="s">
        <v>105</v>
      </c>
      <c r="G4237" s="191" t="s">
        <v>1871</v>
      </c>
      <c r="H4237" s="199" t="s">
        <v>7095</v>
      </c>
      <c r="I4237" s="197" t="s">
        <v>7084</v>
      </c>
      <c r="J4237" s="148" t="s">
        <v>63</v>
      </c>
      <c r="K4237" s="148" t="s">
        <v>64</v>
      </c>
      <c r="L4237" s="148" t="s">
        <v>65</v>
      </c>
      <c r="M4237" s="148" t="s">
        <v>66</v>
      </c>
      <c r="N4237" s="212">
        <v>46194.0</v>
      </c>
      <c r="O4237" s="148" t="s">
        <v>67</v>
      </c>
      <c r="P4237" s="148" t="s">
        <v>68</v>
      </c>
      <c r="Q4237" s="103"/>
      <c r="R4237" s="103"/>
      <c r="S4237" s="103"/>
      <c r="T4237" s="103"/>
      <c r="U4237" s="148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1">
        <v>4232.0</v>
      </c>
      <c r="B4238" s="90" t="s">
        <v>7096</v>
      </c>
      <c r="C4238" s="82" t="str">
        <f>VLOOKUP($B$7:$B$5000,SUM!$L$6:$L$500,1,FALSE)</f>
        <v>#N/A</v>
      </c>
      <c r="D4238" s="190" t="s">
        <v>7079</v>
      </c>
      <c r="E4238" s="198" t="s">
        <v>58</v>
      </c>
      <c r="F4238" s="199" t="s">
        <v>105</v>
      </c>
      <c r="G4238" s="191" t="s">
        <v>1871</v>
      </c>
      <c r="H4238" s="199" t="s">
        <v>7097</v>
      </c>
      <c r="I4238" s="197" t="s">
        <v>7089</v>
      </c>
      <c r="J4238" s="148" t="s">
        <v>63</v>
      </c>
      <c r="K4238" s="148" t="s">
        <v>64</v>
      </c>
      <c r="L4238" s="148" t="s">
        <v>65</v>
      </c>
      <c r="M4238" s="148" t="s">
        <v>66</v>
      </c>
      <c r="N4238" s="212">
        <v>46194.0</v>
      </c>
      <c r="O4238" s="148" t="s">
        <v>67</v>
      </c>
      <c r="P4238" s="148" t="s">
        <v>68</v>
      </c>
      <c r="Q4238" s="103"/>
      <c r="R4238" s="103"/>
      <c r="S4238" s="103"/>
      <c r="T4238" s="103"/>
      <c r="U4238" s="148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1">
        <v>4233.0</v>
      </c>
      <c r="B4239" s="90" t="s">
        <v>7098</v>
      </c>
      <c r="C4239" s="82" t="str">
        <f>VLOOKUP($B$7:$B$5000,SUM!$L$6:$L$500,1,FALSE)</f>
        <v>#N/A</v>
      </c>
      <c r="D4239" s="190" t="s">
        <v>7079</v>
      </c>
      <c r="E4239" s="198" t="s">
        <v>58</v>
      </c>
      <c r="F4239" s="199" t="s">
        <v>105</v>
      </c>
      <c r="G4239" s="191" t="s">
        <v>1871</v>
      </c>
      <c r="H4239" s="199" t="s">
        <v>7099</v>
      </c>
      <c r="I4239" s="197" t="s">
        <v>7100</v>
      </c>
      <c r="J4239" s="148" t="s">
        <v>63</v>
      </c>
      <c r="K4239" s="148" t="s">
        <v>64</v>
      </c>
      <c r="L4239" s="148" t="s">
        <v>65</v>
      </c>
      <c r="M4239" s="148" t="s">
        <v>66</v>
      </c>
      <c r="N4239" s="212">
        <v>46194.0</v>
      </c>
      <c r="O4239" s="148" t="s">
        <v>67</v>
      </c>
      <c r="P4239" s="148" t="s">
        <v>68</v>
      </c>
      <c r="Q4239" s="103"/>
      <c r="R4239" s="103"/>
      <c r="S4239" s="103"/>
      <c r="T4239" s="103"/>
      <c r="U4239" s="148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1">
        <v>4234.0</v>
      </c>
      <c r="B4240" s="90" t="s">
        <v>7101</v>
      </c>
      <c r="C4240" s="82" t="str">
        <f>VLOOKUP($B$7:$B$5000,SUM!$L$6:$L$500,1,FALSE)</f>
        <v>#N/A</v>
      </c>
      <c r="D4240" s="190" t="s">
        <v>7079</v>
      </c>
      <c r="E4240" s="198" t="s">
        <v>58</v>
      </c>
      <c r="F4240" s="199" t="s">
        <v>105</v>
      </c>
      <c r="G4240" s="191" t="s">
        <v>1871</v>
      </c>
      <c r="H4240" s="199" t="s">
        <v>7102</v>
      </c>
      <c r="I4240" s="197" t="s">
        <v>7100</v>
      </c>
      <c r="J4240" s="148" t="s">
        <v>63</v>
      </c>
      <c r="K4240" s="148" t="s">
        <v>64</v>
      </c>
      <c r="L4240" s="148" t="s">
        <v>65</v>
      </c>
      <c r="M4240" s="148" t="s">
        <v>66</v>
      </c>
      <c r="N4240" s="212">
        <v>46194.0</v>
      </c>
      <c r="O4240" s="148" t="s">
        <v>67</v>
      </c>
      <c r="P4240" s="148" t="s">
        <v>68</v>
      </c>
      <c r="Q4240" s="103"/>
      <c r="R4240" s="103"/>
      <c r="S4240" s="103"/>
      <c r="T4240" s="103"/>
      <c r="U4240" s="148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1">
        <v>4235.0</v>
      </c>
      <c r="B4241" s="90" t="s">
        <v>7103</v>
      </c>
      <c r="C4241" s="82" t="str">
        <f>VLOOKUP($B$7:$B$5000,SUM!$L$6:$L$500,1,FALSE)</f>
        <v>#N/A</v>
      </c>
      <c r="D4241" s="190" t="s">
        <v>7079</v>
      </c>
      <c r="E4241" s="198" t="s">
        <v>58</v>
      </c>
      <c r="F4241" s="199" t="s">
        <v>105</v>
      </c>
      <c r="G4241" s="191" t="s">
        <v>1871</v>
      </c>
      <c r="H4241" s="199" t="s">
        <v>7104</v>
      </c>
      <c r="I4241" s="197" t="s">
        <v>7100</v>
      </c>
      <c r="J4241" s="148" t="s">
        <v>63</v>
      </c>
      <c r="K4241" s="148" t="s">
        <v>64</v>
      </c>
      <c r="L4241" s="148" t="s">
        <v>65</v>
      </c>
      <c r="M4241" s="148" t="s">
        <v>66</v>
      </c>
      <c r="N4241" s="212">
        <v>46194.0</v>
      </c>
      <c r="O4241" s="148" t="s">
        <v>67</v>
      </c>
      <c r="P4241" s="148" t="s">
        <v>68</v>
      </c>
      <c r="Q4241" s="103"/>
      <c r="R4241" s="103"/>
      <c r="S4241" s="103"/>
      <c r="T4241" s="103"/>
      <c r="U4241" s="148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1">
        <v>4236.0</v>
      </c>
      <c r="B4242" s="90" t="s">
        <v>7105</v>
      </c>
      <c r="C4242" s="82" t="str">
        <f>VLOOKUP($B$7:$B$5000,SUM!$L$6:$L$500,1,FALSE)</f>
        <v>#N/A</v>
      </c>
      <c r="D4242" s="190" t="s">
        <v>7079</v>
      </c>
      <c r="E4242" s="198" t="s">
        <v>58</v>
      </c>
      <c r="F4242" s="199" t="s">
        <v>105</v>
      </c>
      <c r="G4242" s="191" t="s">
        <v>1871</v>
      </c>
      <c r="H4242" s="199" t="s">
        <v>7106</v>
      </c>
      <c r="I4242" s="197" t="s">
        <v>7100</v>
      </c>
      <c r="J4242" s="148" t="s">
        <v>63</v>
      </c>
      <c r="K4242" s="148" t="s">
        <v>64</v>
      </c>
      <c r="L4242" s="148" t="s">
        <v>65</v>
      </c>
      <c r="M4242" s="148" t="s">
        <v>66</v>
      </c>
      <c r="N4242" s="212">
        <v>46194.0</v>
      </c>
      <c r="O4242" s="148" t="s">
        <v>67</v>
      </c>
      <c r="P4242" s="148" t="s">
        <v>68</v>
      </c>
      <c r="Q4242" s="103"/>
      <c r="R4242" s="103"/>
      <c r="S4242" s="103"/>
      <c r="T4242" s="103"/>
      <c r="U4242" s="148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1">
        <v>4237.0</v>
      </c>
      <c r="B4243" s="90" t="s">
        <v>7107</v>
      </c>
      <c r="C4243" s="82" t="str">
        <f>VLOOKUP($B$7:$B$5000,SUM!$L$6:$L$500,1,FALSE)</f>
        <v>#N/A</v>
      </c>
      <c r="D4243" s="190" t="s">
        <v>7079</v>
      </c>
      <c r="E4243" s="198" t="s">
        <v>58</v>
      </c>
      <c r="F4243" s="199" t="s">
        <v>105</v>
      </c>
      <c r="G4243" s="191" t="s">
        <v>1871</v>
      </c>
      <c r="H4243" s="199" t="s">
        <v>7108</v>
      </c>
      <c r="I4243" s="197" t="s">
        <v>7100</v>
      </c>
      <c r="J4243" s="148" t="s">
        <v>63</v>
      </c>
      <c r="K4243" s="148" t="s">
        <v>64</v>
      </c>
      <c r="L4243" s="148" t="s">
        <v>65</v>
      </c>
      <c r="M4243" s="148" t="s">
        <v>66</v>
      </c>
      <c r="N4243" s="212">
        <v>46194.0</v>
      </c>
      <c r="O4243" s="148" t="s">
        <v>67</v>
      </c>
      <c r="P4243" s="148" t="s">
        <v>68</v>
      </c>
      <c r="Q4243" s="103"/>
      <c r="R4243" s="103"/>
      <c r="S4243" s="103"/>
      <c r="T4243" s="103"/>
      <c r="U4243" s="148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1">
        <v>4238.0</v>
      </c>
      <c r="B4244" s="90" t="s">
        <v>7109</v>
      </c>
      <c r="C4244" s="82" t="str">
        <f>VLOOKUP($B$7:$B$5000,SUM!$L$6:$L$500,1,FALSE)</f>
        <v>#N/A</v>
      </c>
      <c r="D4244" s="190" t="s">
        <v>7079</v>
      </c>
      <c r="E4244" s="198" t="s">
        <v>58</v>
      </c>
      <c r="F4244" s="199" t="s">
        <v>105</v>
      </c>
      <c r="G4244" s="191" t="s">
        <v>1871</v>
      </c>
      <c r="H4244" s="199" t="s">
        <v>7110</v>
      </c>
      <c r="I4244" s="197" t="s">
        <v>7100</v>
      </c>
      <c r="J4244" s="148" t="s">
        <v>63</v>
      </c>
      <c r="K4244" s="148" t="s">
        <v>64</v>
      </c>
      <c r="L4244" s="148" t="s">
        <v>65</v>
      </c>
      <c r="M4244" s="148" t="s">
        <v>66</v>
      </c>
      <c r="N4244" s="212">
        <v>46194.0</v>
      </c>
      <c r="O4244" s="148" t="s">
        <v>67</v>
      </c>
      <c r="P4244" s="148" t="s">
        <v>68</v>
      </c>
      <c r="Q4244" s="103"/>
      <c r="R4244" s="103"/>
      <c r="S4244" s="103"/>
      <c r="T4244" s="103"/>
      <c r="U4244" s="148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1">
        <v>4239.0</v>
      </c>
      <c r="B4245" s="90" t="s">
        <v>7111</v>
      </c>
      <c r="C4245" s="82" t="str">
        <f>VLOOKUP($B$7:$B$5000,SUM!$L$6:$L$500,1,FALSE)</f>
        <v>#N/A</v>
      </c>
      <c r="D4245" s="190" t="s">
        <v>7079</v>
      </c>
      <c r="E4245" s="198" t="s">
        <v>58</v>
      </c>
      <c r="F4245" s="199" t="s">
        <v>105</v>
      </c>
      <c r="G4245" s="191" t="s">
        <v>1362</v>
      </c>
      <c r="H4245" s="199" t="s">
        <v>7112</v>
      </c>
      <c r="I4245" s="197" t="s">
        <v>7113</v>
      </c>
      <c r="J4245" s="148" t="s">
        <v>63</v>
      </c>
      <c r="K4245" s="148" t="s">
        <v>64</v>
      </c>
      <c r="L4245" s="148" t="s">
        <v>65</v>
      </c>
      <c r="M4245" s="148" t="s">
        <v>66</v>
      </c>
      <c r="N4245" s="212">
        <v>46194.0</v>
      </c>
      <c r="O4245" s="148" t="s">
        <v>67</v>
      </c>
      <c r="P4245" s="148" t="s">
        <v>68</v>
      </c>
      <c r="Q4245" s="103"/>
      <c r="R4245" s="103"/>
      <c r="S4245" s="103"/>
      <c r="T4245" s="103"/>
      <c r="U4245" s="148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1">
        <v>4240.0</v>
      </c>
      <c r="B4246" s="90" t="s">
        <v>7114</v>
      </c>
      <c r="C4246" s="82" t="str">
        <f>VLOOKUP($B$7:$B$5000,SUM!$L$6:$L$500,1,FALSE)</f>
        <v>#N/A</v>
      </c>
      <c r="D4246" s="190" t="s">
        <v>7079</v>
      </c>
      <c r="E4246" s="198" t="s">
        <v>58</v>
      </c>
      <c r="F4246" s="199" t="s">
        <v>105</v>
      </c>
      <c r="G4246" s="191" t="s">
        <v>1362</v>
      </c>
      <c r="H4246" s="199" t="s">
        <v>7115</v>
      </c>
      <c r="I4246" s="197" t="s">
        <v>7113</v>
      </c>
      <c r="J4246" s="148" t="s">
        <v>63</v>
      </c>
      <c r="K4246" s="148" t="s">
        <v>64</v>
      </c>
      <c r="L4246" s="148" t="s">
        <v>65</v>
      </c>
      <c r="M4246" s="148" t="s">
        <v>66</v>
      </c>
      <c r="N4246" s="212">
        <v>46194.0</v>
      </c>
      <c r="O4246" s="148" t="s">
        <v>67</v>
      </c>
      <c r="P4246" s="148" t="s">
        <v>68</v>
      </c>
      <c r="Q4246" s="103"/>
      <c r="R4246" s="103"/>
      <c r="S4246" s="103"/>
      <c r="T4246" s="103"/>
      <c r="U4246" s="148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1">
        <v>4241.0</v>
      </c>
      <c r="B4247" s="90" t="s">
        <v>7116</v>
      </c>
      <c r="C4247" s="82" t="str">
        <f>VLOOKUP($B$7:$B$5000,SUM!$L$6:$L$500,1,FALSE)</f>
        <v>#N/A</v>
      </c>
      <c r="D4247" s="190" t="s">
        <v>7079</v>
      </c>
      <c r="E4247" s="198" t="s">
        <v>58</v>
      </c>
      <c r="F4247" s="199" t="s">
        <v>105</v>
      </c>
      <c r="G4247" s="191" t="s">
        <v>1362</v>
      </c>
      <c r="H4247" s="199" t="s">
        <v>7117</v>
      </c>
      <c r="I4247" s="197" t="s">
        <v>7113</v>
      </c>
      <c r="J4247" s="148" t="s">
        <v>63</v>
      </c>
      <c r="K4247" s="148" t="s">
        <v>64</v>
      </c>
      <c r="L4247" s="148" t="s">
        <v>65</v>
      </c>
      <c r="M4247" s="148" t="s">
        <v>66</v>
      </c>
      <c r="N4247" s="212">
        <v>46194.0</v>
      </c>
      <c r="O4247" s="148" t="s">
        <v>67</v>
      </c>
      <c r="P4247" s="148" t="s">
        <v>68</v>
      </c>
      <c r="Q4247" s="103"/>
      <c r="R4247" s="103"/>
      <c r="S4247" s="103"/>
      <c r="T4247" s="103"/>
      <c r="U4247" s="148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1">
        <v>4242.0</v>
      </c>
      <c r="B4248" s="90" t="s">
        <v>7118</v>
      </c>
      <c r="C4248" s="82" t="str">
        <f>VLOOKUP($B$7:$B$5000,SUM!$L$6:$L$500,1,FALSE)</f>
        <v>#N/A</v>
      </c>
      <c r="D4248" s="190" t="s">
        <v>7079</v>
      </c>
      <c r="E4248" s="198" t="s">
        <v>58</v>
      </c>
      <c r="F4248" s="199" t="s">
        <v>105</v>
      </c>
      <c r="G4248" s="191" t="s">
        <v>1362</v>
      </c>
      <c r="H4248" s="199" t="s">
        <v>7119</v>
      </c>
      <c r="I4248" s="197" t="s">
        <v>7113</v>
      </c>
      <c r="J4248" s="148" t="s">
        <v>63</v>
      </c>
      <c r="K4248" s="148" t="s">
        <v>64</v>
      </c>
      <c r="L4248" s="148" t="s">
        <v>65</v>
      </c>
      <c r="M4248" s="148" t="s">
        <v>66</v>
      </c>
      <c r="N4248" s="212">
        <v>46194.0</v>
      </c>
      <c r="O4248" s="148" t="s">
        <v>67</v>
      </c>
      <c r="P4248" s="148" t="s">
        <v>68</v>
      </c>
      <c r="Q4248" s="103"/>
      <c r="R4248" s="103"/>
      <c r="S4248" s="103"/>
      <c r="T4248" s="103"/>
      <c r="U4248" s="148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1">
        <v>4243.0</v>
      </c>
      <c r="B4249" s="90" t="s">
        <v>7120</v>
      </c>
      <c r="C4249" s="82" t="str">
        <f>VLOOKUP($B$7:$B$5000,SUM!$L$6:$L$500,1,FALSE)</f>
        <v>#N/A</v>
      </c>
      <c r="D4249" s="190" t="s">
        <v>7079</v>
      </c>
      <c r="E4249" s="198" t="s">
        <v>58</v>
      </c>
      <c r="F4249" s="199" t="s">
        <v>105</v>
      </c>
      <c r="G4249" s="191" t="s">
        <v>1362</v>
      </c>
      <c r="H4249" s="199" t="s">
        <v>7080</v>
      </c>
      <c r="I4249" s="197" t="s">
        <v>7121</v>
      </c>
      <c r="J4249" s="148" t="s">
        <v>63</v>
      </c>
      <c r="K4249" s="148" t="s">
        <v>64</v>
      </c>
      <c r="L4249" s="148" t="s">
        <v>65</v>
      </c>
      <c r="M4249" s="148" t="s">
        <v>66</v>
      </c>
      <c r="N4249" s="212">
        <v>46194.0</v>
      </c>
      <c r="O4249" s="148" t="s">
        <v>67</v>
      </c>
      <c r="P4249" s="148" t="s">
        <v>68</v>
      </c>
      <c r="Q4249" s="103"/>
      <c r="R4249" s="103"/>
      <c r="S4249" s="103"/>
      <c r="T4249" s="103"/>
      <c r="U4249" s="148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1">
        <v>4244.0</v>
      </c>
      <c r="B4250" s="90" t="s">
        <v>7122</v>
      </c>
      <c r="C4250" s="82" t="str">
        <f>VLOOKUP($B$7:$B$5000,SUM!$L$6:$L$500,1,FALSE)</f>
        <v>#N/A</v>
      </c>
      <c r="D4250" s="190" t="s">
        <v>7079</v>
      </c>
      <c r="E4250" s="198" t="s">
        <v>58</v>
      </c>
      <c r="F4250" s="199" t="s">
        <v>105</v>
      </c>
      <c r="G4250" s="191" t="s">
        <v>1871</v>
      </c>
      <c r="H4250" s="199" t="s">
        <v>7083</v>
      </c>
      <c r="I4250" s="197" t="s">
        <v>5619</v>
      </c>
      <c r="J4250" s="148" t="s">
        <v>63</v>
      </c>
      <c r="K4250" s="148" t="s">
        <v>64</v>
      </c>
      <c r="L4250" s="148" t="s">
        <v>65</v>
      </c>
      <c r="M4250" s="148" t="s">
        <v>66</v>
      </c>
      <c r="N4250" s="212">
        <v>46194.0</v>
      </c>
      <c r="O4250" s="148" t="s">
        <v>67</v>
      </c>
      <c r="P4250" s="148" t="s">
        <v>68</v>
      </c>
      <c r="Q4250" s="103"/>
      <c r="R4250" s="103"/>
      <c r="S4250" s="103"/>
      <c r="T4250" s="103"/>
      <c r="U4250" s="148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1">
        <v>4245.0</v>
      </c>
      <c r="B4251" s="90" t="s">
        <v>7123</v>
      </c>
      <c r="C4251" s="82" t="str">
        <f>VLOOKUP($B$7:$B$5000,SUM!$L$6:$L$500,1,FALSE)</f>
        <v>#N/A</v>
      </c>
      <c r="D4251" s="190" t="s">
        <v>7079</v>
      </c>
      <c r="E4251" s="198" t="s">
        <v>58</v>
      </c>
      <c r="F4251" s="199" t="s">
        <v>105</v>
      </c>
      <c r="G4251" s="191" t="s">
        <v>1871</v>
      </c>
      <c r="H4251" s="199" t="s">
        <v>7086</v>
      </c>
      <c r="I4251" s="197" t="s">
        <v>5619</v>
      </c>
      <c r="J4251" s="148" t="s">
        <v>63</v>
      </c>
      <c r="K4251" s="148" t="s">
        <v>64</v>
      </c>
      <c r="L4251" s="148" t="s">
        <v>65</v>
      </c>
      <c r="M4251" s="148" t="s">
        <v>66</v>
      </c>
      <c r="N4251" s="212">
        <v>46194.0</v>
      </c>
      <c r="O4251" s="148" t="s">
        <v>67</v>
      </c>
      <c r="P4251" s="148" t="s">
        <v>68</v>
      </c>
      <c r="Q4251" s="103"/>
      <c r="R4251" s="103"/>
      <c r="S4251" s="103"/>
      <c r="T4251" s="103"/>
      <c r="U4251" s="148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1">
        <v>4246.0</v>
      </c>
      <c r="B4252" s="90" t="s">
        <v>7124</v>
      </c>
      <c r="C4252" s="82" t="str">
        <f>VLOOKUP($B$7:$B$5000,SUM!$L$6:$L$500,1,FALSE)</f>
        <v>#N/A</v>
      </c>
      <c r="D4252" s="190" t="s">
        <v>7079</v>
      </c>
      <c r="E4252" s="198" t="s">
        <v>58</v>
      </c>
      <c r="F4252" s="199" t="s">
        <v>105</v>
      </c>
      <c r="G4252" s="191" t="s">
        <v>1871</v>
      </c>
      <c r="H4252" s="199" t="s">
        <v>7088</v>
      </c>
      <c r="I4252" s="197" t="s">
        <v>4381</v>
      </c>
      <c r="J4252" s="148" t="s">
        <v>63</v>
      </c>
      <c r="K4252" s="148" t="s">
        <v>64</v>
      </c>
      <c r="L4252" s="148" t="s">
        <v>65</v>
      </c>
      <c r="M4252" s="148" t="s">
        <v>66</v>
      </c>
      <c r="N4252" s="212">
        <v>46194.0</v>
      </c>
      <c r="O4252" s="148" t="s">
        <v>67</v>
      </c>
      <c r="P4252" s="148" t="s">
        <v>68</v>
      </c>
      <c r="Q4252" s="103"/>
      <c r="R4252" s="103"/>
      <c r="S4252" s="103"/>
      <c r="T4252" s="103"/>
      <c r="U4252" s="148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1">
        <v>4247.0</v>
      </c>
      <c r="B4253" s="90" t="s">
        <v>7125</v>
      </c>
      <c r="C4253" s="82" t="str">
        <f>VLOOKUP($B$7:$B$5000,SUM!$L$6:$L$500,1,FALSE)</f>
        <v>#N/A</v>
      </c>
      <c r="D4253" s="190" t="s">
        <v>7079</v>
      </c>
      <c r="E4253" s="198" t="s">
        <v>58</v>
      </c>
      <c r="F4253" s="199" t="s">
        <v>105</v>
      </c>
      <c r="G4253" s="191" t="s">
        <v>1871</v>
      </c>
      <c r="H4253" s="199" t="s">
        <v>7091</v>
      </c>
      <c r="I4253" s="197" t="s">
        <v>5619</v>
      </c>
      <c r="J4253" s="148" t="s">
        <v>63</v>
      </c>
      <c r="K4253" s="148" t="s">
        <v>64</v>
      </c>
      <c r="L4253" s="148" t="s">
        <v>65</v>
      </c>
      <c r="M4253" s="148" t="s">
        <v>66</v>
      </c>
      <c r="N4253" s="212">
        <v>46194.0</v>
      </c>
      <c r="O4253" s="148" t="s">
        <v>67</v>
      </c>
      <c r="P4253" s="148" t="s">
        <v>68</v>
      </c>
      <c r="Q4253" s="103"/>
      <c r="R4253" s="103"/>
      <c r="S4253" s="103"/>
      <c r="T4253" s="103"/>
      <c r="U4253" s="148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1">
        <v>4248.0</v>
      </c>
      <c r="B4254" s="90" t="s">
        <v>7126</v>
      </c>
      <c r="C4254" s="82" t="str">
        <f>VLOOKUP($B$7:$B$5000,SUM!$L$6:$L$500,1,FALSE)</f>
        <v>#N/A</v>
      </c>
      <c r="D4254" s="190" t="s">
        <v>7079</v>
      </c>
      <c r="E4254" s="198" t="s">
        <v>58</v>
      </c>
      <c r="F4254" s="199" t="s">
        <v>105</v>
      </c>
      <c r="G4254" s="191" t="s">
        <v>1871</v>
      </c>
      <c r="H4254" s="199" t="s">
        <v>7093</v>
      </c>
      <c r="I4254" s="197" t="s">
        <v>5619</v>
      </c>
      <c r="J4254" s="148" t="s">
        <v>63</v>
      </c>
      <c r="K4254" s="148" t="s">
        <v>64</v>
      </c>
      <c r="L4254" s="148" t="s">
        <v>65</v>
      </c>
      <c r="M4254" s="148" t="s">
        <v>66</v>
      </c>
      <c r="N4254" s="212">
        <v>46194.0</v>
      </c>
      <c r="O4254" s="148" t="s">
        <v>67</v>
      </c>
      <c r="P4254" s="148" t="s">
        <v>68</v>
      </c>
      <c r="Q4254" s="103"/>
      <c r="R4254" s="103"/>
      <c r="S4254" s="103"/>
      <c r="T4254" s="103"/>
      <c r="U4254" s="148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1">
        <v>4249.0</v>
      </c>
      <c r="B4255" s="90" t="s">
        <v>7127</v>
      </c>
      <c r="C4255" s="82" t="str">
        <f>VLOOKUP($B$7:$B$5000,SUM!$L$6:$L$500,1,FALSE)</f>
        <v>#N/A</v>
      </c>
      <c r="D4255" s="190" t="s">
        <v>7079</v>
      </c>
      <c r="E4255" s="198" t="s">
        <v>58</v>
      </c>
      <c r="F4255" s="199" t="s">
        <v>105</v>
      </c>
      <c r="G4255" s="191" t="s">
        <v>1871</v>
      </c>
      <c r="H4255" s="199" t="s">
        <v>7095</v>
      </c>
      <c r="I4255" s="197" t="s">
        <v>5619</v>
      </c>
      <c r="J4255" s="148" t="s">
        <v>63</v>
      </c>
      <c r="K4255" s="148" t="s">
        <v>64</v>
      </c>
      <c r="L4255" s="148" t="s">
        <v>65</v>
      </c>
      <c r="M4255" s="148" t="s">
        <v>66</v>
      </c>
      <c r="N4255" s="212">
        <v>46194.0</v>
      </c>
      <c r="O4255" s="148" t="s">
        <v>67</v>
      </c>
      <c r="P4255" s="148" t="s">
        <v>68</v>
      </c>
      <c r="Q4255" s="103"/>
      <c r="R4255" s="103"/>
      <c r="S4255" s="103"/>
      <c r="T4255" s="103"/>
      <c r="U4255" s="148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1">
        <v>4250.0</v>
      </c>
      <c r="B4256" s="90" t="s">
        <v>7128</v>
      </c>
      <c r="C4256" s="82" t="str">
        <f>VLOOKUP($B$7:$B$5000,SUM!$L$6:$L$500,1,FALSE)</f>
        <v>#N/A</v>
      </c>
      <c r="D4256" s="190" t="s">
        <v>7079</v>
      </c>
      <c r="E4256" s="198" t="s">
        <v>58</v>
      </c>
      <c r="F4256" s="199" t="s">
        <v>105</v>
      </c>
      <c r="G4256" s="191" t="s">
        <v>1871</v>
      </c>
      <c r="H4256" s="199" t="s">
        <v>7097</v>
      </c>
      <c r="I4256" s="197" t="s">
        <v>4381</v>
      </c>
      <c r="J4256" s="148" t="s">
        <v>63</v>
      </c>
      <c r="K4256" s="148" t="s">
        <v>64</v>
      </c>
      <c r="L4256" s="148" t="s">
        <v>65</v>
      </c>
      <c r="M4256" s="148" t="s">
        <v>66</v>
      </c>
      <c r="N4256" s="212">
        <v>46194.0</v>
      </c>
      <c r="O4256" s="148" t="s">
        <v>67</v>
      </c>
      <c r="P4256" s="148" t="s">
        <v>68</v>
      </c>
      <c r="Q4256" s="103"/>
      <c r="R4256" s="103"/>
      <c r="S4256" s="103"/>
      <c r="T4256" s="103"/>
      <c r="U4256" s="148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1">
        <v>4251.0</v>
      </c>
      <c r="B4257" s="90" t="s">
        <v>7129</v>
      </c>
      <c r="C4257" s="82" t="str">
        <f>VLOOKUP($B$7:$B$5000,SUM!$L$6:$L$500,1,FALSE)</f>
        <v>#N/A</v>
      </c>
      <c r="D4257" s="190" t="s">
        <v>7079</v>
      </c>
      <c r="E4257" s="198" t="s">
        <v>58</v>
      </c>
      <c r="F4257" s="199" t="s">
        <v>105</v>
      </c>
      <c r="G4257" s="191" t="s">
        <v>1871</v>
      </c>
      <c r="H4257" s="199" t="s">
        <v>7099</v>
      </c>
      <c r="I4257" s="197" t="s">
        <v>6742</v>
      </c>
      <c r="J4257" s="148" t="s">
        <v>63</v>
      </c>
      <c r="K4257" s="148" t="s">
        <v>64</v>
      </c>
      <c r="L4257" s="148" t="s">
        <v>65</v>
      </c>
      <c r="M4257" s="148" t="s">
        <v>66</v>
      </c>
      <c r="N4257" s="212">
        <v>46194.0</v>
      </c>
      <c r="O4257" s="148" t="s">
        <v>67</v>
      </c>
      <c r="P4257" s="148" t="s">
        <v>68</v>
      </c>
      <c r="Q4257" s="103"/>
      <c r="R4257" s="103"/>
      <c r="S4257" s="103"/>
      <c r="T4257" s="103"/>
      <c r="U4257" s="148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1">
        <v>4252.0</v>
      </c>
      <c r="B4258" s="90" t="s">
        <v>7130</v>
      </c>
      <c r="C4258" s="82" t="str">
        <f>VLOOKUP($B$7:$B$5000,SUM!$L$6:$L$500,1,FALSE)</f>
        <v>#N/A</v>
      </c>
      <c r="D4258" s="190" t="s">
        <v>7079</v>
      </c>
      <c r="E4258" s="198" t="s">
        <v>58</v>
      </c>
      <c r="F4258" s="199" t="s">
        <v>105</v>
      </c>
      <c r="G4258" s="191" t="s">
        <v>1871</v>
      </c>
      <c r="H4258" s="199" t="s">
        <v>7102</v>
      </c>
      <c r="I4258" s="197" t="s">
        <v>6742</v>
      </c>
      <c r="J4258" s="148" t="s">
        <v>63</v>
      </c>
      <c r="K4258" s="148" t="s">
        <v>64</v>
      </c>
      <c r="L4258" s="148" t="s">
        <v>65</v>
      </c>
      <c r="M4258" s="148" t="s">
        <v>66</v>
      </c>
      <c r="N4258" s="212">
        <v>46194.0</v>
      </c>
      <c r="O4258" s="148" t="s">
        <v>67</v>
      </c>
      <c r="P4258" s="148" t="s">
        <v>68</v>
      </c>
      <c r="Q4258" s="103"/>
      <c r="R4258" s="103"/>
      <c r="S4258" s="103"/>
      <c r="T4258" s="103"/>
      <c r="U4258" s="148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1">
        <v>4253.0</v>
      </c>
      <c r="B4259" s="90" t="s">
        <v>7131</v>
      </c>
      <c r="C4259" s="82" t="str">
        <f>VLOOKUP($B$7:$B$5000,SUM!$L$6:$L$500,1,FALSE)</f>
        <v>#N/A</v>
      </c>
      <c r="D4259" s="190" t="s">
        <v>7079</v>
      </c>
      <c r="E4259" s="198" t="s">
        <v>58</v>
      </c>
      <c r="F4259" s="199" t="s">
        <v>105</v>
      </c>
      <c r="G4259" s="191" t="s">
        <v>1871</v>
      </c>
      <c r="H4259" s="199" t="s">
        <v>7104</v>
      </c>
      <c r="I4259" s="197" t="s">
        <v>6742</v>
      </c>
      <c r="J4259" s="148" t="s">
        <v>63</v>
      </c>
      <c r="K4259" s="148" t="s">
        <v>64</v>
      </c>
      <c r="L4259" s="148" t="s">
        <v>65</v>
      </c>
      <c r="M4259" s="148" t="s">
        <v>66</v>
      </c>
      <c r="N4259" s="212">
        <v>46194.0</v>
      </c>
      <c r="O4259" s="148" t="s">
        <v>67</v>
      </c>
      <c r="P4259" s="148" t="s">
        <v>68</v>
      </c>
      <c r="Q4259" s="103"/>
      <c r="R4259" s="103"/>
      <c r="S4259" s="103"/>
      <c r="T4259" s="103"/>
      <c r="U4259" s="148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1">
        <v>4254.0</v>
      </c>
      <c r="B4260" s="90" t="s">
        <v>7132</v>
      </c>
      <c r="C4260" s="82" t="str">
        <f>VLOOKUP($B$7:$B$5000,SUM!$L$6:$L$500,1,FALSE)</f>
        <v>#N/A</v>
      </c>
      <c r="D4260" s="190" t="s">
        <v>7079</v>
      </c>
      <c r="E4260" s="198" t="s">
        <v>58</v>
      </c>
      <c r="F4260" s="199" t="s">
        <v>105</v>
      </c>
      <c r="G4260" s="191" t="s">
        <v>1871</v>
      </c>
      <c r="H4260" s="199" t="s">
        <v>7106</v>
      </c>
      <c r="I4260" s="197" t="s">
        <v>6742</v>
      </c>
      <c r="J4260" s="148" t="s">
        <v>63</v>
      </c>
      <c r="K4260" s="148" t="s">
        <v>64</v>
      </c>
      <c r="L4260" s="148" t="s">
        <v>65</v>
      </c>
      <c r="M4260" s="148" t="s">
        <v>66</v>
      </c>
      <c r="N4260" s="212">
        <v>46194.0</v>
      </c>
      <c r="O4260" s="148" t="s">
        <v>67</v>
      </c>
      <c r="P4260" s="148" t="s">
        <v>68</v>
      </c>
      <c r="Q4260" s="103"/>
      <c r="R4260" s="103"/>
      <c r="S4260" s="103"/>
      <c r="T4260" s="103"/>
      <c r="U4260" s="148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1">
        <v>4255.0</v>
      </c>
      <c r="B4261" s="90" t="s">
        <v>7133</v>
      </c>
      <c r="C4261" s="82" t="str">
        <f>VLOOKUP($B$7:$B$5000,SUM!$L$6:$L$500,1,FALSE)</f>
        <v>#N/A</v>
      </c>
      <c r="D4261" s="190" t="s">
        <v>7079</v>
      </c>
      <c r="E4261" s="198" t="s">
        <v>58</v>
      </c>
      <c r="F4261" s="199" t="s">
        <v>105</v>
      </c>
      <c r="G4261" s="191" t="s">
        <v>1871</v>
      </c>
      <c r="H4261" s="199" t="s">
        <v>7108</v>
      </c>
      <c r="I4261" s="197" t="s">
        <v>6742</v>
      </c>
      <c r="J4261" s="148" t="s">
        <v>63</v>
      </c>
      <c r="K4261" s="148" t="s">
        <v>64</v>
      </c>
      <c r="L4261" s="148" t="s">
        <v>65</v>
      </c>
      <c r="M4261" s="148" t="s">
        <v>66</v>
      </c>
      <c r="N4261" s="212">
        <v>46194.0</v>
      </c>
      <c r="O4261" s="148" t="s">
        <v>67</v>
      </c>
      <c r="P4261" s="148" t="s">
        <v>68</v>
      </c>
      <c r="Q4261" s="103"/>
      <c r="R4261" s="103"/>
      <c r="S4261" s="103"/>
      <c r="T4261" s="103"/>
      <c r="U4261" s="148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1">
        <v>4256.0</v>
      </c>
      <c r="B4262" s="90" t="s">
        <v>7134</v>
      </c>
      <c r="C4262" s="82" t="str">
        <f>VLOOKUP($B$7:$B$5000,SUM!$L$6:$L$500,1,FALSE)</f>
        <v>#N/A</v>
      </c>
      <c r="D4262" s="190" t="s">
        <v>7079</v>
      </c>
      <c r="E4262" s="198" t="s">
        <v>58</v>
      </c>
      <c r="F4262" s="199" t="s">
        <v>105</v>
      </c>
      <c r="G4262" s="191" t="s">
        <v>1871</v>
      </c>
      <c r="H4262" s="199" t="s">
        <v>7110</v>
      </c>
      <c r="I4262" s="197" t="s">
        <v>6742</v>
      </c>
      <c r="J4262" s="148" t="s">
        <v>63</v>
      </c>
      <c r="K4262" s="148" t="s">
        <v>64</v>
      </c>
      <c r="L4262" s="148" t="s">
        <v>65</v>
      </c>
      <c r="M4262" s="148" t="s">
        <v>66</v>
      </c>
      <c r="N4262" s="212">
        <v>46194.0</v>
      </c>
      <c r="O4262" s="148" t="s">
        <v>67</v>
      </c>
      <c r="P4262" s="148" t="s">
        <v>68</v>
      </c>
      <c r="Q4262" s="103"/>
      <c r="R4262" s="103"/>
      <c r="S4262" s="103"/>
      <c r="T4262" s="103"/>
      <c r="U4262" s="148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1">
        <v>4257.0</v>
      </c>
      <c r="B4263" s="90" t="s">
        <v>7135</v>
      </c>
      <c r="C4263" s="82" t="str">
        <f>VLOOKUP($B$7:$B$5000,SUM!$L$6:$L$500,1,FALSE)</f>
        <v>#N/A</v>
      </c>
      <c r="D4263" s="190" t="s">
        <v>7079</v>
      </c>
      <c r="E4263" s="198" t="s">
        <v>58</v>
      </c>
      <c r="F4263" s="199" t="s">
        <v>105</v>
      </c>
      <c r="G4263" s="191" t="s">
        <v>1362</v>
      </c>
      <c r="H4263" s="199" t="s">
        <v>7112</v>
      </c>
      <c r="I4263" s="197" t="s">
        <v>6780</v>
      </c>
      <c r="J4263" s="148" t="s">
        <v>63</v>
      </c>
      <c r="K4263" s="148" t="s">
        <v>64</v>
      </c>
      <c r="L4263" s="148" t="s">
        <v>65</v>
      </c>
      <c r="M4263" s="148" t="s">
        <v>66</v>
      </c>
      <c r="N4263" s="212">
        <v>46194.0</v>
      </c>
      <c r="O4263" s="148" t="s">
        <v>67</v>
      </c>
      <c r="P4263" s="148" t="s">
        <v>68</v>
      </c>
      <c r="Q4263" s="103"/>
      <c r="R4263" s="103"/>
      <c r="S4263" s="103"/>
      <c r="T4263" s="103"/>
      <c r="U4263" s="148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1">
        <v>4258.0</v>
      </c>
      <c r="B4264" s="90" t="s">
        <v>7136</v>
      </c>
      <c r="C4264" s="82" t="str">
        <f>VLOOKUP($B$7:$B$5000,SUM!$L$6:$L$500,1,FALSE)</f>
        <v>#N/A</v>
      </c>
      <c r="D4264" s="190" t="s">
        <v>7079</v>
      </c>
      <c r="E4264" s="198" t="s">
        <v>58</v>
      </c>
      <c r="F4264" s="199" t="s">
        <v>105</v>
      </c>
      <c r="G4264" s="191" t="s">
        <v>1362</v>
      </c>
      <c r="H4264" s="199" t="s">
        <v>7115</v>
      </c>
      <c r="I4264" s="197" t="s">
        <v>6780</v>
      </c>
      <c r="J4264" s="148" t="s">
        <v>63</v>
      </c>
      <c r="K4264" s="148" t="s">
        <v>64</v>
      </c>
      <c r="L4264" s="148" t="s">
        <v>65</v>
      </c>
      <c r="M4264" s="148" t="s">
        <v>66</v>
      </c>
      <c r="N4264" s="212">
        <v>46194.0</v>
      </c>
      <c r="O4264" s="148" t="s">
        <v>67</v>
      </c>
      <c r="P4264" s="148" t="s">
        <v>68</v>
      </c>
      <c r="Q4264" s="103"/>
      <c r="R4264" s="103"/>
      <c r="S4264" s="103"/>
      <c r="T4264" s="103"/>
      <c r="U4264" s="148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1">
        <v>4259.0</v>
      </c>
      <c r="B4265" s="90" t="s">
        <v>7137</v>
      </c>
      <c r="C4265" s="82" t="str">
        <f>VLOOKUP($B$7:$B$5000,SUM!$L$6:$L$500,1,FALSE)</f>
        <v>#N/A</v>
      </c>
      <c r="D4265" s="190" t="s">
        <v>7079</v>
      </c>
      <c r="E4265" s="198" t="s">
        <v>58</v>
      </c>
      <c r="F4265" s="199" t="s">
        <v>105</v>
      </c>
      <c r="G4265" s="191" t="s">
        <v>1362</v>
      </c>
      <c r="H4265" s="199" t="s">
        <v>7117</v>
      </c>
      <c r="I4265" s="197" t="s">
        <v>6780</v>
      </c>
      <c r="J4265" s="148" t="s">
        <v>63</v>
      </c>
      <c r="K4265" s="148" t="s">
        <v>64</v>
      </c>
      <c r="L4265" s="148" t="s">
        <v>65</v>
      </c>
      <c r="M4265" s="148" t="s">
        <v>66</v>
      </c>
      <c r="N4265" s="212">
        <v>46194.0</v>
      </c>
      <c r="O4265" s="148" t="s">
        <v>67</v>
      </c>
      <c r="P4265" s="148" t="s">
        <v>68</v>
      </c>
      <c r="Q4265" s="103"/>
      <c r="R4265" s="103"/>
      <c r="S4265" s="103"/>
      <c r="T4265" s="103"/>
      <c r="U4265" s="148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1">
        <v>4260.0</v>
      </c>
      <c r="B4266" s="90" t="s">
        <v>7138</v>
      </c>
      <c r="C4266" s="82" t="str">
        <f>VLOOKUP($B$7:$B$5000,SUM!$L$6:$L$500,1,FALSE)</f>
        <v>#N/A</v>
      </c>
      <c r="D4266" s="190" t="s">
        <v>7079</v>
      </c>
      <c r="E4266" s="198" t="s">
        <v>58</v>
      </c>
      <c r="F4266" s="199" t="s">
        <v>105</v>
      </c>
      <c r="G4266" s="191" t="s">
        <v>1362</v>
      </c>
      <c r="H4266" s="199" t="s">
        <v>7119</v>
      </c>
      <c r="I4266" s="197" t="s">
        <v>6780</v>
      </c>
      <c r="J4266" s="148" t="s">
        <v>63</v>
      </c>
      <c r="K4266" s="148" t="s">
        <v>64</v>
      </c>
      <c r="L4266" s="148" t="s">
        <v>65</v>
      </c>
      <c r="M4266" s="148" t="s">
        <v>66</v>
      </c>
      <c r="N4266" s="212">
        <v>46194.0</v>
      </c>
      <c r="O4266" s="148" t="s">
        <v>67</v>
      </c>
      <c r="P4266" s="148" t="s">
        <v>68</v>
      </c>
      <c r="Q4266" s="103"/>
      <c r="R4266" s="103"/>
      <c r="S4266" s="103"/>
      <c r="T4266" s="103"/>
      <c r="U4266" s="148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1">
        <v>4261.0</v>
      </c>
      <c r="B4267" s="90" t="s">
        <v>7139</v>
      </c>
      <c r="C4267" s="82" t="str">
        <f>VLOOKUP($B$7:$B$5000,SUM!$L$6:$L$500,1,FALSE)</f>
        <v>#N/A</v>
      </c>
      <c r="D4267" s="190" t="s">
        <v>7079</v>
      </c>
      <c r="E4267" s="198" t="s">
        <v>58</v>
      </c>
      <c r="F4267" s="199" t="s">
        <v>105</v>
      </c>
      <c r="G4267" s="191" t="s">
        <v>1871</v>
      </c>
      <c r="H4267" s="199" t="s">
        <v>7083</v>
      </c>
      <c r="I4267" s="197" t="s">
        <v>7140</v>
      </c>
      <c r="J4267" s="148" t="s">
        <v>108</v>
      </c>
      <c r="K4267" s="148" t="s">
        <v>64</v>
      </c>
      <c r="L4267" s="148" t="s">
        <v>65</v>
      </c>
      <c r="M4267" s="148" t="s">
        <v>66</v>
      </c>
      <c r="N4267" s="212">
        <v>46194.0</v>
      </c>
      <c r="O4267" s="148" t="s">
        <v>67</v>
      </c>
      <c r="P4267" s="148" t="s">
        <v>68</v>
      </c>
      <c r="Q4267" s="103"/>
      <c r="R4267" s="103"/>
      <c r="S4267" s="103"/>
      <c r="T4267" s="103"/>
      <c r="U4267" s="148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1">
        <v>4262.0</v>
      </c>
      <c r="B4268" s="90" t="s">
        <v>7141</v>
      </c>
      <c r="C4268" s="82" t="str">
        <f>VLOOKUP($B$7:$B$5000,SUM!$L$6:$L$500,1,FALSE)</f>
        <v>#N/A</v>
      </c>
      <c r="D4268" s="190" t="s">
        <v>7079</v>
      </c>
      <c r="E4268" s="198" t="s">
        <v>58</v>
      </c>
      <c r="F4268" s="199" t="s">
        <v>105</v>
      </c>
      <c r="G4268" s="191" t="s">
        <v>1871</v>
      </c>
      <c r="H4268" s="199" t="s">
        <v>7086</v>
      </c>
      <c r="I4268" s="197" t="s">
        <v>7140</v>
      </c>
      <c r="J4268" s="148" t="s">
        <v>108</v>
      </c>
      <c r="K4268" s="148" t="s">
        <v>64</v>
      </c>
      <c r="L4268" s="148" t="s">
        <v>65</v>
      </c>
      <c r="M4268" s="148" t="s">
        <v>66</v>
      </c>
      <c r="N4268" s="212">
        <v>46194.0</v>
      </c>
      <c r="O4268" s="148" t="s">
        <v>67</v>
      </c>
      <c r="P4268" s="148" t="s">
        <v>68</v>
      </c>
      <c r="Q4268" s="103"/>
      <c r="R4268" s="103"/>
      <c r="S4268" s="103"/>
      <c r="T4268" s="103"/>
      <c r="U4268" s="148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1">
        <v>4263.0</v>
      </c>
      <c r="B4269" s="90" t="s">
        <v>7142</v>
      </c>
      <c r="C4269" s="82" t="str">
        <f>VLOOKUP($B$7:$B$5000,SUM!$L$6:$L$500,1,FALSE)</f>
        <v>#N/A</v>
      </c>
      <c r="D4269" s="190" t="s">
        <v>7079</v>
      </c>
      <c r="E4269" s="198" t="s">
        <v>58</v>
      </c>
      <c r="F4269" s="199" t="s">
        <v>105</v>
      </c>
      <c r="G4269" s="191" t="s">
        <v>1871</v>
      </c>
      <c r="H4269" s="199" t="s">
        <v>7088</v>
      </c>
      <c r="I4269" s="197" t="s">
        <v>7143</v>
      </c>
      <c r="J4269" s="148" t="s">
        <v>108</v>
      </c>
      <c r="K4269" s="148" t="s">
        <v>64</v>
      </c>
      <c r="L4269" s="148" t="s">
        <v>65</v>
      </c>
      <c r="M4269" s="148" t="s">
        <v>66</v>
      </c>
      <c r="N4269" s="212">
        <v>46194.0</v>
      </c>
      <c r="O4269" s="148" t="s">
        <v>67</v>
      </c>
      <c r="P4269" s="148" t="s">
        <v>68</v>
      </c>
      <c r="Q4269" s="103"/>
      <c r="R4269" s="103"/>
      <c r="S4269" s="103"/>
      <c r="T4269" s="103"/>
      <c r="U4269" s="148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1">
        <v>4264.0</v>
      </c>
      <c r="B4270" s="90" t="s">
        <v>7144</v>
      </c>
      <c r="C4270" s="82" t="str">
        <f>VLOOKUP($B$7:$B$5000,SUM!$L$6:$L$500,1,FALSE)</f>
        <v>#N/A</v>
      </c>
      <c r="D4270" s="190" t="s">
        <v>7079</v>
      </c>
      <c r="E4270" s="198" t="s">
        <v>58</v>
      </c>
      <c r="F4270" s="199" t="s">
        <v>105</v>
      </c>
      <c r="G4270" s="191" t="s">
        <v>1871</v>
      </c>
      <c r="H4270" s="199" t="s">
        <v>7091</v>
      </c>
      <c r="I4270" s="197" t="s">
        <v>7140</v>
      </c>
      <c r="J4270" s="148" t="s">
        <v>108</v>
      </c>
      <c r="K4270" s="148" t="s">
        <v>64</v>
      </c>
      <c r="L4270" s="148" t="s">
        <v>65</v>
      </c>
      <c r="M4270" s="148" t="s">
        <v>66</v>
      </c>
      <c r="N4270" s="212">
        <v>46194.0</v>
      </c>
      <c r="O4270" s="148" t="s">
        <v>67</v>
      </c>
      <c r="P4270" s="148" t="s">
        <v>68</v>
      </c>
      <c r="Q4270" s="103"/>
      <c r="R4270" s="103"/>
      <c r="S4270" s="103"/>
      <c r="T4270" s="103"/>
      <c r="U4270" s="148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1">
        <v>4265.0</v>
      </c>
      <c r="B4271" s="90" t="s">
        <v>7145</v>
      </c>
      <c r="C4271" s="82" t="str">
        <f>VLOOKUP($B$7:$B$5000,SUM!$L$6:$L$500,1,FALSE)</f>
        <v>#N/A</v>
      </c>
      <c r="D4271" s="190" t="s">
        <v>7079</v>
      </c>
      <c r="E4271" s="198" t="s">
        <v>58</v>
      </c>
      <c r="F4271" s="199" t="s">
        <v>105</v>
      </c>
      <c r="G4271" s="191" t="s">
        <v>1871</v>
      </c>
      <c r="H4271" s="199" t="s">
        <v>7093</v>
      </c>
      <c r="I4271" s="197" t="s">
        <v>7140</v>
      </c>
      <c r="J4271" s="148" t="s">
        <v>108</v>
      </c>
      <c r="K4271" s="148" t="s">
        <v>64</v>
      </c>
      <c r="L4271" s="148" t="s">
        <v>65</v>
      </c>
      <c r="M4271" s="148" t="s">
        <v>66</v>
      </c>
      <c r="N4271" s="212">
        <v>46194.0</v>
      </c>
      <c r="O4271" s="148" t="s">
        <v>67</v>
      </c>
      <c r="P4271" s="148" t="s">
        <v>68</v>
      </c>
      <c r="Q4271" s="103"/>
      <c r="R4271" s="103"/>
      <c r="S4271" s="103"/>
      <c r="T4271" s="103"/>
      <c r="U4271" s="148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1">
        <v>4266.0</v>
      </c>
      <c r="B4272" s="90" t="s">
        <v>7146</v>
      </c>
      <c r="C4272" s="82" t="str">
        <f>VLOOKUP($B$7:$B$5000,SUM!$L$6:$L$500,1,FALSE)</f>
        <v>#N/A</v>
      </c>
      <c r="D4272" s="190" t="s">
        <v>7079</v>
      </c>
      <c r="E4272" s="198" t="s">
        <v>58</v>
      </c>
      <c r="F4272" s="199" t="s">
        <v>105</v>
      </c>
      <c r="G4272" s="191" t="s">
        <v>1871</v>
      </c>
      <c r="H4272" s="199" t="s">
        <v>7095</v>
      </c>
      <c r="I4272" s="197" t="s">
        <v>7140</v>
      </c>
      <c r="J4272" s="148" t="s">
        <v>108</v>
      </c>
      <c r="K4272" s="148" t="s">
        <v>64</v>
      </c>
      <c r="L4272" s="148" t="s">
        <v>65</v>
      </c>
      <c r="M4272" s="148" t="s">
        <v>66</v>
      </c>
      <c r="N4272" s="212">
        <v>46194.0</v>
      </c>
      <c r="O4272" s="148" t="s">
        <v>67</v>
      </c>
      <c r="P4272" s="148" t="s">
        <v>68</v>
      </c>
      <c r="Q4272" s="103"/>
      <c r="R4272" s="103"/>
      <c r="S4272" s="103"/>
      <c r="T4272" s="103"/>
      <c r="U4272" s="148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1">
        <v>4267.0</v>
      </c>
      <c r="B4273" s="90" t="s">
        <v>7147</v>
      </c>
      <c r="C4273" s="82" t="str">
        <f>VLOOKUP($B$7:$B$5000,SUM!$L$6:$L$500,1,FALSE)</f>
        <v>#N/A</v>
      </c>
      <c r="D4273" s="190" t="s">
        <v>7079</v>
      </c>
      <c r="E4273" s="198" t="s">
        <v>58</v>
      </c>
      <c r="F4273" s="199" t="s">
        <v>105</v>
      </c>
      <c r="G4273" s="191" t="s">
        <v>1871</v>
      </c>
      <c r="H4273" s="199" t="s">
        <v>7097</v>
      </c>
      <c r="I4273" s="197" t="s">
        <v>7143</v>
      </c>
      <c r="J4273" s="148" t="s">
        <v>108</v>
      </c>
      <c r="K4273" s="148" t="s">
        <v>64</v>
      </c>
      <c r="L4273" s="148" t="s">
        <v>65</v>
      </c>
      <c r="M4273" s="148" t="s">
        <v>66</v>
      </c>
      <c r="N4273" s="212">
        <v>46194.0</v>
      </c>
      <c r="O4273" s="148" t="s">
        <v>67</v>
      </c>
      <c r="P4273" s="148" t="s">
        <v>68</v>
      </c>
      <c r="Q4273" s="103"/>
      <c r="R4273" s="103"/>
      <c r="S4273" s="103"/>
      <c r="T4273" s="103"/>
      <c r="U4273" s="148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1">
        <v>4268.0</v>
      </c>
      <c r="B4274" s="90" t="s">
        <v>7148</v>
      </c>
      <c r="C4274" s="82" t="str">
        <f>VLOOKUP($B$7:$B$5000,SUM!$L$6:$L$500,1,FALSE)</f>
        <v>#N/A</v>
      </c>
      <c r="D4274" s="190" t="s">
        <v>7079</v>
      </c>
      <c r="E4274" s="198" t="s">
        <v>58</v>
      </c>
      <c r="F4274" s="199" t="s">
        <v>105</v>
      </c>
      <c r="G4274" s="191" t="s">
        <v>1362</v>
      </c>
      <c r="H4274" s="199" t="s">
        <v>7099</v>
      </c>
      <c r="I4274" s="197" t="s">
        <v>7149</v>
      </c>
      <c r="J4274" s="148" t="s">
        <v>108</v>
      </c>
      <c r="K4274" s="148" t="s">
        <v>64</v>
      </c>
      <c r="L4274" s="148" t="s">
        <v>65</v>
      </c>
      <c r="M4274" s="148" t="s">
        <v>66</v>
      </c>
      <c r="N4274" s="212">
        <v>46194.0</v>
      </c>
      <c r="O4274" s="148" t="s">
        <v>67</v>
      </c>
      <c r="P4274" s="148" t="s">
        <v>68</v>
      </c>
      <c r="Q4274" s="103"/>
      <c r="R4274" s="103"/>
      <c r="S4274" s="103"/>
      <c r="T4274" s="103"/>
      <c r="U4274" s="148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1">
        <v>4269.0</v>
      </c>
      <c r="B4275" s="90" t="s">
        <v>7150</v>
      </c>
      <c r="C4275" s="82" t="str">
        <f>VLOOKUP($B$7:$B$5000,SUM!$L$6:$L$500,1,FALSE)</f>
        <v>#N/A</v>
      </c>
      <c r="D4275" s="190" t="s">
        <v>7079</v>
      </c>
      <c r="E4275" s="198" t="s">
        <v>58</v>
      </c>
      <c r="F4275" s="199" t="s">
        <v>105</v>
      </c>
      <c r="G4275" s="191" t="s">
        <v>1362</v>
      </c>
      <c r="H4275" s="199" t="s">
        <v>7102</v>
      </c>
      <c r="I4275" s="197" t="s">
        <v>7149</v>
      </c>
      <c r="J4275" s="148" t="s">
        <v>108</v>
      </c>
      <c r="K4275" s="148" t="s">
        <v>64</v>
      </c>
      <c r="L4275" s="148" t="s">
        <v>65</v>
      </c>
      <c r="M4275" s="148" t="s">
        <v>66</v>
      </c>
      <c r="N4275" s="212">
        <v>46194.0</v>
      </c>
      <c r="O4275" s="148" t="s">
        <v>67</v>
      </c>
      <c r="P4275" s="148" t="s">
        <v>68</v>
      </c>
      <c r="Q4275" s="103"/>
      <c r="R4275" s="103"/>
      <c r="S4275" s="103"/>
      <c r="T4275" s="103"/>
      <c r="U4275" s="148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1">
        <v>4270.0</v>
      </c>
      <c r="B4276" s="90" t="s">
        <v>7151</v>
      </c>
      <c r="C4276" s="82" t="str">
        <f>VLOOKUP($B$7:$B$5000,SUM!$L$6:$L$500,1,FALSE)</f>
        <v>#N/A</v>
      </c>
      <c r="D4276" s="190" t="s">
        <v>7079</v>
      </c>
      <c r="E4276" s="198" t="s">
        <v>58</v>
      </c>
      <c r="F4276" s="199" t="s">
        <v>105</v>
      </c>
      <c r="G4276" s="191" t="s">
        <v>1362</v>
      </c>
      <c r="H4276" s="199" t="s">
        <v>7104</v>
      </c>
      <c r="I4276" s="197" t="s">
        <v>7149</v>
      </c>
      <c r="J4276" s="148" t="s">
        <v>108</v>
      </c>
      <c r="K4276" s="148" t="s">
        <v>64</v>
      </c>
      <c r="L4276" s="148" t="s">
        <v>65</v>
      </c>
      <c r="M4276" s="148" t="s">
        <v>66</v>
      </c>
      <c r="N4276" s="212">
        <v>46194.0</v>
      </c>
      <c r="O4276" s="148" t="s">
        <v>67</v>
      </c>
      <c r="P4276" s="148" t="s">
        <v>68</v>
      </c>
      <c r="Q4276" s="103"/>
      <c r="R4276" s="103"/>
      <c r="S4276" s="103"/>
      <c r="T4276" s="103"/>
      <c r="U4276" s="148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1">
        <v>4271.0</v>
      </c>
      <c r="B4277" s="90" t="s">
        <v>7152</v>
      </c>
      <c r="C4277" s="82" t="str">
        <f>VLOOKUP($B$7:$B$5000,SUM!$L$6:$L$500,1,FALSE)</f>
        <v>#N/A</v>
      </c>
      <c r="D4277" s="190" t="s">
        <v>7079</v>
      </c>
      <c r="E4277" s="198" t="s">
        <v>58</v>
      </c>
      <c r="F4277" s="199" t="s">
        <v>105</v>
      </c>
      <c r="G4277" s="191" t="s">
        <v>1362</v>
      </c>
      <c r="H4277" s="199" t="s">
        <v>7106</v>
      </c>
      <c r="I4277" s="197" t="s">
        <v>7149</v>
      </c>
      <c r="J4277" s="148" t="s">
        <v>108</v>
      </c>
      <c r="K4277" s="148" t="s">
        <v>64</v>
      </c>
      <c r="L4277" s="148" t="s">
        <v>65</v>
      </c>
      <c r="M4277" s="148" t="s">
        <v>66</v>
      </c>
      <c r="N4277" s="212">
        <v>46194.0</v>
      </c>
      <c r="O4277" s="148" t="s">
        <v>67</v>
      </c>
      <c r="P4277" s="148" t="s">
        <v>68</v>
      </c>
      <c r="Q4277" s="103"/>
      <c r="R4277" s="103"/>
      <c r="S4277" s="103"/>
      <c r="T4277" s="103"/>
      <c r="U4277" s="148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1">
        <v>4272.0</v>
      </c>
      <c r="B4278" s="90" t="s">
        <v>7153</v>
      </c>
      <c r="C4278" s="82" t="str">
        <f>VLOOKUP($B$7:$B$5000,SUM!$L$6:$L$500,1,FALSE)</f>
        <v>#N/A</v>
      </c>
      <c r="D4278" s="190" t="s">
        <v>7079</v>
      </c>
      <c r="E4278" s="198" t="s">
        <v>58</v>
      </c>
      <c r="F4278" s="199" t="s">
        <v>105</v>
      </c>
      <c r="G4278" s="191" t="s">
        <v>1362</v>
      </c>
      <c r="H4278" s="199" t="s">
        <v>7108</v>
      </c>
      <c r="I4278" s="197" t="s">
        <v>7149</v>
      </c>
      <c r="J4278" s="148" t="s">
        <v>108</v>
      </c>
      <c r="K4278" s="148" t="s">
        <v>64</v>
      </c>
      <c r="L4278" s="148" t="s">
        <v>65</v>
      </c>
      <c r="M4278" s="148" t="s">
        <v>66</v>
      </c>
      <c r="N4278" s="212">
        <v>46194.0</v>
      </c>
      <c r="O4278" s="148" t="s">
        <v>67</v>
      </c>
      <c r="P4278" s="148" t="s">
        <v>68</v>
      </c>
      <c r="Q4278" s="103"/>
      <c r="R4278" s="103"/>
      <c r="S4278" s="103"/>
      <c r="T4278" s="103"/>
      <c r="U4278" s="148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1">
        <v>4273.0</v>
      </c>
      <c r="B4279" s="90" t="s">
        <v>7154</v>
      </c>
      <c r="C4279" s="82" t="str">
        <f>VLOOKUP($B$7:$B$5000,SUM!$L$6:$L$500,1,FALSE)</f>
        <v>#N/A</v>
      </c>
      <c r="D4279" s="190" t="s">
        <v>7079</v>
      </c>
      <c r="E4279" s="198" t="s">
        <v>58</v>
      </c>
      <c r="F4279" s="199" t="s">
        <v>105</v>
      </c>
      <c r="G4279" s="191" t="s">
        <v>1362</v>
      </c>
      <c r="H4279" s="199" t="s">
        <v>7110</v>
      </c>
      <c r="I4279" s="197" t="s">
        <v>7149</v>
      </c>
      <c r="J4279" s="148" t="s">
        <v>108</v>
      </c>
      <c r="K4279" s="148" t="s">
        <v>64</v>
      </c>
      <c r="L4279" s="148" t="s">
        <v>65</v>
      </c>
      <c r="M4279" s="148" t="s">
        <v>66</v>
      </c>
      <c r="N4279" s="212">
        <v>46194.0</v>
      </c>
      <c r="O4279" s="148" t="s">
        <v>67</v>
      </c>
      <c r="P4279" s="148" t="s">
        <v>68</v>
      </c>
      <c r="Q4279" s="103"/>
      <c r="R4279" s="103"/>
      <c r="S4279" s="103"/>
      <c r="T4279" s="103"/>
      <c r="U4279" s="148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1">
        <v>4274.0</v>
      </c>
      <c r="B4280" s="90" t="s">
        <v>7155</v>
      </c>
      <c r="C4280" s="82" t="str">
        <f>VLOOKUP($B$7:$B$5000,SUM!$L$6:$L$500,1,FALSE)</f>
        <v>#N/A</v>
      </c>
      <c r="D4280" s="190" t="s">
        <v>7156</v>
      </c>
      <c r="E4280" s="198" t="s">
        <v>58</v>
      </c>
      <c r="F4280" s="199" t="s">
        <v>6954</v>
      </c>
      <c r="G4280" s="191" t="s">
        <v>7157</v>
      </c>
      <c r="H4280" s="224" t="s">
        <v>790</v>
      </c>
      <c r="I4280" s="197" t="s">
        <v>7158</v>
      </c>
      <c r="J4280" s="148" t="s">
        <v>63</v>
      </c>
      <c r="K4280" s="148" t="s">
        <v>4434</v>
      </c>
      <c r="L4280" s="148" t="s">
        <v>65</v>
      </c>
      <c r="M4280" s="148" t="s">
        <v>66</v>
      </c>
      <c r="N4280" s="212">
        <v>46195.0</v>
      </c>
      <c r="O4280" s="148" t="s">
        <v>67</v>
      </c>
      <c r="P4280" s="148" t="s">
        <v>68</v>
      </c>
      <c r="Q4280" s="103"/>
      <c r="R4280" s="103"/>
      <c r="S4280" s="103"/>
      <c r="T4280" s="103"/>
      <c r="U4280" s="148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1">
        <v>4275.0</v>
      </c>
      <c r="B4281" s="90" t="s">
        <v>7159</v>
      </c>
      <c r="C4281" s="82" t="str">
        <f>VLOOKUP($B$7:$B$5000,SUM!$L$6:$L$500,1,FALSE)</f>
        <v>#N/A</v>
      </c>
      <c r="D4281" s="190" t="s">
        <v>7156</v>
      </c>
      <c r="E4281" s="198" t="s">
        <v>58</v>
      </c>
      <c r="F4281" s="199" t="s">
        <v>6954</v>
      </c>
      <c r="G4281" s="191" t="s">
        <v>7157</v>
      </c>
      <c r="H4281" s="224" t="s">
        <v>4837</v>
      </c>
      <c r="I4281" s="197" t="s">
        <v>7158</v>
      </c>
      <c r="J4281" s="148" t="s">
        <v>63</v>
      </c>
      <c r="K4281" s="148" t="s">
        <v>4434</v>
      </c>
      <c r="L4281" s="148" t="s">
        <v>65</v>
      </c>
      <c r="M4281" s="148" t="s">
        <v>66</v>
      </c>
      <c r="N4281" s="212">
        <v>46196.0</v>
      </c>
      <c r="O4281" s="148" t="s">
        <v>67</v>
      </c>
      <c r="P4281" s="148" t="s">
        <v>68</v>
      </c>
      <c r="Q4281" s="103"/>
      <c r="R4281" s="103"/>
      <c r="S4281" s="103"/>
      <c r="T4281" s="103"/>
      <c r="U4281" s="148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1">
        <v>4276.0</v>
      </c>
      <c r="B4282" s="90" t="s">
        <v>7160</v>
      </c>
      <c r="C4282" s="82" t="str">
        <f>VLOOKUP($B$7:$B$5000,SUM!$L$6:$L$500,1,FALSE)</f>
        <v>#N/A</v>
      </c>
      <c r="D4282" s="190" t="s">
        <v>7156</v>
      </c>
      <c r="E4282" s="198" t="s">
        <v>58</v>
      </c>
      <c r="F4282" s="199" t="s">
        <v>6954</v>
      </c>
      <c r="G4282" s="191" t="s">
        <v>7161</v>
      </c>
      <c r="H4282" s="224" t="s">
        <v>7162</v>
      </c>
      <c r="I4282" s="197" t="s">
        <v>7158</v>
      </c>
      <c r="J4282" s="148" t="s">
        <v>63</v>
      </c>
      <c r="K4282" s="148" t="s">
        <v>4434</v>
      </c>
      <c r="L4282" s="148" t="s">
        <v>65</v>
      </c>
      <c r="M4282" s="148" t="s">
        <v>66</v>
      </c>
      <c r="N4282" s="212">
        <v>46197.0</v>
      </c>
      <c r="O4282" s="148" t="s">
        <v>67</v>
      </c>
      <c r="P4282" s="148" t="s">
        <v>68</v>
      </c>
      <c r="Q4282" s="103"/>
      <c r="R4282" s="103"/>
      <c r="S4282" s="103"/>
      <c r="T4282" s="103"/>
      <c r="U4282" s="148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1">
        <v>4277.0</v>
      </c>
      <c r="B4283" s="90" t="s">
        <v>7163</v>
      </c>
      <c r="C4283" s="82" t="str">
        <f>VLOOKUP($B$7:$B$5000,SUM!$L$6:$L$500,1,FALSE)</f>
        <v>#N/A</v>
      </c>
      <c r="D4283" s="190" t="s">
        <v>7156</v>
      </c>
      <c r="E4283" s="198" t="s">
        <v>58</v>
      </c>
      <c r="F4283" s="199" t="s">
        <v>6954</v>
      </c>
      <c r="G4283" s="191" t="s">
        <v>7164</v>
      </c>
      <c r="H4283" s="224" t="s">
        <v>4858</v>
      </c>
      <c r="I4283" s="197" t="s">
        <v>7158</v>
      </c>
      <c r="J4283" s="148" t="s">
        <v>63</v>
      </c>
      <c r="K4283" s="148" t="s">
        <v>4434</v>
      </c>
      <c r="L4283" s="148" t="s">
        <v>65</v>
      </c>
      <c r="M4283" s="148" t="s">
        <v>66</v>
      </c>
      <c r="N4283" s="212">
        <v>46198.0</v>
      </c>
      <c r="O4283" s="148" t="s">
        <v>67</v>
      </c>
      <c r="P4283" s="148" t="s">
        <v>68</v>
      </c>
      <c r="Q4283" s="103"/>
      <c r="R4283" s="103"/>
      <c r="S4283" s="103"/>
      <c r="T4283" s="103"/>
      <c r="U4283" s="148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1">
        <v>4278.0</v>
      </c>
      <c r="B4284" s="90" t="s">
        <v>7165</v>
      </c>
      <c r="C4284" s="82" t="str">
        <f>VLOOKUP($B$7:$B$5000,SUM!$L$6:$L$500,1,FALSE)</f>
        <v>#N/A</v>
      </c>
      <c r="D4284" s="190" t="s">
        <v>7156</v>
      </c>
      <c r="E4284" s="198" t="s">
        <v>58</v>
      </c>
      <c r="F4284" s="199" t="s">
        <v>6954</v>
      </c>
      <c r="G4284" s="191" t="s">
        <v>7164</v>
      </c>
      <c r="H4284" s="224" t="s">
        <v>641</v>
      </c>
      <c r="I4284" s="197" t="s">
        <v>7158</v>
      </c>
      <c r="J4284" s="148" t="s">
        <v>63</v>
      </c>
      <c r="K4284" s="148" t="s">
        <v>4434</v>
      </c>
      <c r="L4284" s="148" t="s">
        <v>65</v>
      </c>
      <c r="M4284" s="148" t="s">
        <v>66</v>
      </c>
      <c r="N4284" s="212">
        <v>46199.0</v>
      </c>
      <c r="O4284" s="148" t="s">
        <v>67</v>
      </c>
      <c r="P4284" s="148" t="s">
        <v>68</v>
      </c>
      <c r="Q4284" s="103"/>
      <c r="R4284" s="103"/>
      <c r="S4284" s="103"/>
      <c r="T4284" s="103"/>
      <c r="U4284" s="148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1">
        <v>4279.0</v>
      </c>
      <c r="B4285" s="90" t="s">
        <v>7166</v>
      </c>
      <c r="C4285" s="82" t="str">
        <f>VLOOKUP($B$7:$B$5000,SUM!$L$6:$L$500,1,FALSE)</f>
        <v>#N/A</v>
      </c>
      <c r="D4285" s="190" t="s">
        <v>7156</v>
      </c>
      <c r="E4285" s="198" t="s">
        <v>58</v>
      </c>
      <c r="F4285" s="199" t="s">
        <v>6954</v>
      </c>
      <c r="G4285" s="191" t="s">
        <v>7164</v>
      </c>
      <c r="H4285" s="224" t="s">
        <v>683</v>
      </c>
      <c r="I4285" s="197" t="s">
        <v>7158</v>
      </c>
      <c r="J4285" s="148" t="s">
        <v>63</v>
      </c>
      <c r="K4285" s="148" t="s">
        <v>4434</v>
      </c>
      <c r="L4285" s="148" t="s">
        <v>65</v>
      </c>
      <c r="M4285" s="148" t="s">
        <v>66</v>
      </c>
      <c r="N4285" s="212">
        <v>46200.0</v>
      </c>
      <c r="O4285" s="148" t="s">
        <v>67</v>
      </c>
      <c r="P4285" s="148" t="s">
        <v>68</v>
      </c>
      <c r="Q4285" s="103"/>
      <c r="R4285" s="103"/>
      <c r="S4285" s="103"/>
      <c r="T4285" s="103"/>
      <c r="U4285" s="148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1">
        <v>4280.0</v>
      </c>
      <c r="B4286" s="90" t="s">
        <v>7167</v>
      </c>
      <c r="C4286" s="82" t="str">
        <f>VLOOKUP($B$7:$B$5000,SUM!$L$6:$L$500,1,FALSE)</f>
        <v>#N/A</v>
      </c>
      <c r="D4286" s="190" t="s">
        <v>7156</v>
      </c>
      <c r="E4286" s="198" t="s">
        <v>58</v>
      </c>
      <c r="F4286" s="199" t="s">
        <v>6954</v>
      </c>
      <c r="G4286" s="191" t="s">
        <v>7164</v>
      </c>
      <c r="H4286" s="224" t="s">
        <v>683</v>
      </c>
      <c r="I4286" s="197" t="s">
        <v>7168</v>
      </c>
      <c r="J4286" s="148" t="s">
        <v>108</v>
      </c>
      <c r="K4286" s="148" t="s">
        <v>4434</v>
      </c>
      <c r="L4286" s="148" t="s">
        <v>65</v>
      </c>
      <c r="M4286" s="148" t="s">
        <v>66</v>
      </c>
      <c r="N4286" s="212">
        <v>46201.0</v>
      </c>
      <c r="O4286" s="148" t="s">
        <v>67</v>
      </c>
      <c r="P4286" s="148" t="s">
        <v>68</v>
      </c>
      <c r="Q4286" s="103"/>
      <c r="R4286" s="103"/>
      <c r="S4286" s="103"/>
      <c r="T4286" s="103"/>
      <c r="U4286" s="148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1">
        <v>4281.0</v>
      </c>
      <c r="B4287" s="90" t="s">
        <v>7169</v>
      </c>
      <c r="C4287" s="82" t="str">
        <f>VLOOKUP($B$7:$B$5000,SUM!$L$6:$L$500,1,FALSE)</f>
        <v>#N/A</v>
      </c>
      <c r="D4287" s="190" t="s">
        <v>7170</v>
      </c>
      <c r="E4287" s="198" t="s">
        <v>58</v>
      </c>
      <c r="F4287" s="199" t="s">
        <v>4099</v>
      </c>
      <c r="G4287" s="191" t="s">
        <v>3272</v>
      </c>
      <c r="H4287" s="199" t="s">
        <v>7171</v>
      </c>
      <c r="I4287" s="197" t="s">
        <v>7172</v>
      </c>
      <c r="J4287" s="148" t="s">
        <v>63</v>
      </c>
      <c r="K4287" s="148" t="s">
        <v>64</v>
      </c>
      <c r="L4287" s="148" t="s">
        <v>65</v>
      </c>
      <c r="M4287" s="148" t="s">
        <v>66</v>
      </c>
      <c r="N4287" s="212">
        <v>46194.0</v>
      </c>
      <c r="O4287" s="148" t="s">
        <v>67</v>
      </c>
      <c r="P4287" s="148" t="s">
        <v>68</v>
      </c>
      <c r="Q4287" s="103"/>
      <c r="R4287" s="103"/>
      <c r="S4287" s="103"/>
      <c r="T4287" s="103"/>
      <c r="U4287" s="148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1">
        <v>4282.0</v>
      </c>
      <c r="B4288" s="90" t="s">
        <v>7173</v>
      </c>
      <c r="C4288" s="82" t="str">
        <f>VLOOKUP($B$7:$B$5000,SUM!$L$6:$L$500,1,FALSE)</f>
        <v>#N/A</v>
      </c>
      <c r="D4288" s="190" t="s">
        <v>7170</v>
      </c>
      <c r="E4288" s="198" t="s">
        <v>58</v>
      </c>
      <c r="F4288" s="199" t="s">
        <v>4099</v>
      </c>
      <c r="G4288" s="191" t="s">
        <v>3272</v>
      </c>
      <c r="H4288" s="199" t="s">
        <v>7174</v>
      </c>
      <c r="I4288" s="197" t="s">
        <v>7172</v>
      </c>
      <c r="J4288" s="148" t="s">
        <v>63</v>
      </c>
      <c r="K4288" s="148" t="s">
        <v>64</v>
      </c>
      <c r="L4288" s="148" t="s">
        <v>65</v>
      </c>
      <c r="M4288" s="148" t="s">
        <v>66</v>
      </c>
      <c r="N4288" s="212">
        <v>46194.0</v>
      </c>
      <c r="O4288" s="148" t="s">
        <v>67</v>
      </c>
      <c r="P4288" s="148" t="s">
        <v>68</v>
      </c>
      <c r="Q4288" s="103"/>
      <c r="R4288" s="103"/>
      <c r="S4288" s="103"/>
      <c r="T4288" s="103"/>
      <c r="U4288" s="148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1">
        <v>4283.0</v>
      </c>
      <c r="B4289" s="90" t="s">
        <v>7175</v>
      </c>
      <c r="C4289" s="82" t="str">
        <f>VLOOKUP($B$7:$B$5000,SUM!$L$6:$L$500,1,FALSE)</f>
        <v>#N/A</v>
      </c>
      <c r="D4289" s="190" t="s">
        <v>7170</v>
      </c>
      <c r="E4289" s="198" t="s">
        <v>58</v>
      </c>
      <c r="F4289" s="199" t="s">
        <v>4099</v>
      </c>
      <c r="G4289" s="191" t="s">
        <v>3272</v>
      </c>
      <c r="H4289" s="199" t="s">
        <v>7176</v>
      </c>
      <c r="I4289" s="197" t="s">
        <v>7172</v>
      </c>
      <c r="J4289" s="148" t="s">
        <v>63</v>
      </c>
      <c r="K4289" s="148" t="s">
        <v>64</v>
      </c>
      <c r="L4289" s="148" t="s">
        <v>65</v>
      </c>
      <c r="M4289" s="148" t="s">
        <v>66</v>
      </c>
      <c r="N4289" s="212">
        <v>46194.0</v>
      </c>
      <c r="O4289" s="148" t="s">
        <v>67</v>
      </c>
      <c r="P4289" s="148" t="s">
        <v>68</v>
      </c>
      <c r="Q4289" s="103"/>
      <c r="R4289" s="103"/>
      <c r="S4289" s="103"/>
      <c r="T4289" s="103"/>
      <c r="U4289" s="148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1">
        <v>4284.0</v>
      </c>
      <c r="B4290" s="90" t="s">
        <v>7177</v>
      </c>
      <c r="C4290" s="82" t="str">
        <f>VLOOKUP($B$7:$B$5000,SUM!$L$6:$L$500,1,FALSE)</f>
        <v>#N/A</v>
      </c>
      <c r="D4290" s="190" t="s">
        <v>7170</v>
      </c>
      <c r="E4290" s="198" t="s">
        <v>58</v>
      </c>
      <c r="F4290" s="199" t="s">
        <v>4099</v>
      </c>
      <c r="G4290" s="191" t="s">
        <v>3272</v>
      </c>
      <c r="H4290" s="199" t="s">
        <v>7178</v>
      </c>
      <c r="I4290" s="197" t="s">
        <v>7172</v>
      </c>
      <c r="J4290" s="148" t="s">
        <v>63</v>
      </c>
      <c r="K4290" s="148" t="s">
        <v>64</v>
      </c>
      <c r="L4290" s="148" t="s">
        <v>65</v>
      </c>
      <c r="M4290" s="148" t="s">
        <v>66</v>
      </c>
      <c r="N4290" s="212">
        <v>46194.0</v>
      </c>
      <c r="O4290" s="148" t="s">
        <v>67</v>
      </c>
      <c r="P4290" s="148" t="s">
        <v>68</v>
      </c>
      <c r="Q4290" s="103"/>
      <c r="R4290" s="103"/>
      <c r="S4290" s="103"/>
      <c r="T4290" s="103"/>
      <c r="U4290" s="148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1">
        <v>4285.0</v>
      </c>
      <c r="B4291" s="90" t="s">
        <v>7179</v>
      </c>
      <c r="C4291" s="82" t="str">
        <f>VLOOKUP($B$7:$B$5000,SUM!$L$6:$L$500,1,FALSE)</f>
        <v>#N/A</v>
      </c>
      <c r="D4291" s="190" t="s">
        <v>7170</v>
      </c>
      <c r="E4291" s="198" t="s">
        <v>58</v>
      </c>
      <c r="F4291" s="199" t="s">
        <v>4099</v>
      </c>
      <c r="G4291" s="191" t="s">
        <v>3272</v>
      </c>
      <c r="H4291" s="199" t="s">
        <v>7180</v>
      </c>
      <c r="I4291" s="197" t="s">
        <v>7172</v>
      </c>
      <c r="J4291" s="148" t="s">
        <v>63</v>
      </c>
      <c r="K4291" s="148" t="s">
        <v>64</v>
      </c>
      <c r="L4291" s="148" t="s">
        <v>65</v>
      </c>
      <c r="M4291" s="148" t="s">
        <v>66</v>
      </c>
      <c r="N4291" s="212">
        <v>46194.0</v>
      </c>
      <c r="O4291" s="148" t="s">
        <v>67</v>
      </c>
      <c r="P4291" s="148" t="s">
        <v>68</v>
      </c>
      <c r="Q4291" s="103"/>
      <c r="R4291" s="103"/>
      <c r="S4291" s="103"/>
      <c r="T4291" s="103"/>
      <c r="U4291" s="148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1">
        <v>4286.0</v>
      </c>
      <c r="B4292" s="90" t="s">
        <v>7181</v>
      </c>
      <c r="C4292" s="82" t="str">
        <f>VLOOKUP($B$7:$B$5000,SUM!$L$6:$L$500,1,FALSE)</f>
        <v>#N/A</v>
      </c>
      <c r="D4292" s="190" t="s">
        <v>7170</v>
      </c>
      <c r="E4292" s="198" t="s">
        <v>58</v>
      </c>
      <c r="F4292" s="199" t="s">
        <v>4099</v>
      </c>
      <c r="G4292" s="191" t="s">
        <v>3272</v>
      </c>
      <c r="H4292" s="199" t="s">
        <v>7182</v>
      </c>
      <c r="I4292" s="197" t="s">
        <v>7172</v>
      </c>
      <c r="J4292" s="148" t="s">
        <v>63</v>
      </c>
      <c r="K4292" s="148" t="s">
        <v>64</v>
      </c>
      <c r="L4292" s="148" t="s">
        <v>65</v>
      </c>
      <c r="M4292" s="148" t="s">
        <v>66</v>
      </c>
      <c r="N4292" s="212">
        <v>46194.0</v>
      </c>
      <c r="O4292" s="148" t="s">
        <v>67</v>
      </c>
      <c r="P4292" s="148" t="s">
        <v>68</v>
      </c>
      <c r="Q4292" s="103"/>
      <c r="R4292" s="103"/>
      <c r="S4292" s="103"/>
      <c r="T4292" s="103"/>
      <c r="U4292" s="148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1">
        <v>4287.0</v>
      </c>
      <c r="B4293" s="90" t="s">
        <v>7183</v>
      </c>
      <c r="C4293" s="82" t="str">
        <f>VLOOKUP($B$7:$B$5000,SUM!$L$6:$L$500,1,FALSE)</f>
        <v>#N/A</v>
      </c>
      <c r="D4293" s="190" t="s">
        <v>7170</v>
      </c>
      <c r="E4293" s="198" t="s">
        <v>58</v>
      </c>
      <c r="F4293" s="199" t="s">
        <v>4099</v>
      </c>
      <c r="G4293" s="191" t="s">
        <v>3272</v>
      </c>
      <c r="H4293" s="199" t="s">
        <v>7184</v>
      </c>
      <c r="I4293" s="197" t="s">
        <v>7172</v>
      </c>
      <c r="J4293" s="148" t="s">
        <v>63</v>
      </c>
      <c r="K4293" s="148" t="s">
        <v>64</v>
      </c>
      <c r="L4293" s="148" t="s">
        <v>65</v>
      </c>
      <c r="M4293" s="148" t="s">
        <v>66</v>
      </c>
      <c r="N4293" s="212">
        <v>46194.0</v>
      </c>
      <c r="O4293" s="148" t="s">
        <v>67</v>
      </c>
      <c r="P4293" s="148" t="s">
        <v>68</v>
      </c>
      <c r="Q4293" s="103"/>
      <c r="R4293" s="103"/>
      <c r="S4293" s="103"/>
      <c r="T4293" s="103"/>
      <c r="U4293" s="148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1">
        <v>4288.0</v>
      </c>
      <c r="B4294" s="90" t="s">
        <v>7185</v>
      </c>
      <c r="C4294" s="82" t="str">
        <f>VLOOKUP($B$7:$B$5000,SUM!$L$6:$L$500,1,FALSE)</f>
        <v>#N/A</v>
      </c>
      <c r="D4294" s="190" t="s">
        <v>7170</v>
      </c>
      <c r="E4294" s="198" t="s">
        <v>58</v>
      </c>
      <c r="F4294" s="199" t="s">
        <v>4099</v>
      </c>
      <c r="G4294" s="191" t="s">
        <v>3272</v>
      </c>
      <c r="H4294" s="199" t="s">
        <v>7186</v>
      </c>
      <c r="I4294" s="197" t="s">
        <v>7172</v>
      </c>
      <c r="J4294" s="148" t="s">
        <v>63</v>
      </c>
      <c r="K4294" s="148" t="s">
        <v>64</v>
      </c>
      <c r="L4294" s="148" t="s">
        <v>65</v>
      </c>
      <c r="M4294" s="148" t="s">
        <v>66</v>
      </c>
      <c r="N4294" s="212">
        <v>46194.0</v>
      </c>
      <c r="O4294" s="148" t="s">
        <v>67</v>
      </c>
      <c r="P4294" s="148" t="s">
        <v>68</v>
      </c>
      <c r="Q4294" s="103"/>
      <c r="R4294" s="103"/>
      <c r="S4294" s="103"/>
      <c r="T4294" s="103"/>
      <c r="U4294" s="148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1">
        <v>4289.0</v>
      </c>
      <c r="B4295" s="90" t="s">
        <v>7187</v>
      </c>
      <c r="C4295" s="82" t="str">
        <f>VLOOKUP($B$7:$B$5000,SUM!$L$6:$L$500,1,FALSE)</f>
        <v>#N/A</v>
      </c>
      <c r="D4295" s="190" t="s">
        <v>7170</v>
      </c>
      <c r="E4295" s="198" t="s">
        <v>58</v>
      </c>
      <c r="F4295" s="199" t="s">
        <v>4099</v>
      </c>
      <c r="G4295" s="191" t="s">
        <v>3272</v>
      </c>
      <c r="H4295" s="199" t="s">
        <v>7188</v>
      </c>
      <c r="I4295" s="197" t="s">
        <v>7172</v>
      </c>
      <c r="J4295" s="148" t="s">
        <v>63</v>
      </c>
      <c r="K4295" s="148" t="s">
        <v>64</v>
      </c>
      <c r="L4295" s="148" t="s">
        <v>65</v>
      </c>
      <c r="M4295" s="148" t="s">
        <v>66</v>
      </c>
      <c r="N4295" s="212">
        <v>46194.0</v>
      </c>
      <c r="O4295" s="148" t="s">
        <v>67</v>
      </c>
      <c r="P4295" s="148" t="s">
        <v>68</v>
      </c>
      <c r="Q4295" s="103"/>
      <c r="R4295" s="103"/>
      <c r="S4295" s="103"/>
      <c r="T4295" s="103"/>
      <c r="U4295" s="148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1">
        <v>4290.0</v>
      </c>
      <c r="B4296" s="90" t="s">
        <v>7189</v>
      </c>
      <c r="C4296" s="82" t="str">
        <f>VLOOKUP($B$7:$B$5000,SUM!$L$6:$L$500,1,FALSE)</f>
        <v>#N/A</v>
      </c>
      <c r="D4296" s="190" t="s">
        <v>7170</v>
      </c>
      <c r="E4296" s="198" t="s">
        <v>58</v>
      </c>
      <c r="F4296" s="199" t="s">
        <v>4099</v>
      </c>
      <c r="G4296" s="191" t="s">
        <v>3272</v>
      </c>
      <c r="H4296" s="199" t="s">
        <v>7190</v>
      </c>
      <c r="I4296" s="197" t="s">
        <v>7172</v>
      </c>
      <c r="J4296" s="148" t="s">
        <v>63</v>
      </c>
      <c r="K4296" s="148" t="s">
        <v>64</v>
      </c>
      <c r="L4296" s="148" t="s">
        <v>65</v>
      </c>
      <c r="M4296" s="148" t="s">
        <v>66</v>
      </c>
      <c r="N4296" s="212">
        <v>46194.0</v>
      </c>
      <c r="O4296" s="148" t="s">
        <v>67</v>
      </c>
      <c r="P4296" s="148" t="s">
        <v>68</v>
      </c>
      <c r="Q4296" s="103"/>
      <c r="R4296" s="103"/>
      <c r="S4296" s="103"/>
      <c r="T4296" s="103"/>
      <c r="U4296" s="148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1">
        <v>4291.0</v>
      </c>
      <c r="B4297" s="90" t="s">
        <v>7191</v>
      </c>
      <c r="C4297" s="82" t="str">
        <f>VLOOKUP($B$7:$B$5000,SUM!$L$6:$L$500,1,FALSE)</f>
        <v>#N/A</v>
      </c>
      <c r="D4297" s="190" t="s">
        <v>7170</v>
      </c>
      <c r="E4297" s="198" t="s">
        <v>58</v>
      </c>
      <c r="F4297" s="199" t="s">
        <v>4099</v>
      </c>
      <c r="G4297" s="191" t="s">
        <v>3272</v>
      </c>
      <c r="H4297" s="199" t="s">
        <v>7192</v>
      </c>
      <c r="I4297" s="197" t="s">
        <v>7172</v>
      </c>
      <c r="J4297" s="148" t="s">
        <v>63</v>
      </c>
      <c r="K4297" s="148" t="s">
        <v>64</v>
      </c>
      <c r="L4297" s="148" t="s">
        <v>65</v>
      </c>
      <c r="M4297" s="148" t="s">
        <v>66</v>
      </c>
      <c r="N4297" s="212">
        <v>46194.0</v>
      </c>
      <c r="O4297" s="148" t="s">
        <v>67</v>
      </c>
      <c r="P4297" s="148" t="s">
        <v>68</v>
      </c>
      <c r="Q4297" s="103"/>
      <c r="R4297" s="103"/>
      <c r="S4297" s="103"/>
      <c r="T4297" s="103"/>
      <c r="U4297" s="148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1">
        <v>4292.0</v>
      </c>
      <c r="B4298" s="90" t="s">
        <v>7193</v>
      </c>
      <c r="C4298" s="82" t="str">
        <f>VLOOKUP($B$7:$B$5000,SUM!$L$6:$L$500,1,FALSE)</f>
        <v>#N/A</v>
      </c>
      <c r="D4298" s="190" t="s">
        <v>7170</v>
      </c>
      <c r="E4298" s="198" t="s">
        <v>58</v>
      </c>
      <c r="F4298" s="199" t="s">
        <v>4099</v>
      </c>
      <c r="G4298" s="191" t="s">
        <v>3272</v>
      </c>
      <c r="H4298" s="199" t="s">
        <v>7194</v>
      </c>
      <c r="I4298" s="197" t="s">
        <v>7172</v>
      </c>
      <c r="J4298" s="148" t="s">
        <v>63</v>
      </c>
      <c r="K4298" s="148" t="s">
        <v>64</v>
      </c>
      <c r="L4298" s="148" t="s">
        <v>65</v>
      </c>
      <c r="M4298" s="148" t="s">
        <v>66</v>
      </c>
      <c r="N4298" s="212">
        <v>46194.0</v>
      </c>
      <c r="O4298" s="148" t="s">
        <v>67</v>
      </c>
      <c r="P4298" s="148" t="s">
        <v>68</v>
      </c>
      <c r="Q4298" s="103"/>
      <c r="R4298" s="103"/>
      <c r="S4298" s="103"/>
      <c r="T4298" s="103"/>
      <c r="U4298" s="148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1">
        <v>4293.0</v>
      </c>
      <c r="B4299" s="90" t="s">
        <v>7195</v>
      </c>
      <c r="C4299" s="82" t="str">
        <f>VLOOKUP($B$7:$B$5000,SUM!$L$6:$L$500,1,FALSE)</f>
        <v>#N/A</v>
      </c>
      <c r="D4299" s="190" t="s">
        <v>7170</v>
      </c>
      <c r="E4299" s="198" t="s">
        <v>58</v>
      </c>
      <c r="F4299" s="199" t="s">
        <v>4099</v>
      </c>
      <c r="G4299" s="191" t="s">
        <v>3272</v>
      </c>
      <c r="H4299" s="199" t="s">
        <v>7196</v>
      </c>
      <c r="I4299" s="197" t="s">
        <v>7172</v>
      </c>
      <c r="J4299" s="148" t="s">
        <v>63</v>
      </c>
      <c r="K4299" s="148" t="s">
        <v>64</v>
      </c>
      <c r="L4299" s="148" t="s">
        <v>65</v>
      </c>
      <c r="M4299" s="148" t="s">
        <v>66</v>
      </c>
      <c r="N4299" s="212">
        <v>46194.0</v>
      </c>
      <c r="O4299" s="148" t="s">
        <v>67</v>
      </c>
      <c r="P4299" s="148" t="s">
        <v>68</v>
      </c>
      <c r="Q4299" s="103"/>
      <c r="R4299" s="103"/>
      <c r="S4299" s="103"/>
      <c r="T4299" s="103"/>
      <c r="U4299" s="148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1">
        <v>4294.0</v>
      </c>
      <c r="B4300" s="90" t="s">
        <v>7197</v>
      </c>
      <c r="C4300" s="82" t="str">
        <f>VLOOKUP($B$7:$B$5000,SUM!$L$6:$L$500,1,FALSE)</f>
        <v>#N/A</v>
      </c>
      <c r="D4300" s="190" t="s">
        <v>7170</v>
      </c>
      <c r="E4300" s="198" t="s">
        <v>58</v>
      </c>
      <c r="F4300" s="199" t="s">
        <v>4099</v>
      </c>
      <c r="G4300" s="191" t="s">
        <v>3272</v>
      </c>
      <c r="H4300" s="199" t="s">
        <v>7198</v>
      </c>
      <c r="I4300" s="197" t="s">
        <v>7172</v>
      </c>
      <c r="J4300" s="148" t="s">
        <v>63</v>
      </c>
      <c r="K4300" s="148" t="s">
        <v>64</v>
      </c>
      <c r="L4300" s="148" t="s">
        <v>65</v>
      </c>
      <c r="M4300" s="148" t="s">
        <v>66</v>
      </c>
      <c r="N4300" s="212">
        <v>46194.0</v>
      </c>
      <c r="O4300" s="148" t="s">
        <v>67</v>
      </c>
      <c r="P4300" s="148" t="s">
        <v>68</v>
      </c>
      <c r="Q4300" s="103"/>
      <c r="R4300" s="103"/>
      <c r="S4300" s="103"/>
      <c r="T4300" s="103"/>
      <c r="U4300" s="148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1">
        <v>4295.0</v>
      </c>
      <c r="B4301" s="90" t="s">
        <v>7199</v>
      </c>
      <c r="C4301" s="82" t="str">
        <f>VLOOKUP($B$7:$B$5000,SUM!$L$6:$L$500,1,FALSE)</f>
        <v>#N/A</v>
      </c>
      <c r="D4301" s="190" t="s">
        <v>7170</v>
      </c>
      <c r="E4301" s="198" t="s">
        <v>58</v>
      </c>
      <c r="F4301" s="199" t="s">
        <v>4099</v>
      </c>
      <c r="G4301" s="191" t="s">
        <v>3272</v>
      </c>
      <c r="H4301" s="199" t="s">
        <v>7200</v>
      </c>
      <c r="I4301" s="197" t="s">
        <v>7172</v>
      </c>
      <c r="J4301" s="148" t="s">
        <v>63</v>
      </c>
      <c r="K4301" s="148" t="s">
        <v>64</v>
      </c>
      <c r="L4301" s="148" t="s">
        <v>65</v>
      </c>
      <c r="M4301" s="148" t="s">
        <v>66</v>
      </c>
      <c r="N4301" s="212">
        <v>46194.0</v>
      </c>
      <c r="O4301" s="148" t="s">
        <v>67</v>
      </c>
      <c r="P4301" s="148" t="s">
        <v>68</v>
      </c>
      <c r="Q4301" s="103"/>
      <c r="R4301" s="103"/>
      <c r="S4301" s="103"/>
      <c r="T4301" s="103"/>
      <c r="U4301" s="148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1">
        <v>4296.0</v>
      </c>
      <c r="B4302" s="90" t="s">
        <v>7201</v>
      </c>
      <c r="C4302" s="82" t="str">
        <f>VLOOKUP($B$7:$B$5000,SUM!$L$6:$L$500,1,FALSE)</f>
        <v>#N/A</v>
      </c>
      <c r="D4302" s="190" t="s">
        <v>7170</v>
      </c>
      <c r="E4302" s="198" t="s">
        <v>58</v>
      </c>
      <c r="F4302" s="199" t="s">
        <v>4099</v>
      </c>
      <c r="G4302" s="191" t="s">
        <v>3272</v>
      </c>
      <c r="H4302" s="199" t="s">
        <v>7202</v>
      </c>
      <c r="I4302" s="197" t="s">
        <v>7172</v>
      </c>
      <c r="J4302" s="148" t="s">
        <v>63</v>
      </c>
      <c r="K4302" s="148" t="s">
        <v>64</v>
      </c>
      <c r="L4302" s="148" t="s">
        <v>65</v>
      </c>
      <c r="M4302" s="148" t="s">
        <v>66</v>
      </c>
      <c r="N4302" s="212">
        <v>46194.0</v>
      </c>
      <c r="O4302" s="148" t="s">
        <v>67</v>
      </c>
      <c r="P4302" s="148" t="s">
        <v>68</v>
      </c>
      <c r="Q4302" s="103"/>
      <c r="R4302" s="103"/>
      <c r="S4302" s="103"/>
      <c r="T4302" s="103"/>
      <c r="U4302" s="148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1">
        <v>4297.0</v>
      </c>
      <c r="B4303" s="90" t="s">
        <v>7203</v>
      </c>
      <c r="C4303" s="82" t="str">
        <f>VLOOKUP($B$7:$B$5000,SUM!$L$6:$L$500,1,FALSE)</f>
        <v>#N/A</v>
      </c>
      <c r="D4303" s="190" t="s">
        <v>7170</v>
      </c>
      <c r="E4303" s="198" t="s">
        <v>58</v>
      </c>
      <c r="F4303" s="199" t="s">
        <v>4099</v>
      </c>
      <c r="G4303" s="191" t="s">
        <v>3272</v>
      </c>
      <c r="H4303" s="199" t="s">
        <v>7204</v>
      </c>
      <c r="I4303" s="197" t="s">
        <v>7172</v>
      </c>
      <c r="J4303" s="148" t="s">
        <v>63</v>
      </c>
      <c r="K4303" s="148" t="s">
        <v>64</v>
      </c>
      <c r="L4303" s="148" t="s">
        <v>65</v>
      </c>
      <c r="M4303" s="148" t="s">
        <v>66</v>
      </c>
      <c r="N4303" s="212">
        <v>46194.0</v>
      </c>
      <c r="O4303" s="148" t="s">
        <v>67</v>
      </c>
      <c r="P4303" s="148" t="s">
        <v>68</v>
      </c>
      <c r="Q4303" s="103"/>
      <c r="R4303" s="103"/>
      <c r="S4303" s="103"/>
      <c r="T4303" s="103"/>
      <c r="U4303" s="148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1">
        <v>4298.0</v>
      </c>
      <c r="B4304" s="90" t="s">
        <v>7205</v>
      </c>
      <c r="C4304" s="82" t="str">
        <f>VLOOKUP($B$7:$B$5000,SUM!$L$6:$L$500,1,FALSE)</f>
        <v>#N/A</v>
      </c>
      <c r="D4304" s="190" t="s">
        <v>7170</v>
      </c>
      <c r="E4304" s="198" t="s">
        <v>58</v>
      </c>
      <c r="F4304" s="199" t="s">
        <v>4099</v>
      </c>
      <c r="G4304" s="191" t="s">
        <v>3272</v>
      </c>
      <c r="H4304" s="199" t="s">
        <v>7206</v>
      </c>
      <c r="I4304" s="197" t="s">
        <v>7172</v>
      </c>
      <c r="J4304" s="148" t="s">
        <v>63</v>
      </c>
      <c r="K4304" s="148" t="s">
        <v>64</v>
      </c>
      <c r="L4304" s="148" t="s">
        <v>65</v>
      </c>
      <c r="M4304" s="148" t="s">
        <v>66</v>
      </c>
      <c r="N4304" s="212">
        <v>46194.0</v>
      </c>
      <c r="O4304" s="148" t="s">
        <v>67</v>
      </c>
      <c r="P4304" s="148" t="s">
        <v>68</v>
      </c>
      <c r="Q4304" s="103"/>
      <c r="R4304" s="103"/>
      <c r="S4304" s="103"/>
      <c r="T4304" s="103"/>
      <c r="U4304" s="148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1">
        <v>4299.0</v>
      </c>
      <c r="B4305" s="90" t="s">
        <v>7207</v>
      </c>
      <c r="C4305" s="82" t="str">
        <f>VLOOKUP($B$7:$B$5000,SUM!$L$6:$L$500,1,FALSE)</f>
        <v>#N/A</v>
      </c>
      <c r="D4305" s="190" t="s">
        <v>7170</v>
      </c>
      <c r="E4305" s="198" t="s">
        <v>58</v>
      </c>
      <c r="F4305" s="199" t="s">
        <v>4099</v>
      </c>
      <c r="G4305" s="191" t="s">
        <v>3272</v>
      </c>
      <c r="H4305" s="199" t="s">
        <v>7208</v>
      </c>
      <c r="I4305" s="197" t="s">
        <v>7172</v>
      </c>
      <c r="J4305" s="148" t="s">
        <v>63</v>
      </c>
      <c r="K4305" s="148" t="s">
        <v>64</v>
      </c>
      <c r="L4305" s="148" t="s">
        <v>65</v>
      </c>
      <c r="M4305" s="148" t="s">
        <v>66</v>
      </c>
      <c r="N4305" s="212">
        <v>46194.0</v>
      </c>
      <c r="O4305" s="148" t="s">
        <v>67</v>
      </c>
      <c r="P4305" s="148" t="s">
        <v>68</v>
      </c>
      <c r="Q4305" s="103"/>
      <c r="R4305" s="103"/>
      <c r="S4305" s="103"/>
      <c r="T4305" s="103"/>
      <c r="U4305" s="148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1">
        <v>4300.0</v>
      </c>
      <c r="B4306" s="90" t="s">
        <v>7209</v>
      </c>
      <c r="C4306" s="82" t="str">
        <f>VLOOKUP($B$7:$B$5000,SUM!$L$6:$L$500,1,FALSE)</f>
        <v>#N/A</v>
      </c>
      <c r="D4306" s="190" t="s">
        <v>7170</v>
      </c>
      <c r="E4306" s="198" t="s">
        <v>58</v>
      </c>
      <c r="F4306" s="199" t="s">
        <v>4099</v>
      </c>
      <c r="G4306" s="191" t="s">
        <v>3272</v>
      </c>
      <c r="H4306" s="199" t="s">
        <v>7210</v>
      </c>
      <c r="I4306" s="197" t="s">
        <v>7211</v>
      </c>
      <c r="J4306" s="148" t="s">
        <v>63</v>
      </c>
      <c r="K4306" s="148" t="s">
        <v>64</v>
      </c>
      <c r="L4306" s="148" t="s">
        <v>65</v>
      </c>
      <c r="M4306" s="148" t="s">
        <v>66</v>
      </c>
      <c r="N4306" s="212">
        <v>46194.0</v>
      </c>
      <c r="O4306" s="148" t="s">
        <v>67</v>
      </c>
      <c r="P4306" s="148" t="s">
        <v>68</v>
      </c>
      <c r="Q4306" s="103"/>
      <c r="R4306" s="103"/>
      <c r="S4306" s="103"/>
      <c r="T4306" s="103"/>
      <c r="U4306" s="148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1">
        <v>4301.0</v>
      </c>
      <c r="B4307" s="90" t="s">
        <v>7212</v>
      </c>
      <c r="C4307" s="82" t="str">
        <f>VLOOKUP($B$7:$B$5000,SUM!$L$6:$L$500,1,FALSE)</f>
        <v>#N/A</v>
      </c>
      <c r="D4307" s="190" t="s">
        <v>7170</v>
      </c>
      <c r="E4307" s="198" t="s">
        <v>58</v>
      </c>
      <c r="F4307" s="199" t="s">
        <v>4099</v>
      </c>
      <c r="G4307" s="191" t="s">
        <v>3272</v>
      </c>
      <c r="H4307" s="199" t="s">
        <v>7213</v>
      </c>
      <c r="I4307" s="197" t="s">
        <v>7211</v>
      </c>
      <c r="J4307" s="148" t="s">
        <v>63</v>
      </c>
      <c r="K4307" s="148" t="s">
        <v>64</v>
      </c>
      <c r="L4307" s="148" t="s">
        <v>65</v>
      </c>
      <c r="M4307" s="148" t="s">
        <v>66</v>
      </c>
      <c r="N4307" s="212">
        <v>46194.0</v>
      </c>
      <c r="O4307" s="148" t="s">
        <v>67</v>
      </c>
      <c r="P4307" s="148" t="s">
        <v>68</v>
      </c>
      <c r="Q4307" s="103"/>
      <c r="R4307" s="103"/>
      <c r="S4307" s="103"/>
      <c r="T4307" s="103"/>
      <c r="U4307" s="148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1">
        <v>4302.0</v>
      </c>
      <c r="B4308" s="90" t="s">
        <v>7214</v>
      </c>
      <c r="C4308" s="82" t="str">
        <f>VLOOKUP($B$7:$B$5000,SUM!$L$6:$L$500,1,FALSE)</f>
        <v>#N/A</v>
      </c>
      <c r="D4308" s="190" t="s">
        <v>7170</v>
      </c>
      <c r="E4308" s="198" t="s">
        <v>58</v>
      </c>
      <c r="F4308" s="199" t="s">
        <v>4099</v>
      </c>
      <c r="G4308" s="191" t="s">
        <v>3272</v>
      </c>
      <c r="H4308" s="199" t="s">
        <v>7215</v>
      </c>
      <c r="I4308" s="197" t="s">
        <v>7211</v>
      </c>
      <c r="J4308" s="148" t="s">
        <v>63</v>
      </c>
      <c r="K4308" s="148" t="s">
        <v>64</v>
      </c>
      <c r="L4308" s="148" t="s">
        <v>65</v>
      </c>
      <c r="M4308" s="148" t="s">
        <v>66</v>
      </c>
      <c r="N4308" s="212">
        <v>46194.0</v>
      </c>
      <c r="O4308" s="148" t="s">
        <v>67</v>
      </c>
      <c r="P4308" s="148" t="s">
        <v>68</v>
      </c>
      <c r="Q4308" s="103"/>
      <c r="R4308" s="103"/>
      <c r="S4308" s="103"/>
      <c r="T4308" s="103"/>
      <c r="U4308" s="148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1">
        <v>4303.0</v>
      </c>
      <c r="B4309" s="90" t="s">
        <v>7216</v>
      </c>
      <c r="C4309" s="82" t="str">
        <f>VLOOKUP($B$7:$B$5000,SUM!$L$6:$L$500,1,FALSE)</f>
        <v>#N/A</v>
      </c>
      <c r="D4309" s="190" t="s">
        <v>7170</v>
      </c>
      <c r="E4309" s="198" t="s">
        <v>58</v>
      </c>
      <c r="F4309" s="199" t="s">
        <v>4099</v>
      </c>
      <c r="G4309" s="191" t="s">
        <v>3272</v>
      </c>
      <c r="H4309" s="199" t="s">
        <v>7217</v>
      </c>
      <c r="I4309" s="197" t="s">
        <v>7211</v>
      </c>
      <c r="J4309" s="148" t="s">
        <v>63</v>
      </c>
      <c r="K4309" s="148" t="s">
        <v>64</v>
      </c>
      <c r="L4309" s="148" t="s">
        <v>65</v>
      </c>
      <c r="M4309" s="148" t="s">
        <v>66</v>
      </c>
      <c r="N4309" s="212">
        <v>46194.0</v>
      </c>
      <c r="O4309" s="148" t="s">
        <v>67</v>
      </c>
      <c r="P4309" s="148" t="s">
        <v>68</v>
      </c>
      <c r="Q4309" s="103"/>
      <c r="R4309" s="103"/>
      <c r="S4309" s="103"/>
      <c r="T4309" s="103"/>
      <c r="U4309" s="148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1">
        <v>4304.0</v>
      </c>
      <c r="B4310" s="90" t="s">
        <v>7218</v>
      </c>
      <c r="C4310" s="82" t="str">
        <f>VLOOKUP($B$7:$B$5000,SUM!$L$6:$L$500,1,FALSE)</f>
        <v>#N/A</v>
      </c>
      <c r="D4310" s="190" t="s">
        <v>7170</v>
      </c>
      <c r="E4310" s="198" t="s">
        <v>58</v>
      </c>
      <c r="F4310" s="199" t="s">
        <v>4099</v>
      </c>
      <c r="G4310" s="191" t="s">
        <v>3272</v>
      </c>
      <c r="H4310" s="199" t="s">
        <v>7219</v>
      </c>
      <c r="I4310" s="197" t="s">
        <v>7211</v>
      </c>
      <c r="J4310" s="148" t="s">
        <v>63</v>
      </c>
      <c r="K4310" s="148" t="s">
        <v>64</v>
      </c>
      <c r="L4310" s="148" t="s">
        <v>65</v>
      </c>
      <c r="M4310" s="148" t="s">
        <v>66</v>
      </c>
      <c r="N4310" s="212">
        <v>46194.0</v>
      </c>
      <c r="O4310" s="148" t="s">
        <v>67</v>
      </c>
      <c r="P4310" s="148" t="s">
        <v>68</v>
      </c>
      <c r="Q4310" s="103"/>
      <c r="R4310" s="103"/>
      <c r="S4310" s="103"/>
      <c r="T4310" s="103"/>
      <c r="U4310" s="148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1">
        <v>4305.0</v>
      </c>
      <c r="B4311" s="90" t="s">
        <v>7220</v>
      </c>
      <c r="C4311" s="82" t="str">
        <f>VLOOKUP($B$7:$B$5000,SUM!$L$6:$L$500,1,FALSE)</f>
        <v>#N/A</v>
      </c>
      <c r="D4311" s="190" t="s">
        <v>7170</v>
      </c>
      <c r="E4311" s="198" t="s">
        <v>58</v>
      </c>
      <c r="F4311" s="199" t="s">
        <v>4099</v>
      </c>
      <c r="G4311" s="191" t="s">
        <v>3272</v>
      </c>
      <c r="H4311" s="199" t="s">
        <v>7221</v>
      </c>
      <c r="I4311" s="197" t="s">
        <v>7211</v>
      </c>
      <c r="J4311" s="148" t="s">
        <v>63</v>
      </c>
      <c r="K4311" s="148" t="s">
        <v>64</v>
      </c>
      <c r="L4311" s="148" t="s">
        <v>65</v>
      </c>
      <c r="M4311" s="148" t="s">
        <v>66</v>
      </c>
      <c r="N4311" s="212">
        <v>46194.0</v>
      </c>
      <c r="O4311" s="148" t="s">
        <v>67</v>
      </c>
      <c r="P4311" s="148" t="s">
        <v>68</v>
      </c>
      <c r="Q4311" s="103"/>
      <c r="R4311" s="103"/>
      <c r="S4311" s="103"/>
      <c r="T4311" s="103"/>
      <c r="U4311" s="148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1">
        <v>4306.0</v>
      </c>
      <c r="B4312" s="90" t="s">
        <v>7222</v>
      </c>
      <c r="C4312" s="82" t="str">
        <f>VLOOKUP($B$7:$B$5000,SUM!$L$6:$L$500,1,FALSE)</f>
        <v>#N/A</v>
      </c>
      <c r="D4312" s="190" t="s">
        <v>7170</v>
      </c>
      <c r="E4312" s="198" t="s">
        <v>58</v>
      </c>
      <c r="F4312" s="199" t="s">
        <v>4099</v>
      </c>
      <c r="G4312" s="191" t="s">
        <v>3272</v>
      </c>
      <c r="H4312" s="199" t="s">
        <v>7223</v>
      </c>
      <c r="I4312" s="197" t="s">
        <v>7211</v>
      </c>
      <c r="J4312" s="148" t="s">
        <v>63</v>
      </c>
      <c r="K4312" s="148" t="s">
        <v>64</v>
      </c>
      <c r="L4312" s="148" t="s">
        <v>65</v>
      </c>
      <c r="M4312" s="148" t="s">
        <v>66</v>
      </c>
      <c r="N4312" s="212">
        <v>46194.0</v>
      </c>
      <c r="O4312" s="148" t="s">
        <v>67</v>
      </c>
      <c r="P4312" s="148" t="s">
        <v>68</v>
      </c>
      <c r="Q4312" s="103"/>
      <c r="R4312" s="103"/>
      <c r="S4312" s="103"/>
      <c r="T4312" s="103"/>
      <c r="U4312" s="148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1">
        <v>4307.0</v>
      </c>
      <c r="B4313" s="90" t="s">
        <v>7224</v>
      </c>
      <c r="C4313" s="82" t="str">
        <f>VLOOKUP($B$7:$B$5000,SUM!$L$6:$L$500,1,FALSE)</f>
        <v>#N/A</v>
      </c>
      <c r="D4313" s="190" t="s">
        <v>7170</v>
      </c>
      <c r="E4313" s="198" t="s">
        <v>58</v>
      </c>
      <c r="F4313" s="199" t="s">
        <v>4099</v>
      </c>
      <c r="G4313" s="191" t="s">
        <v>3272</v>
      </c>
      <c r="H4313" s="199" t="s">
        <v>7225</v>
      </c>
      <c r="I4313" s="197" t="s">
        <v>7211</v>
      </c>
      <c r="J4313" s="148" t="s">
        <v>63</v>
      </c>
      <c r="K4313" s="148" t="s">
        <v>64</v>
      </c>
      <c r="L4313" s="148" t="s">
        <v>65</v>
      </c>
      <c r="M4313" s="148" t="s">
        <v>66</v>
      </c>
      <c r="N4313" s="212">
        <v>46194.0</v>
      </c>
      <c r="O4313" s="148" t="s">
        <v>67</v>
      </c>
      <c r="P4313" s="148" t="s">
        <v>68</v>
      </c>
      <c r="Q4313" s="103"/>
      <c r="R4313" s="103"/>
      <c r="S4313" s="103"/>
      <c r="T4313" s="103"/>
      <c r="U4313" s="148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1">
        <v>4308.0</v>
      </c>
      <c r="B4314" s="90" t="s">
        <v>7226</v>
      </c>
      <c r="C4314" s="82" t="str">
        <f>VLOOKUP($B$7:$B$5000,SUM!$L$6:$L$500,1,FALSE)</f>
        <v>#N/A</v>
      </c>
      <c r="D4314" s="190" t="s">
        <v>7170</v>
      </c>
      <c r="E4314" s="198" t="s">
        <v>58</v>
      </c>
      <c r="F4314" s="199" t="s">
        <v>4099</v>
      </c>
      <c r="G4314" s="191" t="s">
        <v>3272</v>
      </c>
      <c r="H4314" s="199" t="s">
        <v>7227</v>
      </c>
      <c r="I4314" s="197" t="s">
        <v>7211</v>
      </c>
      <c r="J4314" s="148" t="s">
        <v>63</v>
      </c>
      <c r="K4314" s="148" t="s">
        <v>64</v>
      </c>
      <c r="L4314" s="148" t="s">
        <v>65</v>
      </c>
      <c r="M4314" s="148" t="s">
        <v>66</v>
      </c>
      <c r="N4314" s="212">
        <v>46194.0</v>
      </c>
      <c r="O4314" s="148" t="s">
        <v>67</v>
      </c>
      <c r="P4314" s="148" t="s">
        <v>68</v>
      </c>
      <c r="Q4314" s="103"/>
      <c r="R4314" s="103"/>
      <c r="S4314" s="103"/>
      <c r="T4314" s="103"/>
      <c r="U4314" s="148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1">
        <v>4309.0</v>
      </c>
      <c r="B4315" s="90" t="s">
        <v>7228</v>
      </c>
      <c r="C4315" s="82" t="str">
        <f>VLOOKUP($B$7:$B$5000,SUM!$L$6:$L$500,1,FALSE)</f>
        <v>#N/A</v>
      </c>
      <c r="D4315" s="190" t="s">
        <v>7170</v>
      </c>
      <c r="E4315" s="198" t="s">
        <v>58</v>
      </c>
      <c r="F4315" s="199" t="s">
        <v>4099</v>
      </c>
      <c r="G4315" s="191" t="s">
        <v>3272</v>
      </c>
      <c r="H4315" s="199" t="s">
        <v>7229</v>
      </c>
      <c r="I4315" s="197" t="s">
        <v>7211</v>
      </c>
      <c r="J4315" s="148" t="s">
        <v>63</v>
      </c>
      <c r="K4315" s="148" t="s">
        <v>64</v>
      </c>
      <c r="L4315" s="148" t="s">
        <v>65</v>
      </c>
      <c r="M4315" s="148" t="s">
        <v>66</v>
      </c>
      <c r="N4315" s="212">
        <v>46194.0</v>
      </c>
      <c r="O4315" s="148" t="s">
        <v>67</v>
      </c>
      <c r="P4315" s="148" t="s">
        <v>68</v>
      </c>
      <c r="Q4315" s="103"/>
      <c r="R4315" s="103"/>
      <c r="S4315" s="103"/>
      <c r="T4315" s="103"/>
      <c r="U4315" s="148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1">
        <v>4310.0</v>
      </c>
      <c r="B4316" s="90" t="s">
        <v>7230</v>
      </c>
      <c r="C4316" s="82" t="str">
        <f>VLOOKUP($B$7:$B$5000,SUM!$L$6:$L$500,1,FALSE)</f>
        <v>#N/A</v>
      </c>
      <c r="D4316" s="190" t="s">
        <v>7170</v>
      </c>
      <c r="E4316" s="198" t="s">
        <v>58</v>
      </c>
      <c r="F4316" s="199" t="s">
        <v>4099</v>
      </c>
      <c r="G4316" s="191" t="s">
        <v>3272</v>
      </c>
      <c r="H4316" s="199" t="s">
        <v>7231</v>
      </c>
      <c r="I4316" s="197" t="s">
        <v>7211</v>
      </c>
      <c r="J4316" s="148" t="s">
        <v>63</v>
      </c>
      <c r="K4316" s="148" t="s">
        <v>64</v>
      </c>
      <c r="L4316" s="148" t="s">
        <v>65</v>
      </c>
      <c r="M4316" s="148" t="s">
        <v>66</v>
      </c>
      <c r="N4316" s="212">
        <v>46194.0</v>
      </c>
      <c r="O4316" s="148" t="s">
        <v>67</v>
      </c>
      <c r="P4316" s="148" t="s">
        <v>68</v>
      </c>
      <c r="Q4316" s="103"/>
      <c r="R4316" s="103"/>
      <c r="S4316" s="103"/>
      <c r="T4316" s="103"/>
      <c r="U4316" s="148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1">
        <v>4311.0</v>
      </c>
      <c r="B4317" s="90" t="s">
        <v>7232</v>
      </c>
      <c r="C4317" s="82" t="str">
        <f>VLOOKUP($B$7:$B$5000,SUM!$L$6:$L$500,1,FALSE)</f>
        <v>#N/A</v>
      </c>
      <c r="D4317" s="190" t="s">
        <v>7170</v>
      </c>
      <c r="E4317" s="198" t="s">
        <v>58</v>
      </c>
      <c r="F4317" s="199" t="s">
        <v>4099</v>
      </c>
      <c r="G4317" s="191" t="s">
        <v>3272</v>
      </c>
      <c r="H4317" s="199" t="s">
        <v>7233</v>
      </c>
      <c r="I4317" s="197" t="s">
        <v>7211</v>
      </c>
      <c r="J4317" s="148" t="s">
        <v>63</v>
      </c>
      <c r="K4317" s="148" t="s">
        <v>64</v>
      </c>
      <c r="L4317" s="148" t="s">
        <v>65</v>
      </c>
      <c r="M4317" s="148" t="s">
        <v>66</v>
      </c>
      <c r="N4317" s="212">
        <v>46194.0</v>
      </c>
      <c r="O4317" s="148" t="s">
        <v>67</v>
      </c>
      <c r="P4317" s="148" t="s">
        <v>68</v>
      </c>
      <c r="Q4317" s="103"/>
      <c r="R4317" s="103"/>
      <c r="S4317" s="103"/>
      <c r="T4317" s="103"/>
      <c r="U4317" s="148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1">
        <v>4312.0</v>
      </c>
      <c r="B4318" s="90" t="s">
        <v>7234</v>
      </c>
      <c r="C4318" s="82" t="str">
        <f>VLOOKUP($B$7:$B$5000,SUM!$L$6:$L$500,1,FALSE)</f>
        <v>#N/A</v>
      </c>
      <c r="D4318" s="190" t="s">
        <v>7170</v>
      </c>
      <c r="E4318" s="198" t="s">
        <v>58</v>
      </c>
      <c r="F4318" s="199" t="s">
        <v>4099</v>
      </c>
      <c r="G4318" s="191" t="s">
        <v>3272</v>
      </c>
      <c r="H4318" s="199" t="s">
        <v>7235</v>
      </c>
      <c r="I4318" s="197" t="s">
        <v>7211</v>
      </c>
      <c r="J4318" s="148" t="s">
        <v>63</v>
      </c>
      <c r="K4318" s="148" t="s">
        <v>64</v>
      </c>
      <c r="L4318" s="148" t="s">
        <v>65</v>
      </c>
      <c r="M4318" s="148" t="s">
        <v>66</v>
      </c>
      <c r="N4318" s="212">
        <v>46194.0</v>
      </c>
      <c r="O4318" s="148" t="s">
        <v>67</v>
      </c>
      <c r="P4318" s="148" t="s">
        <v>68</v>
      </c>
      <c r="Q4318" s="103"/>
      <c r="R4318" s="103"/>
      <c r="S4318" s="103"/>
      <c r="T4318" s="103"/>
      <c r="U4318" s="148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1">
        <v>4313.0</v>
      </c>
      <c r="B4319" s="90" t="s">
        <v>7236</v>
      </c>
      <c r="C4319" s="82" t="str">
        <f>VLOOKUP($B$7:$B$5000,SUM!$L$6:$L$500,1,FALSE)</f>
        <v>#N/A</v>
      </c>
      <c r="D4319" s="190" t="s">
        <v>7170</v>
      </c>
      <c r="E4319" s="198" t="s">
        <v>58</v>
      </c>
      <c r="F4319" s="199" t="s">
        <v>4099</v>
      </c>
      <c r="G4319" s="191" t="s">
        <v>3272</v>
      </c>
      <c r="H4319" s="199" t="s">
        <v>7237</v>
      </c>
      <c r="I4319" s="197" t="s">
        <v>7211</v>
      </c>
      <c r="J4319" s="148" t="s">
        <v>63</v>
      </c>
      <c r="K4319" s="148" t="s">
        <v>64</v>
      </c>
      <c r="L4319" s="148" t="s">
        <v>65</v>
      </c>
      <c r="M4319" s="148" t="s">
        <v>66</v>
      </c>
      <c r="N4319" s="212">
        <v>46194.0</v>
      </c>
      <c r="O4319" s="148" t="s">
        <v>67</v>
      </c>
      <c r="P4319" s="148" t="s">
        <v>68</v>
      </c>
      <c r="Q4319" s="103"/>
      <c r="R4319" s="103"/>
      <c r="S4319" s="103"/>
      <c r="T4319" s="103"/>
      <c r="U4319" s="148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1">
        <v>4314.0</v>
      </c>
      <c r="B4320" s="90" t="s">
        <v>7238</v>
      </c>
      <c r="C4320" s="82" t="str">
        <f>VLOOKUP($B$7:$B$5000,SUM!$L$6:$L$500,1,FALSE)</f>
        <v>#N/A</v>
      </c>
      <c r="D4320" s="190" t="s">
        <v>7170</v>
      </c>
      <c r="E4320" s="198" t="s">
        <v>58</v>
      </c>
      <c r="F4320" s="199" t="s">
        <v>4099</v>
      </c>
      <c r="G4320" s="191" t="s">
        <v>3272</v>
      </c>
      <c r="H4320" s="199" t="s">
        <v>7239</v>
      </c>
      <c r="I4320" s="197" t="s">
        <v>7211</v>
      </c>
      <c r="J4320" s="148" t="s">
        <v>63</v>
      </c>
      <c r="K4320" s="148" t="s">
        <v>64</v>
      </c>
      <c r="L4320" s="148" t="s">
        <v>65</v>
      </c>
      <c r="M4320" s="148" t="s">
        <v>66</v>
      </c>
      <c r="N4320" s="212">
        <v>46194.0</v>
      </c>
      <c r="O4320" s="148" t="s">
        <v>67</v>
      </c>
      <c r="P4320" s="148" t="s">
        <v>68</v>
      </c>
      <c r="Q4320" s="103"/>
      <c r="R4320" s="103"/>
      <c r="S4320" s="103"/>
      <c r="T4320" s="103"/>
      <c r="U4320" s="148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1">
        <v>4315.0</v>
      </c>
      <c r="B4321" s="90" t="s">
        <v>7240</v>
      </c>
      <c r="C4321" s="82" t="str">
        <f>VLOOKUP($B$7:$B$5000,SUM!$L$6:$L$500,1,FALSE)</f>
        <v>#N/A</v>
      </c>
      <c r="D4321" s="190" t="s">
        <v>7170</v>
      </c>
      <c r="E4321" s="198" t="s">
        <v>58</v>
      </c>
      <c r="F4321" s="199" t="s">
        <v>4099</v>
      </c>
      <c r="G4321" s="191" t="s">
        <v>3272</v>
      </c>
      <c r="H4321" s="199" t="s">
        <v>7241</v>
      </c>
      <c r="I4321" s="197" t="s">
        <v>7211</v>
      </c>
      <c r="J4321" s="148" t="s">
        <v>63</v>
      </c>
      <c r="K4321" s="148" t="s">
        <v>64</v>
      </c>
      <c r="L4321" s="148" t="s">
        <v>65</v>
      </c>
      <c r="M4321" s="148" t="s">
        <v>66</v>
      </c>
      <c r="N4321" s="212">
        <v>46194.0</v>
      </c>
      <c r="O4321" s="148" t="s">
        <v>67</v>
      </c>
      <c r="P4321" s="148" t="s">
        <v>68</v>
      </c>
      <c r="Q4321" s="103"/>
      <c r="R4321" s="103"/>
      <c r="S4321" s="103"/>
      <c r="T4321" s="103"/>
      <c r="U4321" s="148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1">
        <v>4316.0</v>
      </c>
      <c r="B4322" s="90" t="s">
        <v>7242</v>
      </c>
      <c r="C4322" s="82" t="str">
        <f>VLOOKUP($B$7:$B$5000,SUM!$L$6:$L$500,1,FALSE)</f>
        <v>#N/A</v>
      </c>
      <c r="D4322" s="190" t="s">
        <v>7170</v>
      </c>
      <c r="E4322" s="198" t="s">
        <v>58</v>
      </c>
      <c r="F4322" s="199" t="s">
        <v>4099</v>
      </c>
      <c r="G4322" s="191" t="s">
        <v>3272</v>
      </c>
      <c r="H4322" s="199" t="s">
        <v>7243</v>
      </c>
      <c r="I4322" s="197" t="s">
        <v>7211</v>
      </c>
      <c r="J4322" s="148" t="s">
        <v>63</v>
      </c>
      <c r="K4322" s="148" t="s">
        <v>64</v>
      </c>
      <c r="L4322" s="148" t="s">
        <v>65</v>
      </c>
      <c r="M4322" s="148" t="s">
        <v>66</v>
      </c>
      <c r="N4322" s="212">
        <v>46194.0</v>
      </c>
      <c r="O4322" s="148" t="s">
        <v>67</v>
      </c>
      <c r="P4322" s="148" t="s">
        <v>68</v>
      </c>
      <c r="Q4322" s="103"/>
      <c r="R4322" s="103"/>
      <c r="S4322" s="103"/>
      <c r="T4322" s="103"/>
      <c r="U4322" s="148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1">
        <v>4317.0</v>
      </c>
      <c r="B4323" s="90" t="s">
        <v>7244</v>
      </c>
      <c r="C4323" s="82" t="str">
        <f>VLOOKUP($B$7:$B$5000,SUM!$L$6:$L$500,1,FALSE)</f>
        <v>#N/A</v>
      </c>
      <c r="D4323" s="190" t="s">
        <v>7170</v>
      </c>
      <c r="E4323" s="198" t="s">
        <v>58</v>
      </c>
      <c r="F4323" s="199" t="s">
        <v>4099</v>
      </c>
      <c r="G4323" s="191" t="s">
        <v>3272</v>
      </c>
      <c r="H4323" s="199" t="s">
        <v>7245</v>
      </c>
      <c r="I4323" s="197" t="s">
        <v>7211</v>
      </c>
      <c r="J4323" s="148" t="s">
        <v>63</v>
      </c>
      <c r="K4323" s="148" t="s">
        <v>64</v>
      </c>
      <c r="L4323" s="148" t="s">
        <v>65</v>
      </c>
      <c r="M4323" s="148" t="s">
        <v>66</v>
      </c>
      <c r="N4323" s="212">
        <v>46194.0</v>
      </c>
      <c r="O4323" s="148" t="s">
        <v>67</v>
      </c>
      <c r="P4323" s="148" t="s">
        <v>68</v>
      </c>
      <c r="Q4323" s="103"/>
      <c r="R4323" s="103"/>
      <c r="S4323" s="103"/>
      <c r="T4323" s="103"/>
      <c r="U4323" s="148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1">
        <v>4318.0</v>
      </c>
      <c r="B4324" s="90" t="s">
        <v>7246</v>
      </c>
      <c r="C4324" s="82" t="str">
        <f>VLOOKUP($B$7:$B$5000,SUM!$L$6:$L$500,1,FALSE)</f>
        <v>#N/A</v>
      </c>
      <c r="D4324" s="190" t="s">
        <v>7170</v>
      </c>
      <c r="E4324" s="198" t="s">
        <v>58</v>
      </c>
      <c r="F4324" s="199" t="s">
        <v>4099</v>
      </c>
      <c r="G4324" s="191" t="s">
        <v>3272</v>
      </c>
      <c r="H4324" s="199" t="s">
        <v>7247</v>
      </c>
      <c r="I4324" s="197" t="s">
        <v>7211</v>
      </c>
      <c r="J4324" s="148" t="s">
        <v>63</v>
      </c>
      <c r="K4324" s="148" t="s">
        <v>64</v>
      </c>
      <c r="L4324" s="148" t="s">
        <v>65</v>
      </c>
      <c r="M4324" s="148" t="s">
        <v>66</v>
      </c>
      <c r="N4324" s="212">
        <v>46194.0</v>
      </c>
      <c r="O4324" s="148" t="s">
        <v>67</v>
      </c>
      <c r="P4324" s="148" t="s">
        <v>68</v>
      </c>
      <c r="Q4324" s="103"/>
      <c r="R4324" s="103"/>
      <c r="S4324" s="103"/>
      <c r="T4324" s="103"/>
      <c r="U4324" s="148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1">
        <v>4319.0</v>
      </c>
      <c r="B4325" s="90" t="s">
        <v>7248</v>
      </c>
      <c r="C4325" s="82" t="str">
        <f>VLOOKUP($B$7:$B$5000,SUM!$L$6:$L$500,1,FALSE)</f>
        <v>#N/A</v>
      </c>
      <c r="D4325" s="190" t="s">
        <v>7170</v>
      </c>
      <c r="E4325" s="198" t="s">
        <v>58</v>
      </c>
      <c r="F4325" s="199" t="s">
        <v>4099</v>
      </c>
      <c r="G4325" s="191" t="s">
        <v>3272</v>
      </c>
      <c r="H4325" s="199" t="s">
        <v>7171</v>
      </c>
      <c r="I4325" s="197" t="s">
        <v>7172</v>
      </c>
      <c r="J4325" s="148" t="s">
        <v>63</v>
      </c>
      <c r="K4325" s="148" t="s">
        <v>64</v>
      </c>
      <c r="L4325" s="148" t="s">
        <v>65</v>
      </c>
      <c r="M4325" s="148" t="s">
        <v>66</v>
      </c>
      <c r="N4325" s="212">
        <v>46194.0</v>
      </c>
      <c r="O4325" s="148" t="s">
        <v>67</v>
      </c>
      <c r="P4325" s="148" t="s">
        <v>68</v>
      </c>
      <c r="Q4325" s="103"/>
      <c r="R4325" s="103"/>
      <c r="S4325" s="103"/>
      <c r="T4325" s="103"/>
      <c r="U4325" s="148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1">
        <v>4320.0</v>
      </c>
      <c r="B4326" s="90" t="s">
        <v>7249</v>
      </c>
      <c r="C4326" s="82" t="str">
        <f>VLOOKUP($B$7:$B$5000,SUM!$L$6:$L$500,1,FALSE)</f>
        <v>#N/A</v>
      </c>
      <c r="D4326" s="190" t="s">
        <v>7170</v>
      </c>
      <c r="E4326" s="198" t="s">
        <v>58</v>
      </c>
      <c r="F4326" s="199" t="s">
        <v>4099</v>
      </c>
      <c r="G4326" s="191" t="s">
        <v>3272</v>
      </c>
      <c r="H4326" s="199" t="s">
        <v>7174</v>
      </c>
      <c r="I4326" s="197" t="s">
        <v>7172</v>
      </c>
      <c r="J4326" s="148" t="s">
        <v>63</v>
      </c>
      <c r="K4326" s="148" t="s">
        <v>64</v>
      </c>
      <c r="L4326" s="148" t="s">
        <v>65</v>
      </c>
      <c r="M4326" s="148" t="s">
        <v>66</v>
      </c>
      <c r="N4326" s="212">
        <v>46194.0</v>
      </c>
      <c r="O4326" s="148" t="s">
        <v>67</v>
      </c>
      <c r="P4326" s="148" t="s">
        <v>68</v>
      </c>
      <c r="Q4326" s="103"/>
      <c r="R4326" s="103"/>
      <c r="S4326" s="103"/>
      <c r="T4326" s="103"/>
      <c r="U4326" s="148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1">
        <v>4321.0</v>
      </c>
      <c r="B4327" s="90" t="s">
        <v>7250</v>
      </c>
      <c r="C4327" s="82" t="str">
        <f>VLOOKUP($B$7:$B$5000,SUM!$L$6:$L$500,1,FALSE)</f>
        <v>#N/A</v>
      </c>
      <c r="D4327" s="190" t="s">
        <v>7170</v>
      </c>
      <c r="E4327" s="198" t="s">
        <v>58</v>
      </c>
      <c r="F4327" s="199" t="s">
        <v>4099</v>
      </c>
      <c r="G4327" s="191" t="s">
        <v>3272</v>
      </c>
      <c r="H4327" s="199" t="s">
        <v>7176</v>
      </c>
      <c r="I4327" s="197" t="s">
        <v>7172</v>
      </c>
      <c r="J4327" s="148" t="s">
        <v>63</v>
      </c>
      <c r="K4327" s="148" t="s">
        <v>64</v>
      </c>
      <c r="L4327" s="148" t="s">
        <v>65</v>
      </c>
      <c r="M4327" s="148" t="s">
        <v>66</v>
      </c>
      <c r="N4327" s="212">
        <v>46194.0</v>
      </c>
      <c r="O4327" s="148" t="s">
        <v>67</v>
      </c>
      <c r="P4327" s="148" t="s">
        <v>68</v>
      </c>
      <c r="Q4327" s="103"/>
      <c r="R4327" s="103"/>
      <c r="S4327" s="103"/>
      <c r="T4327" s="103"/>
      <c r="U4327" s="148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1">
        <v>4322.0</v>
      </c>
      <c r="B4328" s="90" t="s">
        <v>7251</v>
      </c>
      <c r="C4328" s="82" t="str">
        <f>VLOOKUP($B$7:$B$5000,SUM!$L$6:$L$500,1,FALSE)</f>
        <v>#N/A</v>
      </c>
      <c r="D4328" s="190" t="s">
        <v>7170</v>
      </c>
      <c r="E4328" s="198" t="s">
        <v>58</v>
      </c>
      <c r="F4328" s="199" t="s">
        <v>4099</v>
      </c>
      <c r="G4328" s="191" t="s">
        <v>3272</v>
      </c>
      <c r="H4328" s="199" t="s">
        <v>7178</v>
      </c>
      <c r="I4328" s="197" t="s">
        <v>7172</v>
      </c>
      <c r="J4328" s="148" t="s">
        <v>63</v>
      </c>
      <c r="K4328" s="148" t="s">
        <v>64</v>
      </c>
      <c r="L4328" s="148" t="s">
        <v>65</v>
      </c>
      <c r="M4328" s="148" t="s">
        <v>66</v>
      </c>
      <c r="N4328" s="212">
        <v>46194.0</v>
      </c>
      <c r="O4328" s="148" t="s">
        <v>67</v>
      </c>
      <c r="P4328" s="148" t="s">
        <v>68</v>
      </c>
      <c r="Q4328" s="103"/>
      <c r="R4328" s="103"/>
      <c r="S4328" s="103"/>
      <c r="T4328" s="103"/>
      <c r="U4328" s="148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1">
        <v>4323.0</v>
      </c>
      <c r="B4329" s="90" t="s">
        <v>7252</v>
      </c>
      <c r="C4329" s="82" t="str">
        <f>VLOOKUP($B$7:$B$5000,SUM!$L$6:$L$500,1,FALSE)</f>
        <v>#N/A</v>
      </c>
      <c r="D4329" s="190" t="s">
        <v>7170</v>
      </c>
      <c r="E4329" s="198" t="s">
        <v>58</v>
      </c>
      <c r="F4329" s="199" t="s">
        <v>4099</v>
      </c>
      <c r="G4329" s="191" t="s">
        <v>3272</v>
      </c>
      <c r="H4329" s="199" t="s">
        <v>7180</v>
      </c>
      <c r="I4329" s="197" t="s">
        <v>7172</v>
      </c>
      <c r="J4329" s="148" t="s">
        <v>63</v>
      </c>
      <c r="K4329" s="148" t="s">
        <v>64</v>
      </c>
      <c r="L4329" s="148" t="s">
        <v>65</v>
      </c>
      <c r="M4329" s="148" t="s">
        <v>66</v>
      </c>
      <c r="N4329" s="212">
        <v>46194.0</v>
      </c>
      <c r="O4329" s="148" t="s">
        <v>67</v>
      </c>
      <c r="P4329" s="148" t="s">
        <v>68</v>
      </c>
      <c r="Q4329" s="103"/>
      <c r="R4329" s="103"/>
      <c r="S4329" s="103"/>
      <c r="T4329" s="103"/>
      <c r="U4329" s="148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1">
        <v>4324.0</v>
      </c>
      <c r="B4330" s="90" t="s">
        <v>7253</v>
      </c>
      <c r="C4330" s="82" t="str">
        <f>VLOOKUP($B$7:$B$5000,SUM!$L$6:$L$500,1,FALSE)</f>
        <v>#N/A</v>
      </c>
      <c r="D4330" s="190" t="s">
        <v>7170</v>
      </c>
      <c r="E4330" s="198" t="s">
        <v>58</v>
      </c>
      <c r="F4330" s="199" t="s">
        <v>4099</v>
      </c>
      <c r="G4330" s="191" t="s">
        <v>3272</v>
      </c>
      <c r="H4330" s="199" t="s">
        <v>7182</v>
      </c>
      <c r="I4330" s="197" t="s">
        <v>7172</v>
      </c>
      <c r="J4330" s="148" t="s">
        <v>63</v>
      </c>
      <c r="K4330" s="148" t="s">
        <v>64</v>
      </c>
      <c r="L4330" s="148" t="s">
        <v>65</v>
      </c>
      <c r="M4330" s="148" t="s">
        <v>66</v>
      </c>
      <c r="N4330" s="212">
        <v>46194.0</v>
      </c>
      <c r="O4330" s="148" t="s">
        <v>67</v>
      </c>
      <c r="P4330" s="148" t="s">
        <v>68</v>
      </c>
      <c r="Q4330" s="103"/>
      <c r="R4330" s="103"/>
      <c r="S4330" s="103"/>
      <c r="T4330" s="103"/>
      <c r="U4330" s="148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1">
        <v>4325.0</v>
      </c>
      <c r="B4331" s="90" t="s">
        <v>7254</v>
      </c>
      <c r="C4331" s="82" t="str">
        <f>VLOOKUP($B$7:$B$5000,SUM!$L$6:$L$500,1,FALSE)</f>
        <v>#N/A</v>
      </c>
      <c r="D4331" s="190" t="s">
        <v>7170</v>
      </c>
      <c r="E4331" s="198" t="s">
        <v>58</v>
      </c>
      <c r="F4331" s="199" t="s">
        <v>4099</v>
      </c>
      <c r="G4331" s="191" t="s">
        <v>3272</v>
      </c>
      <c r="H4331" s="199" t="s">
        <v>7184</v>
      </c>
      <c r="I4331" s="197" t="s">
        <v>7172</v>
      </c>
      <c r="J4331" s="148" t="s">
        <v>63</v>
      </c>
      <c r="K4331" s="148" t="s">
        <v>64</v>
      </c>
      <c r="L4331" s="148" t="s">
        <v>65</v>
      </c>
      <c r="M4331" s="148" t="s">
        <v>66</v>
      </c>
      <c r="N4331" s="212">
        <v>46194.0</v>
      </c>
      <c r="O4331" s="148" t="s">
        <v>67</v>
      </c>
      <c r="P4331" s="148" t="s">
        <v>68</v>
      </c>
      <c r="Q4331" s="103"/>
      <c r="R4331" s="103"/>
      <c r="S4331" s="103"/>
      <c r="T4331" s="103"/>
      <c r="U4331" s="148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1">
        <v>4326.0</v>
      </c>
      <c r="B4332" s="90" t="s">
        <v>7255</v>
      </c>
      <c r="C4332" s="82" t="str">
        <f>VLOOKUP($B$7:$B$5000,SUM!$L$6:$L$500,1,FALSE)</f>
        <v>#N/A</v>
      </c>
      <c r="D4332" s="190" t="s">
        <v>7170</v>
      </c>
      <c r="E4332" s="198" t="s">
        <v>58</v>
      </c>
      <c r="F4332" s="199" t="s">
        <v>4099</v>
      </c>
      <c r="G4332" s="191" t="s">
        <v>3272</v>
      </c>
      <c r="H4332" s="199" t="s">
        <v>7186</v>
      </c>
      <c r="I4332" s="197" t="s">
        <v>7172</v>
      </c>
      <c r="J4332" s="148" t="s">
        <v>63</v>
      </c>
      <c r="K4332" s="148" t="s">
        <v>64</v>
      </c>
      <c r="L4332" s="148" t="s">
        <v>65</v>
      </c>
      <c r="M4332" s="148" t="s">
        <v>66</v>
      </c>
      <c r="N4332" s="212">
        <v>46194.0</v>
      </c>
      <c r="O4332" s="148" t="s">
        <v>67</v>
      </c>
      <c r="P4332" s="148" t="s">
        <v>68</v>
      </c>
      <c r="Q4332" s="103"/>
      <c r="R4332" s="103"/>
      <c r="S4332" s="103"/>
      <c r="T4332" s="103"/>
      <c r="U4332" s="148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1">
        <v>4327.0</v>
      </c>
      <c r="B4333" s="90" t="s">
        <v>7256</v>
      </c>
      <c r="C4333" s="82" t="str">
        <f>VLOOKUP($B$7:$B$5000,SUM!$L$6:$L$500,1,FALSE)</f>
        <v>#N/A</v>
      </c>
      <c r="D4333" s="190" t="s">
        <v>7170</v>
      </c>
      <c r="E4333" s="198" t="s">
        <v>58</v>
      </c>
      <c r="F4333" s="199" t="s">
        <v>4099</v>
      </c>
      <c r="G4333" s="191" t="s">
        <v>3272</v>
      </c>
      <c r="H4333" s="199" t="s">
        <v>7188</v>
      </c>
      <c r="I4333" s="197" t="s">
        <v>7172</v>
      </c>
      <c r="J4333" s="148" t="s">
        <v>63</v>
      </c>
      <c r="K4333" s="148" t="s">
        <v>64</v>
      </c>
      <c r="L4333" s="148" t="s">
        <v>65</v>
      </c>
      <c r="M4333" s="148" t="s">
        <v>66</v>
      </c>
      <c r="N4333" s="212">
        <v>46194.0</v>
      </c>
      <c r="O4333" s="148" t="s">
        <v>67</v>
      </c>
      <c r="P4333" s="148" t="s">
        <v>68</v>
      </c>
      <c r="Q4333" s="103"/>
      <c r="R4333" s="103"/>
      <c r="S4333" s="103"/>
      <c r="T4333" s="103"/>
      <c r="U4333" s="148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1">
        <v>4328.0</v>
      </c>
      <c r="B4334" s="90" t="s">
        <v>7257</v>
      </c>
      <c r="C4334" s="82" t="str">
        <f>VLOOKUP($B$7:$B$5000,SUM!$L$6:$L$500,1,FALSE)</f>
        <v>#N/A</v>
      </c>
      <c r="D4334" s="190" t="s">
        <v>7170</v>
      </c>
      <c r="E4334" s="198" t="s">
        <v>58</v>
      </c>
      <c r="F4334" s="199" t="s">
        <v>4099</v>
      </c>
      <c r="G4334" s="191" t="s">
        <v>3272</v>
      </c>
      <c r="H4334" s="199" t="s">
        <v>7190</v>
      </c>
      <c r="I4334" s="197" t="s">
        <v>7172</v>
      </c>
      <c r="J4334" s="148" t="s">
        <v>63</v>
      </c>
      <c r="K4334" s="148" t="s">
        <v>64</v>
      </c>
      <c r="L4334" s="148" t="s">
        <v>65</v>
      </c>
      <c r="M4334" s="148" t="s">
        <v>66</v>
      </c>
      <c r="N4334" s="212">
        <v>46194.0</v>
      </c>
      <c r="O4334" s="148" t="s">
        <v>67</v>
      </c>
      <c r="P4334" s="148" t="s">
        <v>68</v>
      </c>
      <c r="Q4334" s="103"/>
      <c r="R4334" s="103"/>
      <c r="S4334" s="103"/>
      <c r="T4334" s="103"/>
      <c r="U4334" s="148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1">
        <v>4329.0</v>
      </c>
      <c r="B4335" s="90" t="s">
        <v>7258</v>
      </c>
      <c r="C4335" s="82" t="str">
        <f>VLOOKUP($B$7:$B$5000,SUM!$L$6:$L$500,1,FALSE)</f>
        <v>#N/A</v>
      </c>
      <c r="D4335" s="190" t="s">
        <v>7170</v>
      </c>
      <c r="E4335" s="198" t="s">
        <v>58</v>
      </c>
      <c r="F4335" s="199" t="s">
        <v>4099</v>
      </c>
      <c r="G4335" s="191" t="s">
        <v>3272</v>
      </c>
      <c r="H4335" s="199" t="s">
        <v>7192</v>
      </c>
      <c r="I4335" s="197" t="s">
        <v>7172</v>
      </c>
      <c r="J4335" s="148" t="s">
        <v>63</v>
      </c>
      <c r="K4335" s="148" t="s">
        <v>64</v>
      </c>
      <c r="L4335" s="148" t="s">
        <v>65</v>
      </c>
      <c r="M4335" s="148" t="s">
        <v>66</v>
      </c>
      <c r="N4335" s="212">
        <v>46194.0</v>
      </c>
      <c r="O4335" s="148" t="s">
        <v>67</v>
      </c>
      <c r="P4335" s="148" t="s">
        <v>68</v>
      </c>
      <c r="Q4335" s="103"/>
      <c r="R4335" s="103"/>
      <c r="S4335" s="103"/>
      <c r="T4335" s="103"/>
      <c r="U4335" s="148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1">
        <v>4330.0</v>
      </c>
      <c r="B4336" s="90" t="s">
        <v>7259</v>
      </c>
      <c r="C4336" s="82" t="str">
        <f>VLOOKUP($B$7:$B$5000,SUM!$L$6:$L$500,1,FALSE)</f>
        <v>#N/A</v>
      </c>
      <c r="D4336" s="190" t="s">
        <v>7170</v>
      </c>
      <c r="E4336" s="198" t="s">
        <v>58</v>
      </c>
      <c r="F4336" s="199" t="s">
        <v>4099</v>
      </c>
      <c r="G4336" s="191" t="s">
        <v>3272</v>
      </c>
      <c r="H4336" s="199" t="s">
        <v>7194</v>
      </c>
      <c r="I4336" s="197" t="s">
        <v>7172</v>
      </c>
      <c r="J4336" s="148" t="s">
        <v>63</v>
      </c>
      <c r="K4336" s="148" t="s">
        <v>64</v>
      </c>
      <c r="L4336" s="148" t="s">
        <v>65</v>
      </c>
      <c r="M4336" s="148" t="s">
        <v>66</v>
      </c>
      <c r="N4336" s="212">
        <v>46194.0</v>
      </c>
      <c r="O4336" s="148" t="s">
        <v>67</v>
      </c>
      <c r="P4336" s="148" t="s">
        <v>68</v>
      </c>
      <c r="Q4336" s="103"/>
      <c r="R4336" s="103"/>
      <c r="S4336" s="103"/>
      <c r="T4336" s="103"/>
      <c r="U4336" s="148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1">
        <v>4331.0</v>
      </c>
      <c r="B4337" s="90" t="s">
        <v>7260</v>
      </c>
      <c r="C4337" s="82" t="str">
        <f>VLOOKUP($B$7:$B$5000,SUM!$L$6:$L$500,1,FALSE)</f>
        <v>#N/A</v>
      </c>
      <c r="D4337" s="190" t="s">
        <v>7170</v>
      </c>
      <c r="E4337" s="198" t="s">
        <v>58</v>
      </c>
      <c r="F4337" s="199" t="s">
        <v>4099</v>
      </c>
      <c r="G4337" s="191" t="s">
        <v>3272</v>
      </c>
      <c r="H4337" s="199" t="s">
        <v>7196</v>
      </c>
      <c r="I4337" s="197" t="s">
        <v>7172</v>
      </c>
      <c r="J4337" s="148" t="s">
        <v>63</v>
      </c>
      <c r="K4337" s="148" t="s">
        <v>64</v>
      </c>
      <c r="L4337" s="148" t="s">
        <v>65</v>
      </c>
      <c r="M4337" s="148" t="s">
        <v>66</v>
      </c>
      <c r="N4337" s="212">
        <v>46194.0</v>
      </c>
      <c r="O4337" s="148" t="s">
        <v>67</v>
      </c>
      <c r="P4337" s="148" t="s">
        <v>68</v>
      </c>
      <c r="Q4337" s="103"/>
      <c r="R4337" s="103"/>
      <c r="S4337" s="103"/>
      <c r="T4337" s="103"/>
      <c r="U4337" s="148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1">
        <v>4332.0</v>
      </c>
      <c r="B4338" s="90" t="s">
        <v>7261</v>
      </c>
      <c r="C4338" s="82" t="str">
        <f>VLOOKUP($B$7:$B$5000,SUM!$L$6:$L$500,1,FALSE)</f>
        <v>#N/A</v>
      </c>
      <c r="D4338" s="190" t="s">
        <v>7170</v>
      </c>
      <c r="E4338" s="198" t="s">
        <v>58</v>
      </c>
      <c r="F4338" s="199" t="s">
        <v>4099</v>
      </c>
      <c r="G4338" s="191" t="s">
        <v>3272</v>
      </c>
      <c r="H4338" s="199" t="s">
        <v>7198</v>
      </c>
      <c r="I4338" s="197" t="s">
        <v>7172</v>
      </c>
      <c r="J4338" s="148" t="s">
        <v>63</v>
      </c>
      <c r="K4338" s="148" t="s">
        <v>64</v>
      </c>
      <c r="L4338" s="148" t="s">
        <v>65</v>
      </c>
      <c r="M4338" s="148" t="s">
        <v>66</v>
      </c>
      <c r="N4338" s="212">
        <v>46194.0</v>
      </c>
      <c r="O4338" s="148" t="s">
        <v>67</v>
      </c>
      <c r="P4338" s="148" t="s">
        <v>68</v>
      </c>
      <c r="Q4338" s="103"/>
      <c r="R4338" s="103"/>
      <c r="S4338" s="103"/>
      <c r="T4338" s="103"/>
      <c r="U4338" s="148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1">
        <v>4333.0</v>
      </c>
      <c r="B4339" s="90" t="s">
        <v>7262</v>
      </c>
      <c r="C4339" s="82" t="str">
        <f>VLOOKUP($B$7:$B$5000,SUM!$L$6:$L$500,1,FALSE)</f>
        <v>#N/A</v>
      </c>
      <c r="D4339" s="190" t="s">
        <v>7170</v>
      </c>
      <c r="E4339" s="198" t="s">
        <v>58</v>
      </c>
      <c r="F4339" s="199" t="s">
        <v>4099</v>
      </c>
      <c r="G4339" s="191" t="s">
        <v>3272</v>
      </c>
      <c r="H4339" s="199" t="s">
        <v>7200</v>
      </c>
      <c r="I4339" s="197" t="s">
        <v>7172</v>
      </c>
      <c r="J4339" s="148" t="s">
        <v>63</v>
      </c>
      <c r="K4339" s="148" t="s">
        <v>64</v>
      </c>
      <c r="L4339" s="148" t="s">
        <v>65</v>
      </c>
      <c r="M4339" s="148" t="s">
        <v>66</v>
      </c>
      <c r="N4339" s="212">
        <v>46194.0</v>
      </c>
      <c r="O4339" s="148" t="s">
        <v>67</v>
      </c>
      <c r="P4339" s="148" t="s">
        <v>68</v>
      </c>
      <c r="Q4339" s="103"/>
      <c r="R4339" s="103"/>
      <c r="S4339" s="103"/>
      <c r="T4339" s="103"/>
      <c r="U4339" s="148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1">
        <v>4334.0</v>
      </c>
      <c r="B4340" s="90" t="s">
        <v>7263</v>
      </c>
      <c r="C4340" s="82" t="str">
        <f>VLOOKUP($B$7:$B$5000,SUM!$L$6:$L$500,1,FALSE)</f>
        <v>#N/A</v>
      </c>
      <c r="D4340" s="190" t="s">
        <v>7170</v>
      </c>
      <c r="E4340" s="198" t="s">
        <v>58</v>
      </c>
      <c r="F4340" s="199" t="s">
        <v>4099</v>
      </c>
      <c r="G4340" s="191" t="s">
        <v>3272</v>
      </c>
      <c r="H4340" s="199" t="s">
        <v>7202</v>
      </c>
      <c r="I4340" s="197" t="s">
        <v>7172</v>
      </c>
      <c r="J4340" s="148" t="s">
        <v>63</v>
      </c>
      <c r="K4340" s="148" t="s">
        <v>64</v>
      </c>
      <c r="L4340" s="148" t="s">
        <v>65</v>
      </c>
      <c r="M4340" s="148" t="s">
        <v>66</v>
      </c>
      <c r="N4340" s="212">
        <v>46194.0</v>
      </c>
      <c r="O4340" s="148" t="s">
        <v>67</v>
      </c>
      <c r="P4340" s="148" t="s">
        <v>68</v>
      </c>
      <c r="Q4340" s="103"/>
      <c r="R4340" s="103"/>
      <c r="S4340" s="103"/>
      <c r="T4340" s="103"/>
      <c r="U4340" s="148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1">
        <v>4335.0</v>
      </c>
      <c r="B4341" s="90" t="s">
        <v>7264</v>
      </c>
      <c r="C4341" s="82" t="str">
        <f>VLOOKUP($B$7:$B$5000,SUM!$L$6:$L$500,1,FALSE)</f>
        <v>#N/A</v>
      </c>
      <c r="D4341" s="190" t="s">
        <v>7170</v>
      </c>
      <c r="E4341" s="198" t="s">
        <v>58</v>
      </c>
      <c r="F4341" s="199" t="s">
        <v>4099</v>
      </c>
      <c r="G4341" s="191" t="s">
        <v>3272</v>
      </c>
      <c r="H4341" s="199" t="s">
        <v>7204</v>
      </c>
      <c r="I4341" s="197" t="s">
        <v>7172</v>
      </c>
      <c r="J4341" s="148" t="s">
        <v>63</v>
      </c>
      <c r="K4341" s="148" t="s">
        <v>64</v>
      </c>
      <c r="L4341" s="148" t="s">
        <v>65</v>
      </c>
      <c r="M4341" s="148" t="s">
        <v>66</v>
      </c>
      <c r="N4341" s="212">
        <v>46194.0</v>
      </c>
      <c r="O4341" s="148" t="s">
        <v>67</v>
      </c>
      <c r="P4341" s="148" t="s">
        <v>68</v>
      </c>
      <c r="Q4341" s="103"/>
      <c r="R4341" s="103"/>
      <c r="S4341" s="103"/>
      <c r="T4341" s="103"/>
      <c r="U4341" s="148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1">
        <v>4336.0</v>
      </c>
      <c r="B4342" s="90" t="s">
        <v>7265</v>
      </c>
      <c r="C4342" s="82" t="str">
        <f>VLOOKUP($B$7:$B$5000,SUM!$L$6:$L$500,1,FALSE)</f>
        <v>#N/A</v>
      </c>
      <c r="D4342" s="190" t="s">
        <v>7170</v>
      </c>
      <c r="E4342" s="198" t="s">
        <v>58</v>
      </c>
      <c r="F4342" s="199" t="s">
        <v>4099</v>
      </c>
      <c r="G4342" s="191" t="s">
        <v>3272</v>
      </c>
      <c r="H4342" s="199" t="s">
        <v>7206</v>
      </c>
      <c r="I4342" s="197" t="s">
        <v>7172</v>
      </c>
      <c r="J4342" s="148" t="s">
        <v>63</v>
      </c>
      <c r="K4342" s="148" t="s">
        <v>64</v>
      </c>
      <c r="L4342" s="148" t="s">
        <v>65</v>
      </c>
      <c r="M4342" s="148" t="s">
        <v>66</v>
      </c>
      <c r="N4342" s="212">
        <v>46194.0</v>
      </c>
      <c r="O4342" s="148" t="s">
        <v>67</v>
      </c>
      <c r="P4342" s="148" t="s">
        <v>68</v>
      </c>
      <c r="Q4342" s="103"/>
      <c r="R4342" s="103"/>
      <c r="S4342" s="103"/>
      <c r="T4342" s="103"/>
      <c r="U4342" s="148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1">
        <v>4337.0</v>
      </c>
      <c r="B4343" s="90" t="s">
        <v>7266</v>
      </c>
      <c r="C4343" s="82" t="str">
        <f>VLOOKUP($B$7:$B$5000,SUM!$L$6:$L$500,1,FALSE)</f>
        <v>#N/A</v>
      </c>
      <c r="D4343" s="190" t="s">
        <v>7170</v>
      </c>
      <c r="E4343" s="198" t="s">
        <v>58</v>
      </c>
      <c r="F4343" s="199" t="s">
        <v>4099</v>
      </c>
      <c r="G4343" s="191" t="s">
        <v>3272</v>
      </c>
      <c r="H4343" s="199" t="s">
        <v>7208</v>
      </c>
      <c r="I4343" s="197" t="s">
        <v>7172</v>
      </c>
      <c r="J4343" s="148" t="s">
        <v>63</v>
      </c>
      <c r="K4343" s="148" t="s">
        <v>64</v>
      </c>
      <c r="L4343" s="148" t="s">
        <v>65</v>
      </c>
      <c r="M4343" s="148" t="s">
        <v>66</v>
      </c>
      <c r="N4343" s="212">
        <v>46194.0</v>
      </c>
      <c r="O4343" s="148" t="s">
        <v>67</v>
      </c>
      <c r="P4343" s="148" t="s">
        <v>68</v>
      </c>
      <c r="Q4343" s="103"/>
      <c r="R4343" s="103"/>
      <c r="S4343" s="103"/>
      <c r="T4343" s="103"/>
      <c r="U4343" s="148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1">
        <v>4338.0</v>
      </c>
      <c r="B4344" s="90" t="s">
        <v>7267</v>
      </c>
      <c r="C4344" s="82" t="str">
        <f>VLOOKUP($B$7:$B$5000,SUM!$L$6:$L$500,1,FALSE)</f>
        <v>#N/A</v>
      </c>
      <c r="D4344" s="190" t="s">
        <v>7170</v>
      </c>
      <c r="E4344" s="198" t="s">
        <v>58</v>
      </c>
      <c r="F4344" s="199" t="s">
        <v>4099</v>
      </c>
      <c r="G4344" s="191" t="s">
        <v>3272</v>
      </c>
      <c r="H4344" s="199" t="s">
        <v>7210</v>
      </c>
      <c r="I4344" s="197" t="s">
        <v>7211</v>
      </c>
      <c r="J4344" s="148" t="s">
        <v>63</v>
      </c>
      <c r="K4344" s="148" t="s">
        <v>64</v>
      </c>
      <c r="L4344" s="148" t="s">
        <v>65</v>
      </c>
      <c r="M4344" s="148" t="s">
        <v>66</v>
      </c>
      <c r="N4344" s="212">
        <v>46194.0</v>
      </c>
      <c r="O4344" s="148" t="s">
        <v>67</v>
      </c>
      <c r="P4344" s="148" t="s">
        <v>68</v>
      </c>
      <c r="Q4344" s="103"/>
      <c r="R4344" s="103"/>
      <c r="S4344" s="103"/>
      <c r="T4344" s="103"/>
      <c r="U4344" s="148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1">
        <v>4339.0</v>
      </c>
      <c r="B4345" s="90" t="s">
        <v>7268</v>
      </c>
      <c r="C4345" s="82" t="str">
        <f>VLOOKUP($B$7:$B$5000,SUM!$L$6:$L$500,1,FALSE)</f>
        <v>#N/A</v>
      </c>
      <c r="D4345" s="190" t="s">
        <v>7170</v>
      </c>
      <c r="E4345" s="198" t="s">
        <v>58</v>
      </c>
      <c r="F4345" s="199" t="s">
        <v>4099</v>
      </c>
      <c r="G4345" s="191" t="s">
        <v>3272</v>
      </c>
      <c r="H4345" s="199" t="s">
        <v>7213</v>
      </c>
      <c r="I4345" s="197" t="s">
        <v>7211</v>
      </c>
      <c r="J4345" s="148" t="s">
        <v>63</v>
      </c>
      <c r="K4345" s="148" t="s">
        <v>64</v>
      </c>
      <c r="L4345" s="148" t="s">
        <v>65</v>
      </c>
      <c r="M4345" s="148" t="s">
        <v>66</v>
      </c>
      <c r="N4345" s="212">
        <v>46194.0</v>
      </c>
      <c r="O4345" s="148" t="s">
        <v>67</v>
      </c>
      <c r="P4345" s="148" t="s">
        <v>68</v>
      </c>
      <c r="Q4345" s="103"/>
      <c r="R4345" s="103"/>
      <c r="S4345" s="103"/>
      <c r="T4345" s="103"/>
      <c r="U4345" s="148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1">
        <v>4340.0</v>
      </c>
      <c r="B4346" s="90" t="s">
        <v>7269</v>
      </c>
      <c r="C4346" s="82" t="str">
        <f>VLOOKUP($B$7:$B$5000,SUM!$L$6:$L$500,1,FALSE)</f>
        <v>#N/A</v>
      </c>
      <c r="D4346" s="190" t="s">
        <v>7170</v>
      </c>
      <c r="E4346" s="198" t="s">
        <v>58</v>
      </c>
      <c r="F4346" s="199" t="s">
        <v>4099</v>
      </c>
      <c r="G4346" s="191" t="s">
        <v>3272</v>
      </c>
      <c r="H4346" s="199" t="s">
        <v>7215</v>
      </c>
      <c r="I4346" s="197" t="s">
        <v>7211</v>
      </c>
      <c r="J4346" s="148" t="s">
        <v>63</v>
      </c>
      <c r="K4346" s="148" t="s">
        <v>64</v>
      </c>
      <c r="L4346" s="148" t="s">
        <v>65</v>
      </c>
      <c r="M4346" s="148" t="s">
        <v>66</v>
      </c>
      <c r="N4346" s="212">
        <v>46194.0</v>
      </c>
      <c r="O4346" s="148" t="s">
        <v>67</v>
      </c>
      <c r="P4346" s="148" t="s">
        <v>68</v>
      </c>
      <c r="Q4346" s="103"/>
      <c r="R4346" s="103"/>
      <c r="S4346" s="103"/>
      <c r="T4346" s="103"/>
      <c r="U4346" s="148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1">
        <v>4341.0</v>
      </c>
      <c r="B4347" s="90" t="s">
        <v>7270</v>
      </c>
      <c r="C4347" s="82" t="str">
        <f>VLOOKUP($B$7:$B$5000,SUM!$L$6:$L$500,1,FALSE)</f>
        <v>#N/A</v>
      </c>
      <c r="D4347" s="190" t="s">
        <v>7170</v>
      </c>
      <c r="E4347" s="198" t="s">
        <v>58</v>
      </c>
      <c r="F4347" s="199" t="s">
        <v>4099</v>
      </c>
      <c r="G4347" s="191" t="s">
        <v>3272</v>
      </c>
      <c r="H4347" s="199" t="s">
        <v>7217</v>
      </c>
      <c r="I4347" s="197" t="s">
        <v>7211</v>
      </c>
      <c r="J4347" s="148" t="s">
        <v>63</v>
      </c>
      <c r="K4347" s="148" t="s">
        <v>64</v>
      </c>
      <c r="L4347" s="148" t="s">
        <v>65</v>
      </c>
      <c r="M4347" s="148" t="s">
        <v>66</v>
      </c>
      <c r="N4347" s="212">
        <v>46194.0</v>
      </c>
      <c r="O4347" s="148" t="s">
        <v>67</v>
      </c>
      <c r="P4347" s="148" t="s">
        <v>68</v>
      </c>
      <c r="Q4347" s="103"/>
      <c r="R4347" s="103"/>
      <c r="S4347" s="103"/>
      <c r="T4347" s="103"/>
      <c r="U4347" s="148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1">
        <v>4342.0</v>
      </c>
      <c r="B4348" s="90" t="s">
        <v>7271</v>
      </c>
      <c r="C4348" s="82" t="str">
        <f>VLOOKUP($B$7:$B$5000,SUM!$L$6:$L$500,1,FALSE)</f>
        <v>#N/A</v>
      </c>
      <c r="D4348" s="190" t="s">
        <v>7170</v>
      </c>
      <c r="E4348" s="198" t="s">
        <v>58</v>
      </c>
      <c r="F4348" s="199" t="s">
        <v>4099</v>
      </c>
      <c r="G4348" s="191" t="s">
        <v>3272</v>
      </c>
      <c r="H4348" s="199" t="s">
        <v>7219</v>
      </c>
      <c r="I4348" s="197" t="s">
        <v>7211</v>
      </c>
      <c r="J4348" s="148" t="s">
        <v>63</v>
      </c>
      <c r="K4348" s="148" t="s">
        <v>64</v>
      </c>
      <c r="L4348" s="148" t="s">
        <v>65</v>
      </c>
      <c r="M4348" s="148" t="s">
        <v>66</v>
      </c>
      <c r="N4348" s="212">
        <v>46194.0</v>
      </c>
      <c r="O4348" s="148" t="s">
        <v>67</v>
      </c>
      <c r="P4348" s="148" t="s">
        <v>68</v>
      </c>
      <c r="Q4348" s="103"/>
      <c r="R4348" s="103"/>
      <c r="S4348" s="103"/>
      <c r="T4348" s="103"/>
      <c r="U4348" s="148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1">
        <v>4343.0</v>
      </c>
      <c r="B4349" s="90" t="s">
        <v>7272</v>
      </c>
      <c r="C4349" s="82" t="str">
        <f>VLOOKUP($B$7:$B$5000,SUM!$L$6:$L$500,1,FALSE)</f>
        <v>#N/A</v>
      </c>
      <c r="D4349" s="190" t="s">
        <v>7170</v>
      </c>
      <c r="E4349" s="198" t="s">
        <v>58</v>
      </c>
      <c r="F4349" s="199" t="s">
        <v>4099</v>
      </c>
      <c r="G4349" s="191" t="s">
        <v>3272</v>
      </c>
      <c r="H4349" s="199" t="s">
        <v>7221</v>
      </c>
      <c r="I4349" s="197" t="s">
        <v>7211</v>
      </c>
      <c r="J4349" s="148" t="s">
        <v>63</v>
      </c>
      <c r="K4349" s="148" t="s">
        <v>64</v>
      </c>
      <c r="L4349" s="148" t="s">
        <v>65</v>
      </c>
      <c r="M4349" s="148" t="s">
        <v>66</v>
      </c>
      <c r="N4349" s="212">
        <v>46194.0</v>
      </c>
      <c r="O4349" s="148" t="s">
        <v>67</v>
      </c>
      <c r="P4349" s="148" t="s">
        <v>68</v>
      </c>
      <c r="Q4349" s="103"/>
      <c r="R4349" s="103"/>
      <c r="S4349" s="103"/>
      <c r="T4349" s="103"/>
      <c r="U4349" s="148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1">
        <v>4344.0</v>
      </c>
      <c r="B4350" s="90" t="s">
        <v>7273</v>
      </c>
      <c r="C4350" s="82" t="str">
        <f>VLOOKUP($B$7:$B$5000,SUM!$L$6:$L$500,1,FALSE)</f>
        <v>#N/A</v>
      </c>
      <c r="D4350" s="190" t="s">
        <v>7170</v>
      </c>
      <c r="E4350" s="198" t="s">
        <v>58</v>
      </c>
      <c r="F4350" s="199" t="s">
        <v>4099</v>
      </c>
      <c r="G4350" s="191" t="s">
        <v>3272</v>
      </c>
      <c r="H4350" s="199" t="s">
        <v>7223</v>
      </c>
      <c r="I4350" s="197" t="s">
        <v>7211</v>
      </c>
      <c r="J4350" s="148" t="s">
        <v>63</v>
      </c>
      <c r="K4350" s="148" t="s">
        <v>64</v>
      </c>
      <c r="L4350" s="148" t="s">
        <v>65</v>
      </c>
      <c r="M4350" s="148" t="s">
        <v>66</v>
      </c>
      <c r="N4350" s="212">
        <v>46194.0</v>
      </c>
      <c r="O4350" s="148" t="s">
        <v>67</v>
      </c>
      <c r="P4350" s="148" t="s">
        <v>68</v>
      </c>
      <c r="Q4350" s="103"/>
      <c r="R4350" s="103"/>
      <c r="S4350" s="103"/>
      <c r="T4350" s="103"/>
      <c r="U4350" s="148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1">
        <v>4345.0</v>
      </c>
      <c r="B4351" s="90" t="s">
        <v>7274</v>
      </c>
      <c r="C4351" s="82" t="str">
        <f>VLOOKUP($B$7:$B$5000,SUM!$L$6:$L$500,1,FALSE)</f>
        <v>#N/A</v>
      </c>
      <c r="D4351" s="190" t="s">
        <v>7170</v>
      </c>
      <c r="E4351" s="198" t="s">
        <v>58</v>
      </c>
      <c r="F4351" s="199" t="s">
        <v>4099</v>
      </c>
      <c r="G4351" s="191" t="s">
        <v>3272</v>
      </c>
      <c r="H4351" s="199" t="s">
        <v>7225</v>
      </c>
      <c r="I4351" s="197" t="s">
        <v>7211</v>
      </c>
      <c r="J4351" s="148" t="s">
        <v>63</v>
      </c>
      <c r="K4351" s="148" t="s">
        <v>64</v>
      </c>
      <c r="L4351" s="148" t="s">
        <v>65</v>
      </c>
      <c r="M4351" s="148" t="s">
        <v>66</v>
      </c>
      <c r="N4351" s="212">
        <v>46194.0</v>
      </c>
      <c r="O4351" s="148" t="s">
        <v>67</v>
      </c>
      <c r="P4351" s="148" t="s">
        <v>68</v>
      </c>
      <c r="Q4351" s="103"/>
      <c r="R4351" s="103"/>
      <c r="S4351" s="103"/>
      <c r="T4351" s="103"/>
      <c r="U4351" s="148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1">
        <v>4346.0</v>
      </c>
      <c r="B4352" s="90" t="s">
        <v>7275</v>
      </c>
      <c r="C4352" s="82" t="str">
        <f>VLOOKUP($B$7:$B$5000,SUM!$L$6:$L$500,1,FALSE)</f>
        <v>#N/A</v>
      </c>
      <c r="D4352" s="190" t="s">
        <v>7170</v>
      </c>
      <c r="E4352" s="198" t="s">
        <v>58</v>
      </c>
      <c r="F4352" s="199" t="s">
        <v>4099</v>
      </c>
      <c r="G4352" s="191" t="s">
        <v>3272</v>
      </c>
      <c r="H4352" s="199" t="s">
        <v>7227</v>
      </c>
      <c r="I4352" s="197" t="s">
        <v>7211</v>
      </c>
      <c r="J4352" s="148" t="s">
        <v>63</v>
      </c>
      <c r="K4352" s="148" t="s">
        <v>64</v>
      </c>
      <c r="L4352" s="148" t="s">
        <v>65</v>
      </c>
      <c r="M4352" s="148" t="s">
        <v>66</v>
      </c>
      <c r="N4352" s="212">
        <v>46194.0</v>
      </c>
      <c r="O4352" s="148" t="s">
        <v>67</v>
      </c>
      <c r="P4352" s="148" t="s">
        <v>68</v>
      </c>
      <c r="Q4352" s="103"/>
      <c r="R4352" s="103"/>
      <c r="S4352" s="103"/>
      <c r="T4352" s="103"/>
      <c r="U4352" s="148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1">
        <v>4347.0</v>
      </c>
      <c r="B4353" s="90" t="s">
        <v>7276</v>
      </c>
      <c r="C4353" s="82" t="str">
        <f>VLOOKUP($B$7:$B$5000,SUM!$L$6:$L$500,1,FALSE)</f>
        <v>#N/A</v>
      </c>
      <c r="D4353" s="190" t="s">
        <v>7170</v>
      </c>
      <c r="E4353" s="198" t="s">
        <v>58</v>
      </c>
      <c r="F4353" s="199" t="s">
        <v>4099</v>
      </c>
      <c r="G4353" s="191" t="s">
        <v>3272</v>
      </c>
      <c r="H4353" s="199" t="s">
        <v>7229</v>
      </c>
      <c r="I4353" s="197" t="s">
        <v>7211</v>
      </c>
      <c r="J4353" s="148" t="s">
        <v>63</v>
      </c>
      <c r="K4353" s="148" t="s">
        <v>64</v>
      </c>
      <c r="L4353" s="148" t="s">
        <v>65</v>
      </c>
      <c r="M4353" s="148" t="s">
        <v>66</v>
      </c>
      <c r="N4353" s="212">
        <v>46194.0</v>
      </c>
      <c r="O4353" s="148" t="s">
        <v>67</v>
      </c>
      <c r="P4353" s="148" t="s">
        <v>68</v>
      </c>
      <c r="Q4353" s="103"/>
      <c r="R4353" s="103"/>
      <c r="S4353" s="103"/>
      <c r="T4353" s="103"/>
      <c r="U4353" s="148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1">
        <v>4348.0</v>
      </c>
      <c r="B4354" s="90" t="s">
        <v>7277</v>
      </c>
      <c r="C4354" s="82" t="str">
        <f>VLOOKUP($B$7:$B$5000,SUM!$L$6:$L$500,1,FALSE)</f>
        <v>#N/A</v>
      </c>
      <c r="D4354" s="190" t="s">
        <v>7170</v>
      </c>
      <c r="E4354" s="198" t="s">
        <v>58</v>
      </c>
      <c r="F4354" s="199" t="s">
        <v>4099</v>
      </c>
      <c r="G4354" s="191" t="s">
        <v>3272</v>
      </c>
      <c r="H4354" s="199" t="s">
        <v>7231</v>
      </c>
      <c r="I4354" s="197" t="s">
        <v>7211</v>
      </c>
      <c r="J4354" s="148" t="s">
        <v>63</v>
      </c>
      <c r="K4354" s="148" t="s">
        <v>64</v>
      </c>
      <c r="L4354" s="148" t="s">
        <v>65</v>
      </c>
      <c r="M4354" s="148" t="s">
        <v>66</v>
      </c>
      <c r="N4354" s="212">
        <v>46194.0</v>
      </c>
      <c r="O4354" s="148" t="s">
        <v>67</v>
      </c>
      <c r="P4354" s="148" t="s">
        <v>68</v>
      </c>
      <c r="Q4354" s="103"/>
      <c r="R4354" s="103"/>
      <c r="S4354" s="103"/>
      <c r="T4354" s="103"/>
      <c r="U4354" s="148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1">
        <v>4349.0</v>
      </c>
      <c r="B4355" s="90" t="s">
        <v>7278</v>
      </c>
      <c r="C4355" s="82" t="str">
        <f>VLOOKUP($B$7:$B$5000,SUM!$L$6:$L$500,1,FALSE)</f>
        <v>#N/A</v>
      </c>
      <c r="D4355" s="190" t="s">
        <v>7170</v>
      </c>
      <c r="E4355" s="198" t="s">
        <v>58</v>
      </c>
      <c r="F4355" s="199" t="s">
        <v>4099</v>
      </c>
      <c r="G4355" s="191" t="s">
        <v>3272</v>
      </c>
      <c r="H4355" s="199" t="s">
        <v>7233</v>
      </c>
      <c r="I4355" s="197" t="s">
        <v>7211</v>
      </c>
      <c r="J4355" s="148" t="s">
        <v>63</v>
      </c>
      <c r="K4355" s="148" t="s">
        <v>64</v>
      </c>
      <c r="L4355" s="148" t="s">
        <v>65</v>
      </c>
      <c r="M4355" s="148" t="s">
        <v>66</v>
      </c>
      <c r="N4355" s="212">
        <v>46194.0</v>
      </c>
      <c r="O4355" s="148" t="s">
        <v>67</v>
      </c>
      <c r="P4355" s="148" t="s">
        <v>68</v>
      </c>
      <c r="Q4355" s="103"/>
      <c r="R4355" s="103"/>
      <c r="S4355" s="103"/>
      <c r="T4355" s="103"/>
      <c r="U4355" s="148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1">
        <v>4350.0</v>
      </c>
      <c r="B4356" s="90" t="s">
        <v>7279</v>
      </c>
      <c r="C4356" s="82" t="str">
        <f>VLOOKUP($B$7:$B$5000,SUM!$L$6:$L$500,1,FALSE)</f>
        <v>#N/A</v>
      </c>
      <c r="D4356" s="190" t="s">
        <v>7170</v>
      </c>
      <c r="E4356" s="198" t="s">
        <v>58</v>
      </c>
      <c r="F4356" s="199" t="s">
        <v>4099</v>
      </c>
      <c r="G4356" s="191" t="s">
        <v>3272</v>
      </c>
      <c r="H4356" s="199" t="s">
        <v>7235</v>
      </c>
      <c r="I4356" s="197" t="s">
        <v>7211</v>
      </c>
      <c r="J4356" s="148" t="s">
        <v>63</v>
      </c>
      <c r="K4356" s="148" t="s">
        <v>64</v>
      </c>
      <c r="L4356" s="148" t="s">
        <v>65</v>
      </c>
      <c r="M4356" s="148" t="s">
        <v>66</v>
      </c>
      <c r="N4356" s="212">
        <v>46194.0</v>
      </c>
      <c r="O4356" s="148" t="s">
        <v>67</v>
      </c>
      <c r="P4356" s="148" t="s">
        <v>68</v>
      </c>
      <c r="Q4356" s="103"/>
      <c r="R4356" s="103"/>
      <c r="S4356" s="103"/>
      <c r="T4356" s="103"/>
      <c r="U4356" s="148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1">
        <v>4351.0</v>
      </c>
      <c r="B4357" s="90" t="s">
        <v>7280</v>
      </c>
      <c r="C4357" s="82" t="str">
        <f>VLOOKUP($B$7:$B$5000,SUM!$L$6:$L$500,1,FALSE)</f>
        <v>#N/A</v>
      </c>
      <c r="D4357" s="190" t="s">
        <v>7170</v>
      </c>
      <c r="E4357" s="198" t="s">
        <v>58</v>
      </c>
      <c r="F4357" s="199" t="s">
        <v>4099</v>
      </c>
      <c r="G4357" s="191" t="s">
        <v>3272</v>
      </c>
      <c r="H4357" s="199" t="s">
        <v>7237</v>
      </c>
      <c r="I4357" s="197" t="s">
        <v>7211</v>
      </c>
      <c r="J4357" s="148" t="s">
        <v>63</v>
      </c>
      <c r="K4357" s="148" t="s">
        <v>64</v>
      </c>
      <c r="L4357" s="148" t="s">
        <v>65</v>
      </c>
      <c r="M4357" s="148" t="s">
        <v>66</v>
      </c>
      <c r="N4357" s="212">
        <v>46194.0</v>
      </c>
      <c r="O4357" s="148" t="s">
        <v>67</v>
      </c>
      <c r="P4357" s="148" t="s">
        <v>68</v>
      </c>
      <c r="Q4357" s="103"/>
      <c r="R4357" s="103"/>
      <c r="S4357" s="103"/>
      <c r="T4357" s="103"/>
      <c r="U4357" s="148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1">
        <v>4352.0</v>
      </c>
      <c r="B4358" s="90" t="s">
        <v>7281</v>
      </c>
      <c r="C4358" s="82" t="str">
        <f>VLOOKUP($B$7:$B$5000,SUM!$L$6:$L$500,1,FALSE)</f>
        <v>#N/A</v>
      </c>
      <c r="D4358" s="190" t="s">
        <v>7170</v>
      </c>
      <c r="E4358" s="198" t="s">
        <v>58</v>
      </c>
      <c r="F4358" s="199" t="s">
        <v>4099</v>
      </c>
      <c r="G4358" s="191" t="s">
        <v>3272</v>
      </c>
      <c r="H4358" s="199" t="s">
        <v>7239</v>
      </c>
      <c r="I4358" s="197" t="s">
        <v>7211</v>
      </c>
      <c r="J4358" s="148" t="s">
        <v>63</v>
      </c>
      <c r="K4358" s="148" t="s">
        <v>64</v>
      </c>
      <c r="L4358" s="148" t="s">
        <v>65</v>
      </c>
      <c r="M4358" s="148" t="s">
        <v>66</v>
      </c>
      <c r="N4358" s="212">
        <v>46194.0</v>
      </c>
      <c r="O4358" s="148" t="s">
        <v>67</v>
      </c>
      <c r="P4358" s="148" t="s">
        <v>68</v>
      </c>
      <c r="Q4358" s="103"/>
      <c r="R4358" s="103"/>
      <c r="S4358" s="103"/>
      <c r="T4358" s="103"/>
      <c r="U4358" s="148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1">
        <v>4353.0</v>
      </c>
      <c r="B4359" s="90" t="s">
        <v>7282</v>
      </c>
      <c r="C4359" s="82" t="str">
        <f>VLOOKUP($B$7:$B$5000,SUM!$L$6:$L$500,1,FALSE)</f>
        <v>#N/A</v>
      </c>
      <c r="D4359" s="190" t="s">
        <v>7170</v>
      </c>
      <c r="E4359" s="198" t="s">
        <v>58</v>
      </c>
      <c r="F4359" s="199" t="s">
        <v>4099</v>
      </c>
      <c r="G4359" s="191" t="s">
        <v>3272</v>
      </c>
      <c r="H4359" s="199" t="s">
        <v>7241</v>
      </c>
      <c r="I4359" s="197" t="s">
        <v>7211</v>
      </c>
      <c r="J4359" s="148" t="s">
        <v>63</v>
      </c>
      <c r="K4359" s="148" t="s">
        <v>64</v>
      </c>
      <c r="L4359" s="148" t="s">
        <v>65</v>
      </c>
      <c r="M4359" s="148" t="s">
        <v>66</v>
      </c>
      <c r="N4359" s="212">
        <v>46194.0</v>
      </c>
      <c r="O4359" s="148" t="s">
        <v>67</v>
      </c>
      <c r="P4359" s="148" t="s">
        <v>68</v>
      </c>
      <c r="Q4359" s="103"/>
      <c r="R4359" s="103"/>
      <c r="S4359" s="103"/>
      <c r="T4359" s="103"/>
      <c r="U4359" s="148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1">
        <v>4354.0</v>
      </c>
      <c r="B4360" s="90" t="s">
        <v>7283</v>
      </c>
      <c r="C4360" s="82" t="str">
        <f>VLOOKUP($B$7:$B$5000,SUM!$L$6:$L$500,1,FALSE)</f>
        <v>#N/A</v>
      </c>
      <c r="D4360" s="190" t="s">
        <v>7170</v>
      </c>
      <c r="E4360" s="198" t="s">
        <v>58</v>
      </c>
      <c r="F4360" s="199" t="s">
        <v>4099</v>
      </c>
      <c r="G4360" s="191" t="s">
        <v>3272</v>
      </c>
      <c r="H4360" s="199" t="s">
        <v>7243</v>
      </c>
      <c r="I4360" s="197" t="s">
        <v>7211</v>
      </c>
      <c r="J4360" s="148" t="s">
        <v>63</v>
      </c>
      <c r="K4360" s="148" t="s">
        <v>64</v>
      </c>
      <c r="L4360" s="148" t="s">
        <v>65</v>
      </c>
      <c r="M4360" s="148" t="s">
        <v>66</v>
      </c>
      <c r="N4360" s="212">
        <v>46194.0</v>
      </c>
      <c r="O4360" s="148" t="s">
        <v>67</v>
      </c>
      <c r="P4360" s="148" t="s">
        <v>68</v>
      </c>
      <c r="Q4360" s="103"/>
      <c r="R4360" s="103"/>
      <c r="S4360" s="103"/>
      <c r="T4360" s="103"/>
      <c r="U4360" s="148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1">
        <v>4355.0</v>
      </c>
      <c r="B4361" s="90" t="s">
        <v>7284</v>
      </c>
      <c r="C4361" s="82" t="str">
        <f>VLOOKUP($B$7:$B$5000,SUM!$L$6:$L$500,1,FALSE)</f>
        <v>#N/A</v>
      </c>
      <c r="D4361" s="190" t="s">
        <v>7170</v>
      </c>
      <c r="E4361" s="198" t="s">
        <v>58</v>
      </c>
      <c r="F4361" s="199" t="s">
        <v>4099</v>
      </c>
      <c r="G4361" s="191" t="s">
        <v>3272</v>
      </c>
      <c r="H4361" s="199" t="s">
        <v>7245</v>
      </c>
      <c r="I4361" s="197" t="s">
        <v>7211</v>
      </c>
      <c r="J4361" s="148" t="s">
        <v>63</v>
      </c>
      <c r="K4361" s="148" t="s">
        <v>64</v>
      </c>
      <c r="L4361" s="148" t="s">
        <v>65</v>
      </c>
      <c r="M4361" s="148" t="s">
        <v>66</v>
      </c>
      <c r="N4361" s="212">
        <v>46194.0</v>
      </c>
      <c r="O4361" s="148" t="s">
        <v>67</v>
      </c>
      <c r="P4361" s="148" t="s">
        <v>68</v>
      </c>
      <c r="Q4361" s="103"/>
      <c r="R4361" s="103"/>
      <c r="S4361" s="103"/>
      <c r="T4361" s="103"/>
      <c r="U4361" s="148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1">
        <v>4356.0</v>
      </c>
      <c r="B4362" s="90" t="s">
        <v>7285</v>
      </c>
      <c r="C4362" s="82" t="str">
        <f>VLOOKUP($B$7:$B$5000,SUM!$L$6:$L$500,1,FALSE)</f>
        <v>#N/A</v>
      </c>
      <c r="D4362" s="190" t="s">
        <v>7170</v>
      </c>
      <c r="E4362" s="198" t="s">
        <v>58</v>
      </c>
      <c r="F4362" s="199" t="s">
        <v>4099</v>
      </c>
      <c r="G4362" s="191" t="s">
        <v>3272</v>
      </c>
      <c r="H4362" s="199" t="s">
        <v>7247</v>
      </c>
      <c r="I4362" s="197" t="s">
        <v>7211</v>
      </c>
      <c r="J4362" s="148" t="s">
        <v>63</v>
      </c>
      <c r="K4362" s="148" t="s">
        <v>64</v>
      </c>
      <c r="L4362" s="148" t="s">
        <v>65</v>
      </c>
      <c r="M4362" s="148" t="s">
        <v>66</v>
      </c>
      <c r="N4362" s="212">
        <v>46194.0</v>
      </c>
      <c r="O4362" s="148" t="s">
        <v>67</v>
      </c>
      <c r="P4362" s="148" t="s">
        <v>68</v>
      </c>
      <c r="Q4362" s="103"/>
      <c r="R4362" s="103"/>
      <c r="S4362" s="103"/>
      <c r="T4362" s="103"/>
      <c r="U4362" s="148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1">
        <v>4357.0</v>
      </c>
      <c r="B4363" s="90" t="s">
        <v>7286</v>
      </c>
      <c r="C4363" s="82" t="str">
        <f>VLOOKUP($B$7:$B$5000,SUM!$L$6:$L$500,1,FALSE)</f>
        <v>#N/A</v>
      </c>
      <c r="D4363" s="190" t="s">
        <v>7170</v>
      </c>
      <c r="E4363" s="198" t="s">
        <v>58</v>
      </c>
      <c r="F4363" s="199" t="s">
        <v>4099</v>
      </c>
      <c r="G4363" s="191" t="s">
        <v>3272</v>
      </c>
      <c r="H4363" s="199" t="s">
        <v>7171</v>
      </c>
      <c r="I4363" s="197" t="s">
        <v>7287</v>
      </c>
      <c r="J4363" s="148" t="s">
        <v>108</v>
      </c>
      <c r="K4363" s="148" t="s">
        <v>64</v>
      </c>
      <c r="L4363" s="148" t="s">
        <v>65</v>
      </c>
      <c r="M4363" s="148" t="s">
        <v>66</v>
      </c>
      <c r="N4363" s="212">
        <v>46194.0</v>
      </c>
      <c r="O4363" s="148" t="s">
        <v>67</v>
      </c>
      <c r="P4363" s="148" t="s">
        <v>68</v>
      </c>
      <c r="Q4363" s="103"/>
      <c r="R4363" s="103"/>
      <c r="S4363" s="103"/>
      <c r="T4363" s="103"/>
      <c r="U4363" s="148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1">
        <v>4358.0</v>
      </c>
      <c r="B4364" s="90" t="s">
        <v>7288</v>
      </c>
      <c r="C4364" s="82" t="str">
        <f>VLOOKUP($B$7:$B$5000,SUM!$L$6:$L$500,1,FALSE)</f>
        <v>#N/A</v>
      </c>
      <c r="D4364" s="190" t="s">
        <v>7170</v>
      </c>
      <c r="E4364" s="198" t="s">
        <v>58</v>
      </c>
      <c r="F4364" s="199" t="s">
        <v>4099</v>
      </c>
      <c r="G4364" s="191" t="s">
        <v>3272</v>
      </c>
      <c r="H4364" s="199" t="s">
        <v>7176</v>
      </c>
      <c r="I4364" s="197" t="s">
        <v>7287</v>
      </c>
      <c r="J4364" s="148" t="s">
        <v>108</v>
      </c>
      <c r="K4364" s="148" t="s">
        <v>64</v>
      </c>
      <c r="L4364" s="148" t="s">
        <v>65</v>
      </c>
      <c r="M4364" s="148" t="s">
        <v>66</v>
      </c>
      <c r="N4364" s="212">
        <v>46194.0</v>
      </c>
      <c r="O4364" s="148" t="s">
        <v>67</v>
      </c>
      <c r="P4364" s="148" t="s">
        <v>68</v>
      </c>
      <c r="Q4364" s="103"/>
      <c r="R4364" s="103"/>
      <c r="S4364" s="103"/>
      <c r="T4364" s="103"/>
      <c r="U4364" s="148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1">
        <v>4359.0</v>
      </c>
      <c r="B4365" s="90" t="s">
        <v>7289</v>
      </c>
      <c r="C4365" s="82" t="str">
        <f>VLOOKUP($B$7:$B$5000,SUM!$L$6:$L$500,1,FALSE)</f>
        <v>#N/A</v>
      </c>
      <c r="D4365" s="190" t="s">
        <v>7170</v>
      </c>
      <c r="E4365" s="198" t="s">
        <v>58</v>
      </c>
      <c r="F4365" s="199" t="s">
        <v>4099</v>
      </c>
      <c r="G4365" s="191" t="s">
        <v>3272</v>
      </c>
      <c r="H4365" s="199" t="s">
        <v>7182</v>
      </c>
      <c r="I4365" s="197" t="s">
        <v>7287</v>
      </c>
      <c r="J4365" s="148" t="s">
        <v>108</v>
      </c>
      <c r="K4365" s="148" t="s">
        <v>64</v>
      </c>
      <c r="L4365" s="148" t="s">
        <v>65</v>
      </c>
      <c r="M4365" s="148" t="s">
        <v>66</v>
      </c>
      <c r="N4365" s="212">
        <v>46194.0</v>
      </c>
      <c r="O4365" s="148" t="s">
        <v>67</v>
      </c>
      <c r="P4365" s="148" t="s">
        <v>68</v>
      </c>
      <c r="Q4365" s="103"/>
      <c r="R4365" s="103"/>
      <c r="S4365" s="103"/>
      <c r="T4365" s="103"/>
      <c r="U4365" s="148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1">
        <v>4360.0</v>
      </c>
      <c r="B4366" s="90" t="s">
        <v>7290</v>
      </c>
      <c r="C4366" s="82" t="str">
        <f>VLOOKUP($B$7:$B$5000,SUM!$L$6:$L$500,1,FALSE)</f>
        <v>#N/A</v>
      </c>
      <c r="D4366" s="190" t="s">
        <v>7170</v>
      </c>
      <c r="E4366" s="198" t="s">
        <v>58</v>
      </c>
      <c r="F4366" s="199" t="s">
        <v>4099</v>
      </c>
      <c r="G4366" s="191" t="s">
        <v>3272</v>
      </c>
      <c r="H4366" s="199" t="s">
        <v>7188</v>
      </c>
      <c r="I4366" s="197" t="s">
        <v>7287</v>
      </c>
      <c r="J4366" s="148" t="s">
        <v>108</v>
      </c>
      <c r="K4366" s="148" t="s">
        <v>64</v>
      </c>
      <c r="L4366" s="148" t="s">
        <v>65</v>
      </c>
      <c r="M4366" s="148" t="s">
        <v>66</v>
      </c>
      <c r="N4366" s="212">
        <v>46194.0</v>
      </c>
      <c r="O4366" s="148" t="s">
        <v>67</v>
      </c>
      <c r="P4366" s="148" t="s">
        <v>68</v>
      </c>
      <c r="Q4366" s="103"/>
      <c r="R4366" s="103"/>
      <c r="S4366" s="103"/>
      <c r="T4366" s="103"/>
      <c r="U4366" s="148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1">
        <v>4361.0</v>
      </c>
      <c r="B4367" s="90" t="s">
        <v>7291</v>
      </c>
      <c r="C4367" s="82" t="str">
        <f>VLOOKUP($B$7:$B$5000,SUM!$L$6:$L$500,1,FALSE)</f>
        <v>#N/A</v>
      </c>
      <c r="D4367" s="190" t="s">
        <v>7170</v>
      </c>
      <c r="E4367" s="198" t="s">
        <v>58</v>
      </c>
      <c r="F4367" s="199" t="s">
        <v>4099</v>
      </c>
      <c r="G4367" s="191" t="s">
        <v>3272</v>
      </c>
      <c r="H4367" s="199" t="s">
        <v>7190</v>
      </c>
      <c r="I4367" s="197" t="s">
        <v>7287</v>
      </c>
      <c r="J4367" s="148" t="s">
        <v>108</v>
      </c>
      <c r="K4367" s="148" t="s">
        <v>64</v>
      </c>
      <c r="L4367" s="148" t="s">
        <v>65</v>
      </c>
      <c r="M4367" s="148" t="s">
        <v>66</v>
      </c>
      <c r="N4367" s="212">
        <v>46194.0</v>
      </c>
      <c r="O4367" s="148" t="s">
        <v>67</v>
      </c>
      <c r="P4367" s="148" t="s">
        <v>68</v>
      </c>
      <c r="Q4367" s="103"/>
      <c r="R4367" s="103"/>
      <c r="S4367" s="103"/>
      <c r="T4367" s="103"/>
      <c r="U4367" s="148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1">
        <v>4362.0</v>
      </c>
      <c r="B4368" s="90" t="s">
        <v>7292</v>
      </c>
      <c r="C4368" s="82" t="str">
        <f>VLOOKUP($B$7:$B$5000,SUM!$L$6:$L$500,1,FALSE)</f>
        <v>#N/A</v>
      </c>
      <c r="D4368" s="190" t="s">
        <v>7170</v>
      </c>
      <c r="E4368" s="198" t="s">
        <v>58</v>
      </c>
      <c r="F4368" s="199" t="s">
        <v>4099</v>
      </c>
      <c r="G4368" s="191" t="s">
        <v>3272</v>
      </c>
      <c r="H4368" s="199" t="s">
        <v>7196</v>
      </c>
      <c r="I4368" s="197" t="s">
        <v>7287</v>
      </c>
      <c r="J4368" s="148" t="s">
        <v>108</v>
      </c>
      <c r="K4368" s="148" t="s">
        <v>64</v>
      </c>
      <c r="L4368" s="148" t="s">
        <v>65</v>
      </c>
      <c r="M4368" s="148" t="s">
        <v>66</v>
      </c>
      <c r="N4368" s="212">
        <v>46194.0</v>
      </c>
      <c r="O4368" s="148" t="s">
        <v>67</v>
      </c>
      <c r="P4368" s="148" t="s">
        <v>68</v>
      </c>
      <c r="Q4368" s="103"/>
      <c r="R4368" s="103"/>
      <c r="S4368" s="103"/>
      <c r="T4368" s="103"/>
      <c r="U4368" s="148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1">
        <v>4363.0</v>
      </c>
      <c r="B4369" s="90" t="s">
        <v>7293</v>
      </c>
      <c r="C4369" s="82" t="str">
        <f>VLOOKUP($B$7:$B$5000,SUM!$L$6:$L$500,1,FALSE)</f>
        <v>#N/A</v>
      </c>
      <c r="D4369" s="190" t="s">
        <v>7170</v>
      </c>
      <c r="E4369" s="198" t="s">
        <v>58</v>
      </c>
      <c r="F4369" s="199" t="s">
        <v>4099</v>
      </c>
      <c r="G4369" s="191" t="s">
        <v>3272</v>
      </c>
      <c r="H4369" s="199" t="s">
        <v>7198</v>
      </c>
      <c r="I4369" s="197" t="s">
        <v>7287</v>
      </c>
      <c r="J4369" s="148" t="s">
        <v>108</v>
      </c>
      <c r="K4369" s="148" t="s">
        <v>64</v>
      </c>
      <c r="L4369" s="148" t="s">
        <v>65</v>
      </c>
      <c r="M4369" s="148" t="s">
        <v>66</v>
      </c>
      <c r="N4369" s="212">
        <v>46194.0</v>
      </c>
      <c r="O4369" s="148" t="s">
        <v>67</v>
      </c>
      <c r="P4369" s="148" t="s">
        <v>68</v>
      </c>
      <c r="Q4369" s="103"/>
      <c r="R4369" s="103"/>
      <c r="S4369" s="103"/>
      <c r="T4369" s="103"/>
      <c r="U4369" s="148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1">
        <v>4364.0</v>
      </c>
      <c r="B4370" s="90" t="s">
        <v>7294</v>
      </c>
      <c r="C4370" s="82" t="str">
        <f>VLOOKUP($B$7:$B$5000,SUM!$L$6:$L$500,1,FALSE)</f>
        <v>#N/A</v>
      </c>
      <c r="D4370" s="190" t="s">
        <v>7170</v>
      </c>
      <c r="E4370" s="198" t="s">
        <v>58</v>
      </c>
      <c r="F4370" s="199" t="s">
        <v>4099</v>
      </c>
      <c r="G4370" s="191" t="s">
        <v>3272</v>
      </c>
      <c r="H4370" s="199" t="s">
        <v>7200</v>
      </c>
      <c r="I4370" s="197" t="s">
        <v>7287</v>
      </c>
      <c r="J4370" s="148" t="s">
        <v>108</v>
      </c>
      <c r="K4370" s="148" t="s">
        <v>64</v>
      </c>
      <c r="L4370" s="148" t="s">
        <v>65</v>
      </c>
      <c r="M4370" s="148" t="s">
        <v>66</v>
      </c>
      <c r="N4370" s="212">
        <v>46194.0</v>
      </c>
      <c r="O4370" s="148" t="s">
        <v>67</v>
      </c>
      <c r="P4370" s="148" t="s">
        <v>68</v>
      </c>
      <c r="Q4370" s="103"/>
      <c r="R4370" s="103"/>
      <c r="S4370" s="103"/>
      <c r="T4370" s="103"/>
      <c r="U4370" s="148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1">
        <v>4365.0</v>
      </c>
      <c r="B4371" s="90" t="s">
        <v>7295</v>
      </c>
      <c r="C4371" s="82" t="str">
        <f>VLOOKUP($B$7:$B$5000,SUM!$L$6:$L$500,1,FALSE)</f>
        <v>#N/A</v>
      </c>
      <c r="D4371" s="190" t="s">
        <v>7170</v>
      </c>
      <c r="E4371" s="198" t="s">
        <v>58</v>
      </c>
      <c r="F4371" s="199" t="s">
        <v>4099</v>
      </c>
      <c r="G4371" s="191" t="s">
        <v>3272</v>
      </c>
      <c r="H4371" s="199" t="s">
        <v>7202</v>
      </c>
      <c r="I4371" s="197" t="s">
        <v>7287</v>
      </c>
      <c r="J4371" s="148" t="s">
        <v>108</v>
      </c>
      <c r="K4371" s="148" t="s">
        <v>64</v>
      </c>
      <c r="L4371" s="148" t="s">
        <v>65</v>
      </c>
      <c r="M4371" s="148" t="s">
        <v>66</v>
      </c>
      <c r="N4371" s="212">
        <v>46194.0</v>
      </c>
      <c r="O4371" s="148" t="s">
        <v>67</v>
      </c>
      <c r="P4371" s="148" t="s">
        <v>68</v>
      </c>
      <c r="Q4371" s="103"/>
      <c r="R4371" s="103"/>
      <c r="S4371" s="103"/>
      <c r="T4371" s="103"/>
      <c r="U4371" s="148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1">
        <v>4366.0</v>
      </c>
      <c r="B4372" s="90" t="s">
        <v>7296</v>
      </c>
      <c r="C4372" s="82" t="str">
        <f>VLOOKUP($B$7:$B$5000,SUM!$L$6:$L$500,1,FALSE)</f>
        <v>#N/A</v>
      </c>
      <c r="D4372" s="190" t="s">
        <v>7170</v>
      </c>
      <c r="E4372" s="198" t="s">
        <v>58</v>
      </c>
      <c r="F4372" s="199" t="s">
        <v>4099</v>
      </c>
      <c r="G4372" s="191" t="s">
        <v>3272</v>
      </c>
      <c r="H4372" s="199" t="s">
        <v>7206</v>
      </c>
      <c r="I4372" s="197" t="s">
        <v>7287</v>
      </c>
      <c r="J4372" s="148" t="s">
        <v>108</v>
      </c>
      <c r="K4372" s="148" t="s">
        <v>64</v>
      </c>
      <c r="L4372" s="148" t="s">
        <v>65</v>
      </c>
      <c r="M4372" s="148" t="s">
        <v>66</v>
      </c>
      <c r="N4372" s="212">
        <v>46194.0</v>
      </c>
      <c r="O4372" s="148" t="s">
        <v>67</v>
      </c>
      <c r="P4372" s="148" t="s">
        <v>68</v>
      </c>
      <c r="Q4372" s="103"/>
      <c r="R4372" s="103"/>
      <c r="S4372" s="103"/>
      <c r="T4372" s="103"/>
      <c r="U4372" s="148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1">
        <v>4367.0</v>
      </c>
      <c r="B4373" s="90" t="s">
        <v>7297</v>
      </c>
      <c r="C4373" s="82" t="str">
        <f>VLOOKUP($B$7:$B$5000,SUM!$L$6:$L$500,1,FALSE)</f>
        <v>#N/A</v>
      </c>
      <c r="D4373" s="190" t="s">
        <v>7170</v>
      </c>
      <c r="E4373" s="198" t="s">
        <v>58</v>
      </c>
      <c r="F4373" s="199" t="s">
        <v>4099</v>
      </c>
      <c r="G4373" s="191" t="s">
        <v>3272</v>
      </c>
      <c r="H4373" s="199" t="s">
        <v>7210</v>
      </c>
      <c r="I4373" s="197" t="s">
        <v>7298</v>
      </c>
      <c r="J4373" s="148" t="s">
        <v>108</v>
      </c>
      <c r="K4373" s="148" t="s">
        <v>64</v>
      </c>
      <c r="L4373" s="148" t="s">
        <v>65</v>
      </c>
      <c r="M4373" s="148" t="s">
        <v>66</v>
      </c>
      <c r="N4373" s="212">
        <v>46194.0</v>
      </c>
      <c r="O4373" s="148" t="s">
        <v>67</v>
      </c>
      <c r="P4373" s="148" t="s">
        <v>68</v>
      </c>
      <c r="Q4373" s="103"/>
      <c r="R4373" s="103"/>
      <c r="S4373" s="103"/>
      <c r="T4373" s="103"/>
      <c r="U4373" s="148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1">
        <v>4368.0</v>
      </c>
      <c r="B4374" s="90" t="s">
        <v>7299</v>
      </c>
      <c r="C4374" s="82" t="str">
        <f>VLOOKUP($B$7:$B$5000,SUM!$L$6:$L$500,1,FALSE)</f>
        <v>#N/A</v>
      </c>
      <c r="D4374" s="190" t="s">
        <v>7170</v>
      </c>
      <c r="E4374" s="198" t="s">
        <v>58</v>
      </c>
      <c r="F4374" s="199" t="s">
        <v>4099</v>
      </c>
      <c r="G4374" s="191" t="s">
        <v>3272</v>
      </c>
      <c r="H4374" s="199" t="s">
        <v>7215</v>
      </c>
      <c r="I4374" s="197" t="s">
        <v>7298</v>
      </c>
      <c r="J4374" s="148" t="s">
        <v>108</v>
      </c>
      <c r="K4374" s="148" t="s">
        <v>64</v>
      </c>
      <c r="L4374" s="148" t="s">
        <v>65</v>
      </c>
      <c r="M4374" s="148" t="s">
        <v>66</v>
      </c>
      <c r="N4374" s="212">
        <v>46194.0</v>
      </c>
      <c r="O4374" s="148" t="s">
        <v>67</v>
      </c>
      <c r="P4374" s="148" t="s">
        <v>68</v>
      </c>
      <c r="Q4374" s="103"/>
      <c r="R4374" s="103"/>
      <c r="S4374" s="103"/>
      <c r="T4374" s="103"/>
      <c r="U4374" s="148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1">
        <v>4369.0</v>
      </c>
      <c r="B4375" s="90" t="s">
        <v>7300</v>
      </c>
      <c r="C4375" s="82" t="str">
        <f>VLOOKUP($B$7:$B$5000,SUM!$L$6:$L$500,1,FALSE)</f>
        <v>#N/A</v>
      </c>
      <c r="D4375" s="190" t="s">
        <v>7170</v>
      </c>
      <c r="E4375" s="198" t="s">
        <v>58</v>
      </c>
      <c r="F4375" s="199" t="s">
        <v>4099</v>
      </c>
      <c r="G4375" s="191" t="s">
        <v>3272</v>
      </c>
      <c r="H4375" s="199" t="s">
        <v>7217</v>
      </c>
      <c r="I4375" s="197" t="s">
        <v>7298</v>
      </c>
      <c r="J4375" s="148" t="s">
        <v>108</v>
      </c>
      <c r="K4375" s="148" t="s">
        <v>64</v>
      </c>
      <c r="L4375" s="148" t="s">
        <v>65</v>
      </c>
      <c r="M4375" s="148" t="s">
        <v>66</v>
      </c>
      <c r="N4375" s="212">
        <v>46194.0</v>
      </c>
      <c r="O4375" s="148" t="s">
        <v>67</v>
      </c>
      <c r="P4375" s="148" t="s">
        <v>68</v>
      </c>
      <c r="Q4375" s="103"/>
      <c r="R4375" s="103"/>
      <c r="S4375" s="103"/>
      <c r="T4375" s="103"/>
      <c r="U4375" s="148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1">
        <v>4370.0</v>
      </c>
      <c r="B4376" s="90" t="s">
        <v>7301</v>
      </c>
      <c r="C4376" s="82" t="str">
        <f>VLOOKUP($B$7:$B$5000,SUM!$L$6:$L$500,1,FALSE)</f>
        <v>#N/A</v>
      </c>
      <c r="D4376" s="190" t="s">
        <v>7170</v>
      </c>
      <c r="E4376" s="198" t="s">
        <v>58</v>
      </c>
      <c r="F4376" s="199" t="s">
        <v>4099</v>
      </c>
      <c r="G4376" s="191" t="s">
        <v>3272</v>
      </c>
      <c r="H4376" s="199" t="s">
        <v>7221</v>
      </c>
      <c r="I4376" s="197" t="s">
        <v>7298</v>
      </c>
      <c r="J4376" s="148" t="s">
        <v>108</v>
      </c>
      <c r="K4376" s="148" t="s">
        <v>64</v>
      </c>
      <c r="L4376" s="148" t="s">
        <v>65</v>
      </c>
      <c r="M4376" s="148" t="s">
        <v>66</v>
      </c>
      <c r="N4376" s="212">
        <v>46194.0</v>
      </c>
      <c r="O4376" s="148" t="s">
        <v>67</v>
      </c>
      <c r="P4376" s="148" t="s">
        <v>68</v>
      </c>
      <c r="Q4376" s="103"/>
      <c r="R4376" s="103"/>
      <c r="S4376" s="103"/>
      <c r="T4376" s="103"/>
      <c r="U4376" s="148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1">
        <v>4371.0</v>
      </c>
      <c r="B4377" s="90" t="s">
        <v>7302</v>
      </c>
      <c r="C4377" s="82" t="str">
        <f>VLOOKUP($B$7:$B$5000,SUM!$L$6:$L$500,1,FALSE)</f>
        <v>#N/A</v>
      </c>
      <c r="D4377" s="190" t="s">
        <v>7170</v>
      </c>
      <c r="E4377" s="198" t="s">
        <v>58</v>
      </c>
      <c r="F4377" s="199" t="s">
        <v>4099</v>
      </c>
      <c r="G4377" s="191" t="s">
        <v>3272</v>
      </c>
      <c r="H4377" s="199" t="s">
        <v>7227</v>
      </c>
      <c r="I4377" s="197" t="s">
        <v>7298</v>
      </c>
      <c r="J4377" s="148" t="s">
        <v>108</v>
      </c>
      <c r="K4377" s="148" t="s">
        <v>64</v>
      </c>
      <c r="L4377" s="148" t="s">
        <v>65</v>
      </c>
      <c r="M4377" s="148" t="s">
        <v>66</v>
      </c>
      <c r="N4377" s="212">
        <v>46194.0</v>
      </c>
      <c r="O4377" s="148" t="s">
        <v>67</v>
      </c>
      <c r="P4377" s="148" t="s">
        <v>68</v>
      </c>
      <c r="Q4377" s="103"/>
      <c r="R4377" s="103"/>
      <c r="S4377" s="103"/>
      <c r="T4377" s="103"/>
      <c r="U4377" s="148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1">
        <v>4372.0</v>
      </c>
      <c r="B4378" s="90" t="s">
        <v>7303</v>
      </c>
      <c r="C4378" s="82" t="str">
        <f>VLOOKUP($B$7:$B$5000,SUM!$L$6:$L$500,1,FALSE)</f>
        <v>#N/A</v>
      </c>
      <c r="D4378" s="190" t="s">
        <v>7170</v>
      </c>
      <c r="E4378" s="198" t="s">
        <v>58</v>
      </c>
      <c r="F4378" s="199" t="s">
        <v>4099</v>
      </c>
      <c r="G4378" s="191" t="s">
        <v>3272</v>
      </c>
      <c r="H4378" s="199" t="s">
        <v>7229</v>
      </c>
      <c r="I4378" s="197" t="s">
        <v>7298</v>
      </c>
      <c r="J4378" s="148" t="s">
        <v>108</v>
      </c>
      <c r="K4378" s="148" t="s">
        <v>64</v>
      </c>
      <c r="L4378" s="148" t="s">
        <v>65</v>
      </c>
      <c r="M4378" s="148" t="s">
        <v>66</v>
      </c>
      <c r="N4378" s="212">
        <v>46194.0</v>
      </c>
      <c r="O4378" s="148" t="s">
        <v>67</v>
      </c>
      <c r="P4378" s="148" t="s">
        <v>68</v>
      </c>
      <c r="Q4378" s="103"/>
      <c r="R4378" s="103"/>
      <c r="S4378" s="103"/>
      <c r="T4378" s="103"/>
      <c r="U4378" s="148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1">
        <v>4373.0</v>
      </c>
      <c r="B4379" s="90" t="s">
        <v>7304</v>
      </c>
      <c r="C4379" s="82" t="str">
        <f>VLOOKUP($B$7:$B$5000,SUM!$L$6:$L$500,1,FALSE)</f>
        <v>#N/A</v>
      </c>
      <c r="D4379" s="190" t="s">
        <v>7170</v>
      </c>
      <c r="E4379" s="198" t="s">
        <v>58</v>
      </c>
      <c r="F4379" s="199" t="s">
        <v>4099</v>
      </c>
      <c r="G4379" s="191" t="s">
        <v>3272</v>
      </c>
      <c r="H4379" s="199" t="s">
        <v>7235</v>
      </c>
      <c r="I4379" s="197" t="s">
        <v>7298</v>
      </c>
      <c r="J4379" s="148" t="s">
        <v>108</v>
      </c>
      <c r="K4379" s="148" t="s">
        <v>64</v>
      </c>
      <c r="L4379" s="148" t="s">
        <v>65</v>
      </c>
      <c r="M4379" s="148" t="s">
        <v>66</v>
      </c>
      <c r="N4379" s="212">
        <v>46194.0</v>
      </c>
      <c r="O4379" s="148" t="s">
        <v>67</v>
      </c>
      <c r="P4379" s="148" t="s">
        <v>68</v>
      </c>
      <c r="Q4379" s="103"/>
      <c r="R4379" s="103"/>
      <c r="S4379" s="103"/>
      <c r="T4379" s="103"/>
      <c r="U4379" s="148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1">
        <v>4374.0</v>
      </c>
      <c r="B4380" s="90" t="s">
        <v>7305</v>
      </c>
      <c r="C4380" s="82" t="str">
        <f>VLOOKUP($B$7:$B$5000,SUM!$L$6:$L$500,1,FALSE)</f>
        <v>#N/A</v>
      </c>
      <c r="D4380" s="190" t="s">
        <v>7170</v>
      </c>
      <c r="E4380" s="198" t="s">
        <v>58</v>
      </c>
      <c r="F4380" s="199" t="s">
        <v>4099</v>
      </c>
      <c r="G4380" s="191" t="s">
        <v>3272</v>
      </c>
      <c r="H4380" s="199" t="s">
        <v>7239</v>
      </c>
      <c r="I4380" s="197" t="s">
        <v>7298</v>
      </c>
      <c r="J4380" s="148" t="s">
        <v>108</v>
      </c>
      <c r="K4380" s="148" t="s">
        <v>64</v>
      </c>
      <c r="L4380" s="148" t="s">
        <v>65</v>
      </c>
      <c r="M4380" s="148" t="s">
        <v>66</v>
      </c>
      <c r="N4380" s="212">
        <v>46194.0</v>
      </c>
      <c r="O4380" s="148" t="s">
        <v>67</v>
      </c>
      <c r="P4380" s="148" t="s">
        <v>68</v>
      </c>
      <c r="Q4380" s="103"/>
      <c r="R4380" s="103"/>
      <c r="S4380" s="103"/>
      <c r="T4380" s="103"/>
      <c r="U4380" s="148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1">
        <v>4375.0</v>
      </c>
      <c r="B4381" s="90" t="s">
        <v>7306</v>
      </c>
      <c r="C4381" s="82" t="str">
        <f>VLOOKUP($B$7:$B$5000,SUM!$L$6:$L$500,1,FALSE)</f>
        <v>#N/A</v>
      </c>
      <c r="D4381" s="190" t="s">
        <v>7170</v>
      </c>
      <c r="E4381" s="198" t="s">
        <v>58</v>
      </c>
      <c r="F4381" s="199" t="s">
        <v>4099</v>
      </c>
      <c r="G4381" s="191" t="s">
        <v>3272</v>
      </c>
      <c r="H4381" s="199" t="s">
        <v>7241</v>
      </c>
      <c r="I4381" s="197" t="s">
        <v>7298</v>
      </c>
      <c r="J4381" s="148" t="s">
        <v>108</v>
      </c>
      <c r="K4381" s="148" t="s">
        <v>64</v>
      </c>
      <c r="L4381" s="148" t="s">
        <v>65</v>
      </c>
      <c r="M4381" s="148" t="s">
        <v>66</v>
      </c>
      <c r="N4381" s="212">
        <v>46194.0</v>
      </c>
      <c r="O4381" s="148" t="s">
        <v>67</v>
      </c>
      <c r="P4381" s="148" t="s">
        <v>68</v>
      </c>
      <c r="Q4381" s="103"/>
      <c r="R4381" s="103"/>
      <c r="S4381" s="103"/>
      <c r="T4381" s="103"/>
      <c r="U4381" s="148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1">
        <v>4376.0</v>
      </c>
      <c r="B4382" s="90" t="s">
        <v>7307</v>
      </c>
      <c r="C4382" s="82" t="str">
        <f>VLOOKUP($B$7:$B$5000,SUM!$L$6:$L$500,1,FALSE)</f>
        <v>#N/A</v>
      </c>
      <c r="D4382" s="190" t="s">
        <v>7170</v>
      </c>
      <c r="E4382" s="198" t="s">
        <v>58</v>
      </c>
      <c r="F4382" s="199" t="s">
        <v>4099</v>
      </c>
      <c r="G4382" s="191" t="s">
        <v>3272</v>
      </c>
      <c r="H4382" s="199" t="s">
        <v>7245</v>
      </c>
      <c r="I4382" s="197" t="s">
        <v>7298</v>
      </c>
      <c r="J4382" s="148" t="s">
        <v>108</v>
      </c>
      <c r="K4382" s="148" t="s">
        <v>64</v>
      </c>
      <c r="L4382" s="148" t="s">
        <v>65</v>
      </c>
      <c r="M4382" s="148" t="s">
        <v>66</v>
      </c>
      <c r="N4382" s="212">
        <v>46194.0</v>
      </c>
      <c r="O4382" s="148" t="s">
        <v>67</v>
      </c>
      <c r="P4382" s="148" t="s">
        <v>68</v>
      </c>
      <c r="Q4382" s="103"/>
      <c r="R4382" s="103"/>
      <c r="S4382" s="103"/>
      <c r="T4382" s="103"/>
      <c r="U4382" s="148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1">
        <v>4377.0</v>
      </c>
      <c r="B4383" s="90" t="s">
        <v>7308</v>
      </c>
      <c r="C4383" s="82" t="str">
        <f>VLOOKUP($B$7:$B$5000,SUM!$L$6:$L$500,1,FALSE)</f>
        <v>#N/A</v>
      </c>
      <c r="D4383" s="232" t="s">
        <v>7309</v>
      </c>
      <c r="E4383" s="198" t="s">
        <v>58</v>
      </c>
      <c r="F4383" s="199" t="s">
        <v>6205</v>
      </c>
      <c r="G4383" s="191" t="s">
        <v>7310</v>
      </c>
      <c r="H4383" s="229" t="s">
        <v>7311</v>
      </c>
      <c r="I4383" s="197" t="s">
        <v>6208</v>
      </c>
      <c r="J4383" s="148" t="s">
        <v>63</v>
      </c>
      <c r="K4383" s="148" t="s">
        <v>64</v>
      </c>
      <c r="L4383" s="148" t="s">
        <v>65</v>
      </c>
      <c r="M4383" s="148" t="s">
        <v>66</v>
      </c>
      <c r="N4383" s="212">
        <v>46195.0</v>
      </c>
      <c r="O4383" s="148" t="s">
        <v>67</v>
      </c>
      <c r="P4383" s="148" t="s">
        <v>68</v>
      </c>
      <c r="Q4383" s="103"/>
      <c r="R4383" s="103"/>
      <c r="S4383" s="103"/>
      <c r="T4383" s="103"/>
      <c r="U4383" s="148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1">
        <v>4378.0</v>
      </c>
      <c r="B4384" s="90" t="s">
        <v>7312</v>
      </c>
      <c r="C4384" s="82" t="str">
        <f>VLOOKUP($B$7:$B$5000,SUM!$L$6:$L$500,1,FALSE)</f>
        <v>#N/A</v>
      </c>
      <c r="D4384" s="232" t="s">
        <v>7309</v>
      </c>
      <c r="E4384" s="198" t="s">
        <v>58</v>
      </c>
      <c r="F4384" s="199" t="s">
        <v>6205</v>
      </c>
      <c r="G4384" s="191" t="s">
        <v>7310</v>
      </c>
      <c r="H4384" s="229" t="s">
        <v>7313</v>
      </c>
      <c r="I4384" s="197" t="s">
        <v>6208</v>
      </c>
      <c r="J4384" s="148" t="s">
        <v>63</v>
      </c>
      <c r="K4384" s="148" t="s">
        <v>64</v>
      </c>
      <c r="L4384" s="148" t="s">
        <v>65</v>
      </c>
      <c r="M4384" s="148" t="s">
        <v>66</v>
      </c>
      <c r="N4384" s="212">
        <v>46195.0</v>
      </c>
      <c r="O4384" s="148" t="s">
        <v>67</v>
      </c>
      <c r="P4384" s="148" t="s">
        <v>68</v>
      </c>
      <c r="Q4384" s="103"/>
      <c r="R4384" s="103"/>
      <c r="S4384" s="103"/>
      <c r="T4384" s="103"/>
      <c r="U4384" s="148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1">
        <v>4379.0</v>
      </c>
      <c r="B4385" s="90" t="s">
        <v>7314</v>
      </c>
      <c r="C4385" s="82" t="str">
        <f>VLOOKUP($B$7:$B$5000,SUM!$L$6:$L$500,1,FALSE)</f>
        <v>#N/A</v>
      </c>
      <c r="D4385" s="232" t="s">
        <v>7309</v>
      </c>
      <c r="E4385" s="198" t="s">
        <v>58</v>
      </c>
      <c r="F4385" s="199" t="s">
        <v>6205</v>
      </c>
      <c r="G4385" s="191" t="s">
        <v>7310</v>
      </c>
      <c r="H4385" s="229" t="s">
        <v>7315</v>
      </c>
      <c r="I4385" s="197" t="s">
        <v>6208</v>
      </c>
      <c r="J4385" s="148" t="s">
        <v>63</v>
      </c>
      <c r="K4385" s="148" t="s">
        <v>64</v>
      </c>
      <c r="L4385" s="148" t="s">
        <v>65</v>
      </c>
      <c r="M4385" s="148" t="s">
        <v>66</v>
      </c>
      <c r="N4385" s="212">
        <v>46195.0</v>
      </c>
      <c r="O4385" s="148" t="s">
        <v>67</v>
      </c>
      <c r="P4385" s="148" t="s">
        <v>68</v>
      </c>
      <c r="Q4385" s="103"/>
      <c r="R4385" s="103"/>
      <c r="S4385" s="103"/>
      <c r="T4385" s="103"/>
      <c r="U4385" s="148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1">
        <v>4380.0</v>
      </c>
      <c r="B4386" s="90" t="s">
        <v>7316</v>
      </c>
      <c r="C4386" s="82" t="str">
        <f>VLOOKUP($B$7:$B$5000,SUM!$L$6:$L$500,1,FALSE)</f>
        <v>#N/A</v>
      </c>
      <c r="D4386" s="232" t="s">
        <v>7309</v>
      </c>
      <c r="E4386" s="198" t="s">
        <v>58</v>
      </c>
      <c r="F4386" s="199" t="s">
        <v>6205</v>
      </c>
      <c r="G4386" s="191" t="s">
        <v>7310</v>
      </c>
      <c r="H4386" s="229" t="s">
        <v>7317</v>
      </c>
      <c r="I4386" s="197" t="s">
        <v>6208</v>
      </c>
      <c r="J4386" s="148" t="s">
        <v>63</v>
      </c>
      <c r="K4386" s="148" t="s">
        <v>64</v>
      </c>
      <c r="L4386" s="148" t="s">
        <v>65</v>
      </c>
      <c r="M4386" s="148" t="s">
        <v>66</v>
      </c>
      <c r="N4386" s="212">
        <v>46195.0</v>
      </c>
      <c r="O4386" s="148" t="s">
        <v>67</v>
      </c>
      <c r="P4386" s="148" t="s">
        <v>68</v>
      </c>
      <c r="Q4386" s="103"/>
      <c r="R4386" s="103"/>
      <c r="S4386" s="103"/>
      <c r="T4386" s="103"/>
      <c r="U4386" s="148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1">
        <v>4381.0</v>
      </c>
      <c r="B4387" s="90" t="s">
        <v>7318</v>
      </c>
      <c r="C4387" s="82" t="str">
        <f>VLOOKUP($B$7:$B$5000,SUM!$L$6:$L$500,1,FALSE)</f>
        <v>#N/A</v>
      </c>
      <c r="D4387" s="190" t="s">
        <v>7319</v>
      </c>
      <c r="E4387" s="198" t="s">
        <v>58</v>
      </c>
      <c r="F4387" s="199" t="s">
        <v>105</v>
      </c>
      <c r="G4387" s="191" t="s">
        <v>6057</v>
      </c>
      <c r="H4387" s="224" t="s">
        <v>7320</v>
      </c>
      <c r="I4387" s="197" t="s">
        <v>7321</v>
      </c>
      <c r="J4387" s="148" t="s">
        <v>63</v>
      </c>
      <c r="K4387" s="148" t="s">
        <v>64</v>
      </c>
      <c r="L4387" s="148" t="s">
        <v>65</v>
      </c>
      <c r="M4387" s="148" t="s">
        <v>185</v>
      </c>
      <c r="N4387" s="255">
        <v>46197.0</v>
      </c>
      <c r="O4387" s="148" t="s">
        <v>67</v>
      </c>
      <c r="P4387" s="148" t="s">
        <v>68</v>
      </c>
      <c r="Q4387" s="103"/>
      <c r="R4387" s="103"/>
      <c r="S4387" s="103"/>
      <c r="T4387" s="103"/>
      <c r="U4387" s="148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1">
        <v>4382.0</v>
      </c>
      <c r="B4388" s="90" t="s">
        <v>7322</v>
      </c>
      <c r="C4388" s="82" t="str">
        <f>VLOOKUP($B$7:$B$5000,SUM!$L$6:$L$500,1,FALSE)</f>
        <v>#N/A</v>
      </c>
      <c r="D4388" s="190" t="s">
        <v>7319</v>
      </c>
      <c r="E4388" s="198" t="s">
        <v>58</v>
      </c>
      <c r="F4388" s="199" t="s">
        <v>105</v>
      </c>
      <c r="G4388" s="191" t="s">
        <v>6057</v>
      </c>
      <c r="H4388" s="224" t="s">
        <v>7323</v>
      </c>
      <c r="I4388" s="197" t="s">
        <v>7321</v>
      </c>
      <c r="J4388" s="148" t="s">
        <v>63</v>
      </c>
      <c r="K4388" s="148" t="s">
        <v>64</v>
      </c>
      <c r="L4388" s="148" t="s">
        <v>65</v>
      </c>
      <c r="M4388" s="148" t="s">
        <v>185</v>
      </c>
      <c r="N4388" s="255">
        <v>46197.0</v>
      </c>
      <c r="O4388" s="148" t="s">
        <v>67</v>
      </c>
      <c r="P4388" s="148" t="s">
        <v>68</v>
      </c>
      <c r="Q4388" s="103"/>
      <c r="R4388" s="103"/>
      <c r="S4388" s="103"/>
      <c r="T4388" s="103"/>
      <c r="U4388" s="148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1">
        <v>4383.0</v>
      </c>
      <c r="B4389" s="90" t="s">
        <v>7324</v>
      </c>
      <c r="C4389" s="82" t="str">
        <f>VLOOKUP($B$7:$B$5000,SUM!$L$6:$L$500,1,FALSE)</f>
        <v>#N/A</v>
      </c>
      <c r="D4389" s="190" t="s">
        <v>7319</v>
      </c>
      <c r="E4389" s="198" t="s">
        <v>58</v>
      </c>
      <c r="F4389" s="199" t="s">
        <v>105</v>
      </c>
      <c r="G4389" s="191" t="s">
        <v>6057</v>
      </c>
      <c r="H4389" s="224" t="s">
        <v>7325</v>
      </c>
      <c r="I4389" s="197" t="s">
        <v>7321</v>
      </c>
      <c r="J4389" s="148" t="s">
        <v>63</v>
      </c>
      <c r="K4389" s="148" t="s">
        <v>64</v>
      </c>
      <c r="L4389" s="148" t="s">
        <v>65</v>
      </c>
      <c r="M4389" s="148" t="s">
        <v>185</v>
      </c>
      <c r="N4389" s="255">
        <v>46197.0</v>
      </c>
      <c r="O4389" s="148" t="s">
        <v>67</v>
      </c>
      <c r="P4389" s="148" t="s">
        <v>68</v>
      </c>
      <c r="Q4389" s="103"/>
      <c r="R4389" s="103"/>
      <c r="S4389" s="103"/>
      <c r="T4389" s="103"/>
      <c r="U4389" s="148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1">
        <v>4384.0</v>
      </c>
      <c r="B4390" s="90" t="s">
        <v>7326</v>
      </c>
      <c r="C4390" s="82" t="str">
        <f>VLOOKUP($B$7:$B$5000,SUM!$L$6:$L$500,1,FALSE)</f>
        <v>#N/A</v>
      </c>
      <c r="D4390" s="190" t="s">
        <v>7319</v>
      </c>
      <c r="E4390" s="198" t="s">
        <v>58</v>
      </c>
      <c r="F4390" s="199" t="s">
        <v>105</v>
      </c>
      <c r="G4390" s="191" t="s">
        <v>6057</v>
      </c>
      <c r="H4390" s="224" t="s">
        <v>7327</v>
      </c>
      <c r="I4390" s="197" t="s">
        <v>7321</v>
      </c>
      <c r="J4390" s="148" t="s">
        <v>63</v>
      </c>
      <c r="K4390" s="148" t="s">
        <v>64</v>
      </c>
      <c r="L4390" s="148" t="s">
        <v>65</v>
      </c>
      <c r="M4390" s="148" t="s">
        <v>185</v>
      </c>
      <c r="N4390" s="255">
        <v>46197.0</v>
      </c>
      <c r="O4390" s="148" t="s">
        <v>67</v>
      </c>
      <c r="P4390" s="148" t="s">
        <v>68</v>
      </c>
      <c r="Q4390" s="103"/>
      <c r="R4390" s="103"/>
      <c r="S4390" s="103"/>
      <c r="T4390" s="103"/>
      <c r="U4390" s="148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1">
        <v>4385.0</v>
      </c>
      <c r="B4391" s="90" t="s">
        <v>7328</v>
      </c>
      <c r="C4391" s="82" t="str">
        <f>VLOOKUP($B$7:$B$5000,SUM!$L$6:$L$500,1,FALSE)</f>
        <v>#N/A</v>
      </c>
      <c r="D4391" s="190" t="s">
        <v>7319</v>
      </c>
      <c r="E4391" s="198" t="s">
        <v>58</v>
      </c>
      <c r="F4391" s="199" t="s">
        <v>105</v>
      </c>
      <c r="G4391" s="191" t="s">
        <v>6057</v>
      </c>
      <c r="H4391" s="224" t="s">
        <v>7329</v>
      </c>
      <c r="I4391" s="197" t="s">
        <v>7321</v>
      </c>
      <c r="J4391" s="148" t="s">
        <v>63</v>
      </c>
      <c r="K4391" s="148" t="s">
        <v>64</v>
      </c>
      <c r="L4391" s="148" t="s">
        <v>65</v>
      </c>
      <c r="M4391" s="148" t="s">
        <v>185</v>
      </c>
      <c r="N4391" s="255">
        <v>46197.0</v>
      </c>
      <c r="O4391" s="148" t="s">
        <v>67</v>
      </c>
      <c r="P4391" s="148" t="s">
        <v>68</v>
      </c>
      <c r="Q4391" s="103"/>
      <c r="R4391" s="103"/>
      <c r="S4391" s="103"/>
      <c r="T4391" s="103"/>
      <c r="U4391" s="148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1">
        <v>4386.0</v>
      </c>
      <c r="B4392" s="90" t="s">
        <v>7330</v>
      </c>
      <c r="C4392" s="82" t="str">
        <f>VLOOKUP($B$7:$B$5000,SUM!$L$6:$L$500,1,FALSE)</f>
        <v>#N/A</v>
      </c>
      <c r="D4392" s="190" t="s">
        <v>7319</v>
      </c>
      <c r="E4392" s="198" t="s">
        <v>58</v>
      </c>
      <c r="F4392" s="199" t="s">
        <v>105</v>
      </c>
      <c r="G4392" s="191" t="s">
        <v>6057</v>
      </c>
      <c r="H4392" s="224" t="s">
        <v>7331</v>
      </c>
      <c r="I4392" s="197" t="s">
        <v>7321</v>
      </c>
      <c r="J4392" s="148" t="s">
        <v>63</v>
      </c>
      <c r="K4392" s="148" t="s">
        <v>64</v>
      </c>
      <c r="L4392" s="148" t="s">
        <v>65</v>
      </c>
      <c r="M4392" s="148" t="s">
        <v>185</v>
      </c>
      <c r="N4392" s="255">
        <v>46197.0</v>
      </c>
      <c r="O4392" s="148" t="s">
        <v>67</v>
      </c>
      <c r="P4392" s="148" t="s">
        <v>68</v>
      </c>
      <c r="Q4392" s="103"/>
      <c r="R4392" s="103"/>
      <c r="S4392" s="103"/>
      <c r="T4392" s="103"/>
      <c r="U4392" s="148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1">
        <v>4387.0</v>
      </c>
      <c r="B4393" s="90" t="s">
        <v>7332</v>
      </c>
      <c r="C4393" s="82" t="str">
        <f>VLOOKUP($B$7:$B$5000,SUM!$L$6:$L$500,1,FALSE)</f>
        <v>#N/A</v>
      </c>
      <c r="D4393" s="190" t="s">
        <v>7319</v>
      </c>
      <c r="E4393" s="198" t="s">
        <v>58</v>
      </c>
      <c r="F4393" s="199" t="s">
        <v>105</v>
      </c>
      <c r="G4393" s="191" t="s">
        <v>6057</v>
      </c>
      <c r="H4393" s="224" t="s">
        <v>7333</v>
      </c>
      <c r="I4393" s="197" t="s">
        <v>7321</v>
      </c>
      <c r="J4393" s="148" t="s">
        <v>63</v>
      </c>
      <c r="K4393" s="148" t="s">
        <v>64</v>
      </c>
      <c r="L4393" s="148" t="s">
        <v>65</v>
      </c>
      <c r="M4393" s="148" t="s">
        <v>185</v>
      </c>
      <c r="N4393" s="255">
        <v>46197.0</v>
      </c>
      <c r="O4393" s="148" t="s">
        <v>67</v>
      </c>
      <c r="P4393" s="148" t="s">
        <v>68</v>
      </c>
      <c r="Q4393" s="103"/>
      <c r="R4393" s="103"/>
      <c r="S4393" s="103"/>
      <c r="T4393" s="103"/>
      <c r="U4393" s="148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1">
        <v>4388.0</v>
      </c>
      <c r="B4394" s="90" t="s">
        <v>7334</v>
      </c>
      <c r="C4394" s="82" t="str">
        <f>VLOOKUP($B$7:$B$5000,SUM!$L$6:$L$500,1,FALSE)</f>
        <v>#N/A</v>
      </c>
      <c r="D4394" s="190" t="s">
        <v>7319</v>
      </c>
      <c r="E4394" s="198" t="s">
        <v>58</v>
      </c>
      <c r="F4394" s="199" t="s">
        <v>105</v>
      </c>
      <c r="G4394" s="191" t="s">
        <v>6057</v>
      </c>
      <c r="H4394" s="224" t="s">
        <v>7335</v>
      </c>
      <c r="I4394" s="197" t="s">
        <v>7321</v>
      </c>
      <c r="J4394" s="148" t="s">
        <v>63</v>
      </c>
      <c r="K4394" s="148" t="s">
        <v>64</v>
      </c>
      <c r="L4394" s="148" t="s">
        <v>65</v>
      </c>
      <c r="M4394" s="148" t="s">
        <v>185</v>
      </c>
      <c r="N4394" s="255">
        <v>46197.0</v>
      </c>
      <c r="O4394" s="148" t="s">
        <v>67</v>
      </c>
      <c r="P4394" s="148" t="s">
        <v>68</v>
      </c>
      <c r="Q4394" s="103"/>
      <c r="R4394" s="103"/>
      <c r="S4394" s="103"/>
      <c r="T4394" s="103"/>
      <c r="U4394" s="148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1">
        <v>4389.0</v>
      </c>
      <c r="B4395" s="90" t="s">
        <v>7336</v>
      </c>
      <c r="C4395" s="82" t="str">
        <f>VLOOKUP($B$7:$B$5000,SUM!$L$6:$L$500,1,FALSE)</f>
        <v>#N/A</v>
      </c>
      <c r="D4395" s="190" t="s">
        <v>7319</v>
      </c>
      <c r="E4395" s="198" t="s">
        <v>58</v>
      </c>
      <c r="F4395" s="199" t="s">
        <v>105</v>
      </c>
      <c r="G4395" s="191" t="s">
        <v>6057</v>
      </c>
      <c r="H4395" s="224" t="s">
        <v>7337</v>
      </c>
      <c r="I4395" s="197" t="s">
        <v>7321</v>
      </c>
      <c r="J4395" s="148" t="s">
        <v>63</v>
      </c>
      <c r="K4395" s="148" t="s">
        <v>64</v>
      </c>
      <c r="L4395" s="148" t="s">
        <v>65</v>
      </c>
      <c r="M4395" s="148" t="s">
        <v>185</v>
      </c>
      <c r="N4395" s="255">
        <v>46197.0</v>
      </c>
      <c r="O4395" s="148" t="s">
        <v>67</v>
      </c>
      <c r="P4395" s="148" t="s">
        <v>68</v>
      </c>
      <c r="Q4395" s="103"/>
      <c r="R4395" s="103"/>
      <c r="S4395" s="103"/>
      <c r="T4395" s="103"/>
      <c r="U4395" s="148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1">
        <v>4390.0</v>
      </c>
      <c r="B4396" s="90" t="s">
        <v>7338</v>
      </c>
      <c r="C4396" s="82" t="str">
        <f>VLOOKUP($B$7:$B$5000,SUM!$L$6:$L$500,1,FALSE)</f>
        <v>#N/A</v>
      </c>
      <c r="D4396" s="190" t="s">
        <v>7319</v>
      </c>
      <c r="E4396" s="198" t="s">
        <v>58</v>
      </c>
      <c r="F4396" s="199" t="s">
        <v>105</v>
      </c>
      <c r="G4396" s="191" t="s">
        <v>6057</v>
      </c>
      <c r="H4396" s="224" t="s">
        <v>7339</v>
      </c>
      <c r="I4396" s="197" t="s">
        <v>7321</v>
      </c>
      <c r="J4396" s="148" t="s">
        <v>63</v>
      </c>
      <c r="K4396" s="148" t="s">
        <v>64</v>
      </c>
      <c r="L4396" s="148" t="s">
        <v>65</v>
      </c>
      <c r="M4396" s="148" t="s">
        <v>185</v>
      </c>
      <c r="N4396" s="255">
        <v>46197.0</v>
      </c>
      <c r="O4396" s="148" t="s">
        <v>67</v>
      </c>
      <c r="P4396" s="148" t="s">
        <v>68</v>
      </c>
      <c r="Q4396" s="103"/>
      <c r="R4396" s="103"/>
      <c r="S4396" s="103"/>
      <c r="T4396" s="103"/>
      <c r="U4396" s="148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1">
        <v>4391.0</v>
      </c>
      <c r="B4397" s="90" t="s">
        <v>7340</v>
      </c>
      <c r="C4397" s="82" t="str">
        <f>VLOOKUP($B$7:$B$5000,SUM!$L$6:$L$500,1,FALSE)</f>
        <v>#N/A</v>
      </c>
      <c r="D4397" s="190" t="s">
        <v>7319</v>
      </c>
      <c r="E4397" s="198" t="s">
        <v>58</v>
      </c>
      <c r="F4397" s="199" t="s">
        <v>105</v>
      </c>
      <c r="G4397" s="191" t="s">
        <v>6057</v>
      </c>
      <c r="H4397" s="224" t="s">
        <v>7341</v>
      </c>
      <c r="I4397" s="197" t="s">
        <v>7321</v>
      </c>
      <c r="J4397" s="148" t="s">
        <v>63</v>
      </c>
      <c r="K4397" s="148" t="s">
        <v>64</v>
      </c>
      <c r="L4397" s="148" t="s">
        <v>65</v>
      </c>
      <c r="M4397" s="148" t="s">
        <v>185</v>
      </c>
      <c r="N4397" s="255">
        <v>46197.0</v>
      </c>
      <c r="O4397" s="148" t="s">
        <v>67</v>
      </c>
      <c r="P4397" s="148" t="s">
        <v>68</v>
      </c>
      <c r="Q4397" s="103"/>
      <c r="R4397" s="103"/>
      <c r="S4397" s="103"/>
      <c r="T4397" s="103"/>
      <c r="U4397" s="148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1">
        <v>4392.0</v>
      </c>
      <c r="B4398" s="90" t="s">
        <v>7342</v>
      </c>
      <c r="C4398" s="82" t="str">
        <f>VLOOKUP($B$7:$B$5000,SUM!$L$6:$L$500,1,FALSE)</f>
        <v>#N/A</v>
      </c>
      <c r="D4398" s="190" t="s">
        <v>7319</v>
      </c>
      <c r="E4398" s="198" t="s">
        <v>58</v>
      </c>
      <c r="F4398" s="199" t="s">
        <v>105</v>
      </c>
      <c r="G4398" s="191" t="s">
        <v>6057</v>
      </c>
      <c r="H4398" s="224" t="s">
        <v>7343</v>
      </c>
      <c r="I4398" s="197" t="s">
        <v>7321</v>
      </c>
      <c r="J4398" s="148" t="s">
        <v>63</v>
      </c>
      <c r="K4398" s="148" t="s">
        <v>64</v>
      </c>
      <c r="L4398" s="148" t="s">
        <v>65</v>
      </c>
      <c r="M4398" s="148" t="s">
        <v>185</v>
      </c>
      <c r="N4398" s="255">
        <v>46197.0</v>
      </c>
      <c r="O4398" s="148" t="s">
        <v>67</v>
      </c>
      <c r="P4398" s="148" t="s">
        <v>68</v>
      </c>
      <c r="Q4398" s="103"/>
      <c r="R4398" s="103"/>
      <c r="S4398" s="103"/>
      <c r="T4398" s="103"/>
      <c r="U4398" s="148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1">
        <v>4393.0</v>
      </c>
      <c r="B4399" s="90" t="s">
        <v>7344</v>
      </c>
      <c r="C4399" s="82" t="str">
        <f>VLOOKUP($B$7:$B$5000,SUM!$L$6:$L$500,1,FALSE)</f>
        <v>#N/A</v>
      </c>
      <c r="D4399" s="190" t="s">
        <v>7319</v>
      </c>
      <c r="E4399" s="198" t="s">
        <v>58</v>
      </c>
      <c r="F4399" s="199" t="s">
        <v>105</v>
      </c>
      <c r="G4399" s="191" t="s">
        <v>6057</v>
      </c>
      <c r="H4399" s="224" t="s">
        <v>7345</v>
      </c>
      <c r="I4399" s="197" t="s">
        <v>7321</v>
      </c>
      <c r="J4399" s="148" t="s">
        <v>63</v>
      </c>
      <c r="K4399" s="148" t="s">
        <v>64</v>
      </c>
      <c r="L4399" s="148" t="s">
        <v>65</v>
      </c>
      <c r="M4399" s="148" t="s">
        <v>185</v>
      </c>
      <c r="N4399" s="255">
        <v>46197.0</v>
      </c>
      <c r="O4399" s="148" t="s">
        <v>67</v>
      </c>
      <c r="P4399" s="148" t="s">
        <v>68</v>
      </c>
      <c r="Q4399" s="103"/>
      <c r="R4399" s="103"/>
      <c r="S4399" s="103"/>
      <c r="T4399" s="103"/>
      <c r="U4399" s="148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1">
        <v>4394.0</v>
      </c>
      <c r="B4400" s="90" t="s">
        <v>7346</v>
      </c>
      <c r="C4400" s="82" t="str">
        <f>VLOOKUP($B$7:$B$5000,SUM!$L$6:$L$500,1,FALSE)</f>
        <v>#N/A</v>
      </c>
      <c r="D4400" s="190" t="s">
        <v>7319</v>
      </c>
      <c r="E4400" s="198" t="s">
        <v>58</v>
      </c>
      <c r="F4400" s="199" t="s">
        <v>105</v>
      </c>
      <c r="G4400" s="191" t="s">
        <v>6057</v>
      </c>
      <c r="H4400" s="224" t="s">
        <v>7347</v>
      </c>
      <c r="I4400" s="197" t="s">
        <v>7321</v>
      </c>
      <c r="J4400" s="148" t="s">
        <v>63</v>
      </c>
      <c r="K4400" s="148" t="s">
        <v>64</v>
      </c>
      <c r="L4400" s="148" t="s">
        <v>65</v>
      </c>
      <c r="M4400" s="148" t="s">
        <v>185</v>
      </c>
      <c r="N4400" s="255">
        <v>46197.0</v>
      </c>
      <c r="O4400" s="148" t="s">
        <v>67</v>
      </c>
      <c r="P4400" s="148" t="s">
        <v>68</v>
      </c>
      <c r="Q4400" s="103"/>
      <c r="R4400" s="103"/>
      <c r="S4400" s="103"/>
      <c r="T4400" s="103"/>
      <c r="U4400" s="148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1">
        <v>4395.0</v>
      </c>
      <c r="B4401" s="90" t="s">
        <v>7348</v>
      </c>
      <c r="C4401" s="82" t="str">
        <f>VLOOKUP($B$7:$B$5000,SUM!$L$6:$L$500,1,FALSE)</f>
        <v>#N/A</v>
      </c>
      <c r="D4401" s="190" t="s">
        <v>7319</v>
      </c>
      <c r="E4401" s="198" t="s">
        <v>58</v>
      </c>
      <c r="F4401" s="199" t="s">
        <v>105</v>
      </c>
      <c r="G4401" s="191" t="s">
        <v>6057</v>
      </c>
      <c r="H4401" s="224" t="s">
        <v>7349</v>
      </c>
      <c r="I4401" s="197" t="s">
        <v>7321</v>
      </c>
      <c r="J4401" s="148" t="s">
        <v>63</v>
      </c>
      <c r="K4401" s="148" t="s">
        <v>64</v>
      </c>
      <c r="L4401" s="148" t="s">
        <v>65</v>
      </c>
      <c r="M4401" s="148" t="s">
        <v>185</v>
      </c>
      <c r="N4401" s="255">
        <v>46197.0</v>
      </c>
      <c r="O4401" s="148" t="s">
        <v>67</v>
      </c>
      <c r="P4401" s="148" t="s">
        <v>68</v>
      </c>
      <c r="Q4401" s="103"/>
      <c r="R4401" s="103"/>
      <c r="S4401" s="103"/>
      <c r="T4401" s="103"/>
      <c r="U4401" s="148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1">
        <v>4396.0</v>
      </c>
      <c r="B4402" s="90" t="s">
        <v>7350</v>
      </c>
      <c r="C4402" s="82" t="str">
        <f>VLOOKUP($B$7:$B$5000,SUM!$L$6:$L$500,1,FALSE)</f>
        <v>#N/A</v>
      </c>
      <c r="D4402" s="190" t="s">
        <v>7319</v>
      </c>
      <c r="E4402" s="198" t="s">
        <v>58</v>
      </c>
      <c r="F4402" s="199" t="s">
        <v>105</v>
      </c>
      <c r="G4402" s="191" t="s">
        <v>6057</v>
      </c>
      <c r="H4402" s="224" t="s">
        <v>7351</v>
      </c>
      <c r="I4402" s="197" t="s">
        <v>7321</v>
      </c>
      <c r="J4402" s="148" t="s">
        <v>63</v>
      </c>
      <c r="K4402" s="148" t="s">
        <v>64</v>
      </c>
      <c r="L4402" s="148" t="s">
        <v>65</v>
      </c>
      <c r="M4402" s="148" t="s">
        <v>185</v>
      </c>
      <c r="N4402" s="255">
        <v>46197.0</v>
      </c>
      <c r="O4402" s="148" t="s">
        <v>67</v>
      </c>
      <c r="P4402" s="148" t="s">
        <v>68</v>
      </c>
      <c r="Q4402" s="103"/>
      <c r="R4402" s="103"/>
      <c r="S4402" s="103"/>
      <c r="T4402" s="103"/>
      <c r="U4402" s="148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1">
        <v>4397.0</v>
      </c>
      <c r="B4403" s="90" t="s">
        <v>7352</v>
      </c>
      <c r="C4403" s="82" t="str">
        <f>VLOOKUP($B$7:$B$5000,SUM!$L$6:$L$500,1,FALSE)</f>
        <v>#N/A</v>
      </c>
      <c r="D4403" s="190" t="s">
        <v>7319</v>
      </c>
      <c r="E4403" s="198" t="s">
        <v>58</v>
      </c>
      <c r="F4403" s="199" t="s">
        <v>105</v>
      </c>
      <c r="G4403" s="191" t="s">
        <v>6057</v>
      </c>
      <c r="H4403" s="224" t="s">
        <v>7353</v>
      </c>
      <c r="I4403" s="197" t="s">
        <v>7321</v>
      </c>
      <c r="J4403" s="148" t="s">
        <v>63</v>
      </c>
      <c r="K4403" s="148" t="s">
        <v>64</v>
      </c>
      <c r="L4403" s="148" t="s">
        <v>65</v>
      </c>
      <c r="M4403" s="148" t="s">
        <v>185</v>
      </c>
      <c r="N4403" s="255">
        <v>46197.0</v>
      </c>
      <c r="O4403" s="148" t="s">
        <v>67</v>
      </c>
      <c r="P4403" s="148" t="s">
        <v>68</v>
      </c>
      <c r="Q4403" s="103"/>
      <c r="R4403" s="103"/>
      <c r="S4403" s="103"/>
      <c r="T4403" s="103"/>
      <c r="U4403" s="148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1">
        <v>4398.0</v>
      </c>
      <c r="B4404" s="90" t="s">
        <v>7354</v>
      </c>
      <c r="C4404" s="82" t="str">
        <f>VLOOKUP($B$7:$B$5000,SUM!$L$6:$L$500,1,FALSE)</f>
        <v>#N/A</v>
      </c>
      <c r="D4404" s="190" t="s">
        <v>7319</v>
      </c>
      <c r="E4404" s="198" t="s">
        <v>58</v>
      </c>
      <c r="F4404" s="199" t="s">
        <v>105</v>
      </c>
      <c r="G4404" s="191" t="s">
        <v>6057</v>
      </c>
      <c r="H4404" s="224" t="s">
        <v>7355</v>
      </c>
      <c r="I4404" s="197" t="s">
        <v>7321</v>
      </c>
      <c r="J4404" s="148" t="s">
        <v>63</v>
      </c>
      <c r="K4404" s="148" t="s">
        <v>64</v>
      </c>
      <c r="L4404" s="148" t="s">
        <v>65</v>
      </c>
      <c r="M4404" s="148" t="s">
        <v>185</v>
      </c>
      <c r="N4404" s="255">
        <v>46197.0</v>
      </c>
      <c r="O4404" s="148" t="s">
        <v>67</v>
      </c>
      <c r="P4404" s="148" t="s">
        <v>68</v>
      </c>
      <c r="Q4404" s="103"/>
      <c r="R4404" s="103"/>
      <c r="S4404" s="103"/>
      <c r="T4404" s="103"/>
      <c r="U4404" s="148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1">
        <v>4399.0</v>
      </c>
      <c r="B4405" s="90" t="s">
        <v>7356</v>
      </c>
      <c r="C4405" s="82" t="str">
        <f>VLOOKUP($B$7:$B$5000,SUM!$L$6:$L$500,1,FALSE)</f>
        <v>#N/A</v>
      </c>
      <c r="D4405" s="190" t="s">
        <v>7319</v>
      </c>
      <c r="E4405" s="198" t="s">
        <v>58</v>
      </c>
      <c r="F4405" s="199" t="s">
        <v>105</v>
      </c>
      <c r="G4405" s="191" t="s">
        <v>6057</v>
      </c>
      <c r="H4405" s="224" t="s">
        <v>7357</v>
      </c>
      <c r="I4405" s="197" t="s">
        <v>7321</v>
      </c>
      <c r="J4405" s="148" t="s">
        <v>63</v>
      </c>
      <c r="K4405" s="148" t="s">
        <v>64</v>
      </c>
      <c r="L4405" s="148" t="s">
        <v>65</v>
      </c>
      <c r="M4405" s="148" t="s">
        <v>185</v>
      </c>
      <c r="N4405" s="255">
        <v>46197.0</v>
      </c>
      <c r="O4405" s="148" t="s">
        <v>67</v>
      </c>
      <c r="P4405" s="148" t="s">
        <v>68</v>
      </c>
      <c r="Q4405" s="103"/>
      <c r="R4405" s="103"/>
      <c r="S4405" s="103"/>
      <c r="T4405" s="103"/>
      <c r="U4405" s="148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1">
        <v>4400.0</v>
      </c>
      <c r="B4406" s="90" t="s">
        <v>7358</v>
      </c>
      <c r="C4406" s="82" t="str">
        <f>VLOOKUP($B$7:$B$5000,SUM!$L$6:$L$500,1,FALSE)</f>
        <v>#N/A</v>
      </c>
      <c r="D4406" s="190" t="s">
        <v>7319</v>
      </c>
      <c r="E4406" s="198" t="s">
        <v>58</v>
      </c>
      <c r="F4406" s="199" t="s">
        <v>105</v>
      </c>
      <c r="G4406" s="191" t="s">
        <v>6057</v>
      </c>
      <c r="H4406" s="224" t="s">
        <v>7359</v>
      </c>
      <c r="I4406" s="197" t="s">
        <v>7321</v>
      </c>
      <c r="J4406" s="148" t="s">
        <v>63</v>
      </c>
      <c r="K4406" s="148" t="s">
        <v>64</v>
      </c>
      <c r="L4406" s="148" t="s">
        <v>65</v>
      </c>
      <c r="M4406" s="148" t="s">
        <v>185</v>
      </c>
      <c r="N4406" s="255">
        <v>46197.0</v>
      </c>
      <c r="O4406" s="148" t="s">
        <v>67</v>
      </c>
      <c r="P4406" s="148" t="s">
        <v>68</v>
      </c>
      <c r="Q4406" s="103"/>
      <c r="R4406" s="103"/>
      <c r="S4406" s="103"/>
      <c r="T4406" s="103"/>
      <c r="U4406" s="148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1">
        <v>4401.0</v>
      </c>
      <c r="B4407" s="90" t="s">
        <v>7360</v>
      </c>
      <c r="C4407" s="82" t="str">
        <f>VLOOKUP($B$7:$B$5000,SUM!$L$6:$L$500,1,FALSE)</f>
        <v>#N/A</v>
      </c>
      <c r="D4407" s="190" t="s">
        <v>7319</v>
      </c>
      <c r="E4407" s="198" t="s">
        <v>58</v>
      </c>
      <c r="F4407" s="199" t="s">
        <v>105</v>
      </c>
      <c r="G4407" s="191" t="s">
        <v>6057</v>
      </c>
      <c r="H4407" s="224" t="s">
        <v>7361</v>
      </c>
      <c r="I4407" s="197" t="s">
        <v>7321</v>
      </c>
      <c r="J4407" s="148" t="s">
        <v>63</v>
      </c>
      <c r="K4407" s="148" t="s">
        <v>64</v>
      </c>
      <c r="L4407" s="148" t="s">
        <v>65</v>
      </c>
      <c r="M4407" s="148" t="s">
        <v>185</v>
      </c>
      <c r="N4407" s="255">
        <v>46197.0</v>
      </c>
      <c r="O4407" s="148" t="s">
        <v>67</v>
      </c>
      <c r="P4407" s="148" t="s">
        <v>68</v>
      </c>
      <c r="Q4407" s="103"/>
      <c r="R4407" s="103"/>
      <c r="S4407" s="103"/>
      <c r="T4407" s="103"/>
      <c r="U4407" s="148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1">
        <v>4402.0</v>
      </c>
      <c r="B4408" s="90" t="s">
        <v>7362</v>
      </c>
      <c r="C4408" s="82" t="str">
        <f>VLOOKUP($B$7:$B$5000,SUM!$L$6:$L$500,1,FALSE)</f>
        <v>#N/A</v>
      </c>
      <c r="D4408" s="190" t="s">
        <v>7319</v>
      </c>
      <c r="E4408" s="198" t="s">
        <v>58</v>
      </c>
      <c r="F4408" s="199" t="s">
        <v>105</v>
      </c>
      <c r="G4408" s="191" t="s">
        <v>6057</v>
      </c>
      <c r="H4408" s="224" t="s">
        <v>7363</v>
      </c>
      <c r="I4408" s="197" t="s">
        <v>7321</v>
      </c>
      <c r="J4408" s="148" t="s">
        <v>63</v>
      </c>
      <c r="K4408" s="148" t="s">
        <v>64</v>
      </c>
      <c r="L4408" s="148" t="s">
        <v>65</v>
      </c>
      <c r="M4408" s="148" t="s">
        <v>185</v>
      </c>
      <c r="N4408" s="255">
        <v>46197.0</v>
      </c>
      <c r="O4408" s="148" t="s">
        <v>67</v>
      </c>
      <c r="P4408" s="148" t="s">
        <v>68</v>
      </c>
      <c r="Q4408" s="103"/>
      <c r="R4408" s="103"/>
      <c r="S4408" s="103"/>
      <c r="T4408" s="103"/>
      <c r="U4408" s="148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1">
        <v>4403.0</v>
      </c>
      <c r="B4409" s="90" t="s">
        <v>7364</v>
      </c>
      <c r="C4409" s="82" t="str">
        <f>VLOOKUP($B$7:$B$5000,SUM!$L$6:$L$500,1,FALSE)</f>
        <v>#N/A</v>
      </c>
      <c r="D4409" s="190" t="s">
        <v>7319</v>
      </c>
      <c r="E4409" s="198" t="s">
        <v>58</v>
      </c>
      <c r="F4409" s="199" t="s">
        <v>105</v>
      </c>
      <c r="G4409" s="191" t="s">
        <v>6057</v>
      </c>
      <c r="H4409" s="224" t="s">
        <v>7365</v>
      </c>
      <c r="I4409" s="197" t="s">
        <v>7321</v>
      </c>
      <c r="J4409" s="148" t="s">
        <v>63</v>
      </c>
      <c r="K4409" s="148" t="s">
        <v>64</v>
      </c>
      <c r="L4409" s="148" t="s">
        <v>65</v>
      </c>
      <c r="M4409" s="148" t="s">
        <v>185</v>
      </c>
      <c r="N4409" s="255">
        <v>46197.0</v>
      </c>
      <c r="O4409" s="148" t="s">
        <v>67</v>
      </c>
      <c r="P4409" s="148" t="s">
        <v>68</v>
      </c>
      <c r="Q4409" s="103"/>
      <c r="R4409" s="103"/>
      <c r="S4409" s="103"/>
      <c r="T4409" s="103"/>
      <c r="U4409" s="148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1">
        <v>4404.0</v>
      </c>
      <c r="B4410" s="90" t="s">
        <v>7366</v>
      </c>
      <c r="C4410" s="82" t="str">
        <f>VLOOKUP($B$7:$B$5000,SUM!$L$6:$L$500,1,FALSE)</f>
        <v>#N/A</v>
      </c>
      <c r="D4410" s="190" t="s">
        <v>7319</v>
      </c>
      <c r="E4410" s="198" t="s">
        <v>58</v>
      </c>
      <c r="F4410" s="199" t="s">
        <v>105</v>
      </c>
      <c r="G4410" s="191" t="s">
        <v>6057</v>
      </c>
      <c r="H4410" s="224" t="s">
        <v>7367</v>
      </c>
      <c r="I4410" s="197" t="s">
        <v>7321</v>
      </c>
      <c r="J4410" s="148" t="s">
        <v>63</v>
      </c>
      <c r="K4410" s="148" t="s">
        <v>64</v>
      </c>
      <c r="L4410" s="148" t="s">
        <v>65</v>
      </c>
      <c r="M4410" s="148" t="s">
        <v>185</v>
      </c>
      <c r="N4410" s="255">
        <v>46197.0</v>
      </c>
      <c r="O4410" s="148" t="s">
        <v>67</v>
      </c>
      <c r="P4410" s="148" t="s">
        <v>68</v>
      </c>
      <c r="Q4410" s="103"/>
      <c r="R4410" s="103"/>
      <c r="S4410" s="103"/>
      <c r="T4410" s="103"/>
      <c r="U4410" s="148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1">
        <v>4405.0</v>
      </c>
      <c r="B4411" s="90" t="s">
        <v>7368</v>
      </c>
      <c r="C4411" s="82" t="str">
        <f>VLOOKUP($B$7:$B$5000,SUM!$L$6:$L$500,1,FALSE)</f>
        <v>#N/A</v>
      </c>
      <c r="D4411" s="190" t="s">
        <v>7319</v>
      </c>
      <c r="E4411" s="198" t="s">
        <v>58</v>
      </c>
      <c r="F4411" s="199" t="s">
        <v>105</v>
      </c>
      <c r="G4411" s="191" t="s">
        <v>6057</v>
      </c>
      <c r="H4411" s="224" t="s">
        <v>7369</v>
      </c>
      <c r="I4411" s="197" t="s">
        <v>7321</v>
      </c>
      <c r="J4411" s="148" t="s">
        <v>63</v>
      </c>
      <c r="K4411" s="148" t="s">
        <v>64</v>
      </c>
      <c r="L4411" s="148" t="s">
        <v>65</v>
      </c>
      <c r="M4411" s="148" t="s">
        <v>185</v>
      </c>
      <c r="N4411" s="255">
        <v>46197.0</v>
      </c>
      <c r="O4411" s="148" t="s">
        <v>67</v>
      </c>
      <c r="P4411" s="148" t="s">
        <v>68</v>
      </c>
      <c r="Q4411" s="103"/>
      <c r="R4411" s="103"/>
      <c r="S4411" s="103"/>
      <c r="T4411" s="103"/>
      <c r="U4411" s="148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1">
        <v>4406.0</v>
      </c>
      <c r="B4412" s="90" t="s">
        <v>7370</v>
      </c>
      <c r="C4412" s="82" t="str">
        <f>VLOOKUP($B$7:$B$5000,SUM!$L$6:$L$500,1,FALSE)</f>
        <v>#N/A</v>
      </c>
      <c r="D4412" s="190" t="s">
        <v>7319</v>
      </c>
      <c r="E4412" s="198" t="s">
        <v>58</v>
      </c>
      <c r="F4412" s="199" t="s">
        <v>105</v>
      </c>
      <c r="G4412" s="191" t="s">
        <v>6057</v>
      </c>
      <c r="H4412" s="224" t="s">
        <v>7371</v>
      </c>
      <c r="I4412" s="197" t="s">
        <v>7321</v>
      </c>
      <c r="J4412" s="148" t="s">
        <v>63</v>
      </c>
      <c r="K4412" s="148" t="s">
        <v>64</v>
      </c>
      <c r="L4412" s="148" t="s">
        <v>65</v>
      </c>
      <c r="M4412" s="148" t="s">
        <v>185</v>
      </c>
      <c r="N4412" s="255">
        <v>46197.0</v>
      </c>
      <c r="O4412" s="148" t="s">
        <v>67</v>
      </c>
      <c r="P4412" s="148" t="s">
        <v>68</v>
      </c>
      <c r="Q4412" s="103"/>
      <c r="R4412" s="103"/>
      <c r="S4412" s="103"/>
      <c r="T4412" s="103"/>
      <c r="U4412" s="148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1">
        <v>4407.0</v>
      </c>
      <c r="B4413" s="90" t="s">
        <v>7372</v>
      </c>
      <c r="C4413" s="82" t="str">
        <f>VLOOKUP($B$7:$B$5000,SUM!$L$6:$L$500,1,FALSE)</f>
        <v>#N/A</v>
      </c>
      <c r="D4413" s="190" t="s">
        <v>7319</v>
      </c>
      <c r="E4413" s="198" t="s">
        <v>58</v>
      </c>
      <c r="F4413" s="199" t="s">
        <v>105</v>
      </c>
      <c r="G4413" s="191" t="s">
        <v>7373</v>
      </c>
      <c r="H4413" s="224" t="s">
        <v>7374</v>
      </c>
      <c r="I4413" s="197" t="s">
        <v>7375</v>
      </c>
      <c r="J4413" s="148" t="s">
        <v>63</v>
      </c>
      <c r="K4413" s="148" t="s">
        <v>64</v>
      </c>
      <c r="L4413" s="148" t="s">
        <v>65</v>
      </c>
      <c r="M4413" s="148" t="s">
        <v>185</v>
      </c>
      <c r="N4413" s="255">
        <v>46197.0</v>
      </c>
      <c r="O4413" s="148" t="s">
        <v>67</v>
      </c>
      <c r="P4413" s="148" t="s">
        <v>68</v>
      </c>
      <c r="Q4413" s="103"/>
      <c r="R4413" s="103"/>
      <c r="S4413" s="103"/>
      <c r="T4413" s="103"/>
      <c r="U4413" s="148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1">
        <v>4408.0</v>
      </c>
      <c r="B4414" s="90" t="s">
        <v>7376</v>
      </c>
      <c r="C4414" s="82" t="str">
        <f>VLOOKUP($B$7:$B$5000,SUM!$L$6:$L$500,1,FALSE)</f>
        <v>#N/A</v>
      </c>
      <c r="D4414" s="190" t="s">
        <v>7319</v>
      </c>
      <c r="E4414" s="198" t="s">
        <v>58</v>
      </c>
      <c r="F4414" s="199" t="s">
        <v>105</v>
      </c>
      <c r="G4414" s="191" t="s">
        <v>7373</v>
      </c>
      <c r="H4414" s="224" t="s">
        <v>7377</v>
      </c>
      <c r="I4414" s="197" t="s">
        <v>7375</v>
      </c>
      <c r="J4414" s="148" t="s">
        <v>63</v>
      </c>
      <c r="K4414" s="148" t="s">
        <v>64</v>
      </c>
      <c r="L4414" s="148" t="s">
        <v>65</v>
      </c>
      <c r="M4414" s="148" t="s">
        <v>185</v>
      </c>
      <c r="N4414" s="255">
        <v>46197.0</v>
      </c>
      <c r="O4414" s="148" t="s">
        <v>67</v>
      </c>
      <c r="P4414" s="148" t="s">
        <v>68</v>
      </c>
      <c r="Q4414" s="103"/>
      <c r="R4414" s="103"/>
      <c r="S4414" s="103"/>
      <c r="T4414" s="103"/>
      <c r="U4414" s="148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1">
        <v>4409.0</v>
      </c>
      <c r="B4415" s="90" t="s">
        <v>7378</v>
      </c>
      <c r="C4415" s="82" t="str">
        <f>VLOOKUP($B$7:$B$5000,SUM!$L$6:$L$500,1,FALSE)</f>
        <v>#N/A</v>
      </c>
      <c r="D4415" s="190" t="s">
        <v>7319</v>
      </c>
      <c r="E4415" s="198" t="s">
        <v>58</v>
      </c>
      <c r="F4415" s="199" t="s">
        <v>105</v>
      </c>
      <c r="G4415" s="191" t="s">
        <v>7373</v>
      </c>
      <c r="H4415" s="224" t="s">
        <v>7379</v>
      </c>
      <c r="I4415" s="197" t="s">
        <v>7375</v>
      </c>
      <c r="J4415" s="148" t="s">
        <v>63</v>
      </c>
      <c r="K4415" s="148" t="s">
        <v>64</v>
      </c>
      <c r="L4415" s="148" t="s">
        <v>65</v>
      </c>
      <c r="M4415" s="148" t="s">
        <v>185</v>
      </c>
      <c r="N4415" s="255">
        <v>46197.0</v>
      </c>
      <c r="O4415" s="148" t="s">
        <v>67</v>
      </c>
      <c r="P4415" s="148" t="s">
        <v>68</v>
      </c>
      <c r="Q4415" s="103"/>
      <c r="R4415" s="103"/>
      <c r="S4415" s="103"/>
      <c r="T4415" s="103"/>
      <c r="U4415" s="148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1">
        <v>4410.0</v>
      </c>
      <c r="B4416" s="90" t="s">
        <v>7380</v>
      </c>
      <c r="C4416" s="82" t="str">
        <f>VLOOKUP($B$7:$B$5000,SUM!$L$6:$L$500,1,FALSE)</f>
        <v>#N/A</v>
      </c>
      <c r="D4416" s="190" t="s">
        <v>7319</v>
      </c>
      <c r="E4416" s="198" t="s">
        <v>58</v>
      </c>
      <c r="F4416" s="199" t="s">
        <v>105</v>
      </c>
      <c r="G4416" s="191" t="s">
        <v>6057</v>
      </c>
      <c r="H4416" s="199" t="s">
        <v>7320</v>
      </c>
      <c r="I4416" s="197" t="s">
        <v>7381</v>
      </c>
      <c r="J4416" s="148" t="s">
        <v>63</v>
      </c>
      <c r="K4416" s="148" t="s">
        <v>64</v>
      </c>
      <c r="L4416" s="148" t="s">
        <v>65</v>
      </c>
      <c r="M4416" s="148" t="s">
        <v>185</v>
      </c>
      <c r="N4416" s="255">
        <v>46197.0</v>
      </c>
      <c r="O4416" s="148" t="s">
        <v>67</v>
      </c>
      <c r="P4416" s="148" t="s">
        <v>68</v>
      </c>
      <c r="Q4416" s="103"/>
      <c r="R4416" s="103"/>
      <c r="S4416" s="103"/>
      <c r="T4416" s="103"/>
      <c r="U4416" s="148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1">
        <v>4411.0</v>
      </c>
      <c r="B4417" s="90" t="s">
        <v>7382</v>
      </c>
      <c r="C4417" s="82" t="str">
        <f>VLOOKUP($B$7:$B$5000,SUM!$L$6:$L$500,1,FALSE)</f>
        <v>#N/A</v>
      </c>
      <c r="D4417" s="190" t="s">
        <v>7319</v>
      </c>
      <c r="E4417" s="198" t="s">
        <v>58</v>
      </c>
      <c r="F4417" s="199" t="s">
        <v>105</v>
      </c>
      <c r="G4417" s="191" t="s">
        <v>6057</v>
      </c>
      <c r="H4417" s="199" t="s">
        <v>7323</v>
      </c>
      <c r="I4417" s="197" t="s">
        <v>7381</v>
      </c>
      <c r="J4417" s="148" t="s">
        <v>63</v>
      </c>
      <c r="K4417" s="148" t="s">
        <v>64</v>
      </c>
      <c r="L4417" s="148" t="s">
        <v>65</v>
      </c>
      <c r="M4417" s="148" t="s">
        <v>185</v>
      </c>
      <c r="N4417" s="255">
        <v>46197.0</v>
      </c>
      <c r="O4417" s="148" t="s">
        <v>67</v>
      </c>
      <c r="P4417" s="148" t="s">
        <v>68</v>
      </c>
      <c r="Q4417" s="103"/>
      <c r="R4417" s="103"/>
      <c r="S4417" s="103"/>
      <c r="T4417" s="103"/>
      <c r="U4417" s="148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1">
        <v>4412.0</v>
      </c>
      <c r="B4418" s="90" t="s">
        <v>7383</v>
      </c>
      <c r="C4418" s="82" t="str">
        <f>VLOOKUP($B$7:$B$5000,SUM!$L$6:$L$500,1,FALSE)</f>
        <v>#N/A</v>
      </c>
      <c r="D4418" s="190" t="s">
        <v>7319</v>
      </c>
      <c r="E4418" s="198" t="s">
        <v>58</v>
      </c>
      <c r="F4418" s="199" t="s">
        <v>105</v>
      </c>
      <c r="G4418" s="191" t="s">
        <v>6057</v>
      </c>
      <c r="H4418" s="199" t="s">
        <v>7325</v>
      </c>
      <c r="I4418" s="197" t="s">
        <v>7381</v>
      </c>
      <c r="J4418" s="148" t="s">
        <v>63</v>
      </c>
      <c r="K4418" s="148" t="s">
        <v>64</v>
      </c>
      <c r="L4418" s="148" t="s">
        <v>65</v>
      </c>
      <c r="M4418" s="148" t="s">
        <v>185</v>
      </c>
      <c r="N4418" s="255">
        <v>46197.0</v>
      </c>
      <c r="O4418" s="148" t="s">
        <v>67</v>
      </c>
      <c r="P4418" s="148" t="s">
        <v>68</v>
      </c>
      <c r="Q4418" s="103"/>
      <c r="R4418" s="103"/>
      <c r="S4418" s="103"/>
      <c r="T4418" s="103"/>
      <c r="U4418" s="148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1">
        <v>4413.0</v>
      </c>
      <c r="B4419" s="90" t="s">
        <v>7384</v>
      </c>
      <c r="C4419" s="82" t="str">
        <f>VLOOKUP($B$7:$B$5000,SUM!$L$6:$L$500,1,FALSE)</f>
        <v>#N/A</v>
      </c>
      <c r="D4419" s="190" t="s">
        <v>7319</v>
      </c>
      <c r="E4419" s="198" t="s">
        <v>58</v>
      </c>
      <c r="F4419" s="199" t="s">
        <v>105</v>
      </c>
      <c r="G4419" s="191" t="s">
        <v>6057</v>
      </c>
      <c r="H4419" s="199" t="s">
        <v>7327</v>
      </c>
      <c r="I4419" s="197" t="s">
        <v>7381</v>
      </c>
      <c r="J4419" s="148" t="s">
        <v>63</v>
      </c>
      <c r="K4419" s="148" t="s">
        <v>64</v>
      </c>
      <c r="L4419" s="148" t="s">
        <v>65</v>
      </c>
      <c r="M4419" s="148" t="s">
        <v>185</v>
      </c>
      <c r="N4419" s="255">
        <v>46197.0</v>
      </c>
      <c r="O4419" s="148" t="s">
        <v>67</v>
      </c>
      <c r="P4419" s="148" t="s">
        <v>68</v>
      </c>
      <c r="Q4419" s="103"/>
      <c r="R4419" s="103"/>
      <c r="S4419" s="103"/>
      <c r="T4419" s="103"/>
      <c r="U4419" s="148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1">
        <v>4414.0</v>
      </c>
      <c r="B4420" s="90" t="s">
        <v>7385</v>
      </c>
      <c r="C4420" s="82" t="str">
        <f>VLOOKUP($B$7:$B$5000,SUM!$L$6:$L$500,1,FALSE)</f>
        <v>#N/A</v>
      </c>
      <c r="D4420" s="190" t="s">
        <v>7319</v>
      </c>
      <c r="E4420" s="198" t="s">
        <v>58</v>
      </c>
      <c r="F4420" s="199" t="s">
        <v>105</v>
      </c>
      <c r="G4420" s="191" t="s">
        <v>6057</v>
      </c>
      <c r="H4420" s="199" t="s">
        <v>7329</v>
      </c>
      <c r="I4420" s="197" t="s">
        <v>7381</v>
      </c>
      <c r="J4420" s="148" t="s">
        <v>63</v>
      </c>
      <c r="K4420" s="148" t="s">
        <v>64</v>
      </c>
      <c r="L4420" s="148" t="s">
        <v>65</v>
      </c>
      <c r="M4420" s="148" t="s">
        <v>185</v>
      </c>
      <c r="N4420" s="255">
        <v>46197.0</v>
      </c>
      <c r="O4420" s="148" t="s">
        <v>67</v>
      </c>
      <c r="P4420" s="148" t="s">
        <v>68</v>
      </c>
      <c r="Q4420" s="103"/>
      <c r="R4420" s="103"/>
      <c r="S4420" s="103"/>
      <c r="T4420" s="103"/>
      <c r="U4420" s="148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1">
        <v>4415.0</v>
      </c>
      <c r="B4421" s="90" t="s">
        <v>7386</v>
      </c>
      <c r="C4421" s="82" t="str">
        <f>VLOOKUP($B$7:$B$5000,SUM!$L$6:$L$500,1,FALSE)</f>
        <v>#N/A</v>
      </c>
      <c r="D4421" s="190" t="s">
        <v>7319</v>
      </c>
      <c r="E4421" s="198" t="s">
        <v>58</v>
      </c>
      <c r="F4421" s="199" t="s">
        <v>105</v>
      </c>
      <c r="G4421" s="191" t="s">
        <v>6057</v>
      </c>
      <c r="H4421" s="199" t="s">
        <v>7331</v>
      </c>
      <c r="I4421" s="197" t="s">
        <v>7381</v>
      </c>
      <c r="J4421" s="148" t="s">
        <v>63</v>
      </c>
      <c r="K4421" s="148" t="s">
        <v>64</v>
      </c>
      <c r="L4421" s="148" t="s">
        <v>65</v>
      </c>
      <c r="M4421" s="148" t="s">
        <v>185</v>
      </c>
      <c r="N4421" s="255">
        <v>46197.0</v>
      </c>
      <c r="O4421" s="148" t="s">
        <v>67</v>
      </c>
      <c r="P4421" s="148" t="s">
        <v>68</v>
      </c>
      <c r="Q4421" s="103"/>
      <c r="R4421" s="103"/>
      <c r="S4421" s="103"/>
      <c r="T4421" s="103"/>
      <c r="U4421" s="148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1">
        <v>4416.0</v>
      </c>
      <c r="B4422" s="90" t="s">
        <v>7387</v>
      </c>
      <c r="C4422" s="82" t="str">
        <f>VLOOKUP($B$7:$B$5000,SUM!$L$6:$L$500,1,FALSE)</f>
        <v>#N/A</v>
      </c>
      <c r="D4422" s="190" t="s">
        <v>7319</v>
      </c>
      <c r="E4422" s="198" t="s">
        <v>58</v>
      </c>
      <c r="F4422" s="199" t="s">
        <v>105</v>
      </c>
      <c r="G4422" s="191" t="s">
        <v>6057</v>
      </c>
      <c r="H4422" s="199" t="s">
        <v>7333</v>
      </c>
      <c r="I4422" s="197" t="s">
        <v>7381</v>
      </c>
      <c r="J4422" s="148" t="s">
        <v>63</v>
      </c>
      <c r="K4422" s="148" t="s">
        <v>64</v>
      </c>
      <c r="L4422" s="148" t="s">
        <v>65</v>
      </c>
      <c r="M4422" s="148" t="s">
        <v>185</v>
      </c>
      <c r="N4422" s="255">
        <v>46197.0</v>
      </c>
      <c r="O4422" s="148" t="s">
        <v>67</v>
      </c>
      <c r="P4422" s="148" t="s">
        <v>68</v>
      </c>
      <c r="Q4422" s="103"/>
      <c r="R4422" s="103"/>
      <c r="S4422" s="103"/>
      <c r="T4422" s="103"/>
      <c r="U4422" s="148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1">
        <v>4417.0</v>
      </c>
      <c r="B4423" s="90" t="s">
        <v>7388</v>
      </c>
      <c r="C4423" s="82" t="str">
        <f>VLOOKUP($B$7:$B$5000,SUM!$L$6:$L$500,1,FALSE)</f>
        <v>#N/A</v>
      </c>
      <c r="D4423" s="190" t="s">
        <v>7319</v>
      </c>
      <c r="E4423" s="198" t="s">
        <v>58</v>
      </c>
      <c r="F4423" s="199" t="s">
        <v>105</v>
      </c>
      <c r="G4423" s="191" t="s">
        <v>6057</v>
      </c>
      <c r="H4423" s="199" t="s">
        <v>7335</v>
      </c>
      <c r="I4423" s="197" t="s">
        <v>7381</v>
      </c>
      <c r="J4423" s="148" t="s">
        <v>63</v>
      </c>
      <c r="K4423" s="148" t="s">
        <v>64</v>
      </c>
      <c r="L4423" s="148" t="s">
        <v>65</v>
      </c>
      <c r="M4423" s="148" t="s">
        <v>185</v>
      </c>
      <c r="N4423" s="255">
        <v>46197.0</v>
      </c>
      <c r="O4423" s="148" t="s">
        <v>67</v>
      </c>
      <c r="P4423" s="148" t="s">
        <v>68</v>
      </c>
      <c r="Q4423" s="103"/>
      <c r="R4423" s="103"/>
      <c r="S4423" s="103"/>
      <c r="T4423" s="103"/>
      <c r="U4423" s="148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1">
        <v>4418.0</v>
      </c>
      <c r="B4424" s="90" t="s">
        <v>7389</v>
      </c>
      <c r="C4424" s="82" t="str">
        <f>VLOOKUP($B$7:$B$5000,SUM!$L$6:$L$500,1,FALSE)</f>
        <v>#N/A</v>
      </c>
      <c r="D4424" s="190" t="s">
        <v>7319</v>
      </c>
      <c r="E4424" s="198" t="s">
        <v>58</v>
      </c>
      <c r="F4424" s="199" t="s">
        <v>105</v>
      </c>
      <c r="G4424" s="191" t="s">
        <v>6057</v>
      </c>
      <c r="H4424" s="199" t="s">
        <v>7337</v>
      </c>
      <c r="I4424" s="197" t="s">
        <v>7381</v>
      </c>
      <c r="J4424" s="148" t="s">
        <v>63</v>
      </c>
      <c r="K4424" s="148" t="s">
        <v>64</v>
      </c>
      <c r="L4424" s="148" t="s">
        <v>65</v>
      </c>
      <c r="M4424" s="148" t="s">
        <v>185</v>
      </c>
      <c r="N4424" s="255">
        <v>46197.0</v>
      </c>
      <c r="O4424" s="148" t="s">
        <v>67</v>
      </c>
      <c r="P4424" s="148" t="s">
        <v>68</v>
      </c>
      <c r="Q4424" s="103"/>
      <c r="R4424" s="103"/>
      <c r="S4424" s="103"/>
      <c r="T4424" s="103"/>
      <c r="U4424" s="148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1">
        <v>4419.0</v>
      </c>
      <c r="B4425" s="90" t="s">
        <v>7390</v>
      </c>
      <c r="C4425" s="82" t="str">
        <f>VLOOKUP($B$7:$B$5000,SUM!$L$6:$L$500,1,FALSE)</f>
        <v>#N/A</v>
      </c>
      <c r="D4425" s="190" t="s">
        <v>7319</v>
      </c>
      <c r="E4425" s="198" t="s">
        <v>58</v>
      </c>
      <c r="F4425" s="199" t="s">
        <v>105</v>
      </c>
      <c r="G4425" s="191" t="s">
        <v>6057</v>
      </c>
      <c r="H4425" s="199" t="s">
        <v>7339</v>
      </c>
      <c r="I4425" s="197" t="s">
        <v>7381</v>
      </c>
      <c r="J4425" s="148" t="s">
        <v>63</v>
      </c>
      <c r="K4425" s="148" t="s">
        <v>64</v>
      </c>
      <c r="L4425" s="148" t="s">
        <v>65</v>
      </c>
      <c r="M4425" s="148" t="s">
        <v>185</v>
      </c>
      <c r="N4425" s="255">
        <v>46197.0</v>
      </c>
      <c r="O4425" s="148" t="s">
        <v>67</v>
      </c>
      <c r="P4425" s="148" t="s">
        <v>68</v>
      </c>
      <c r="Q4425" s="103"/>
      <c r="R4425" s="103"/>
      <c r="S4425" s="103"/>
      <c r="T4425" s="103"/>
      <c r="U4425" s="148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1">
        <v>4420.0</v>
      </c>
      <c r="B4426" s="90" t="s">
        <v>7391</v>
      </c>
      <c r="C4426" s="82" t="str">
        <f>VLOOKUP($B$7:$B$5000,SUM!$L$6:$L$500,1,FALSE)</f>
        <v>#N/A</v>
      </c>
      <c r="D4426" s="190" t="s">
        <v>7319</v>
      </c>
      <c r="E4426" s="198" t="s">
        <v>58</v>
      </c>
      <c r="F4426" s="199" t="s">
        <v>105</v>
      </c>
      <c r="G4426" s="191" t="s">
        <v>6057</v>
      </c>
      <c r="H4426" s="199" t="s">
        <v>7341</v>
      </c>
      <c r="I4426" s="197" t="s">
        <v>7381</v>
      </c>
      <c r="J4426" s="148" t="s">
        <v>63</v>
      </c>
      <c r="K4426" s="148" t="s">
        <v>64</v>
      </c>
      <c r="L4426" s="148" t="s">
        <v>65</v>
      </c>
      <c r="M4426" s="148" t="s">
        <v>185</v>
      </c>
      <c r="N4426" s="255">
        <v>46197.0</v>
      </c>
      <c r="O4426" s="148" t="s">
        <v>67</v>
      </c>
      <c r="P4426" s="148" t="s">
        <v>68</v>
      </c>
      <c r="Q4426" s="103"/>
      <c r="R4426" s="103"/>
      <c r="S4426" s="103"/>
      <c r="T4426" s="103"/>
      <c r="U4426" s="148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1">
        <v>4421.0</v>
      </c>
      <c r="B4427" s="90" t="s">
        <v>7392</v>
      </c>
      <c r="C4427" s="82" t="str">
        <f>VLOOKUP($B$7:$B$5000,SUM!$L$6:$L$500,1,FALSE)</f>
        <v>#N/A</v>
      </c>
      <c r="D4427" s="190" t="s">
        <v>7319</v>
      </c>
      <c r="E4427" s="198" t="s">
        <v>58</v>
      </c>
      <c r="F4427" s="199" t="s">
        <v>105</v>
      </c>
      <c r="G4427" s="191" t="s">
        <v>6057</v>
      </c>
      <c r="H4427" s="199" t="s">
        <v>7343</v>
      </c>
      <c r="I4427" s="197" t="s">
        <v>7381</v>
      </c>
      <c r="J4427" s="148" t="s">
        <v>63</v>
      </c>
      <c r="K4427" s="148" t="s">
        <v>64</v>
      </c>
      <c r="L4427" s="148" t="s">
        <v>65</v>
      </c>
      <c r="M4427" s="148" t="s">
        <v>185</v>
      </c>
      <c r="N4427" s="255">
        <v>46197.0</v>
      </c>
      <c r="O4427" s="148" t="s">
        <v>67</v>
      </c>
      <c r="P4427" s="148" t="s">
        <v>68</v>
      </c>
      <c r="Q4427" s="103"/>
      <c r="R4427" s="103"/>
      <c r="S4427" s="103"/>
      <c r="T4427" s="103"/>
      <c r="U4427" s="148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1">
        <v>4422.0</v>
      </c>
      <c r="B4428" s="90" t="s">
        <v>7393</v>
      </c>
      <c r="C4428" s="82" t="str">
        <f>VLOOKUP($B$7:$B$5000,SUM!$L$6:$L$500,1,FALSE)</f>
        <v>#N/A</v>
      </c>
      <c r="D4428" s="190" t="s">
        <v>7319</v>
      </c>
      <c r="E4428" s="198" t="s">
        <v>58</v>
      </c>
      <c r="F4428" s="199" t="s">
        <v>105</v>
      </c>
      <c r="G4428" s="191" t="s">
        <v>6057</v>
      </c>
      <c r="H4428" s="199" t="s">
        <v>7345</v>
      </c>
      <c r="I4428" s="197" t="s">
        <v>7381</v>
      </c>
      <c r="J4428" s="148" t="s">
        <v>63</v>
      </c>
      <c r="K4428" s="148" t="s">
        <v>64</v>
      </c>
      <c r="L4428" s="148" t="s">
        <v>65</v>
      </c>
      <c r="M4428" s="148" t="s">
        <v>185</v>
      </c>
      <c r="N4428" s="255">
        <v>46197.0</v>
      </c>
      <c r="O4428" s="148" t="s">
        <v>67</v>
      </c>
      <c r="P4428" s="148" t="s">
        <v>68</v>
      </c>
      <c r="Q4428" s="103"/>
      <c r="R4428" s="103"/>
      <c r="S4428" s="103"/>
      <c r="T4428" s="103"/>
      <c r="U4428" s="148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1">
        <v>4423.0</v>
      </c>
      <c r="B4429" s="90" t="s">
        <v>7394</v>
      </c>
      <c r="C4429" s="82" t="str">
        <f>VLOOKUP($B$7:$B$5000,SUM!$L$6:$L$500,1,FALSE)</f>
        <v>#N/A</v>
      </c>
      <c r="D4429" s="190" t="s">
        <v>7319</v>
      </c>
      <c r="E4429" s="198" t="s">
        <v>58</v>
      </c>
      <c r="F4429" s="199" t="s">
        <v>105</v>
      </c>
      <c r="G4429" s="191" t="s">
        <v>6057</v>
      </c>
      <c r="H4429" s="199" t="s">
        <v>7347</v>
      </c>
      <c r="I4429" s="197" t="s">
        <v>7381</v>
      </c>
      <c r="J4429" s="148" t="s">
        <v>63</v>
      </c>
      <c r="K4429" s="148" t="s">
        <v>64</v>
      </c>
      <c r="L4429" s="148" t="s">
        <v>65</v>
      </c>
      <c r="M4429" s="148" t="s">
        <v>185</v>
      </c>
      <c r="N4429" s="255">
        <v>46197.0</v>
      </c>
      <c r="O4429" s="148" t="s">
        <v>67</v>
      </c>
      <c r="P4429" s="148" t="s">
        <v>68</v>
      </c>
      <c r="Q4429" s="103"/>
      <c r="R4429" s="103"/>
      <c r="S4429" s="103"/>
      <c r="T4429" s="103"/>
      <c r="U4429" s="148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1">
        <v>4424.0</v>
      </c>
      <c r="B4430" s="90" t="s">
        <v>7395</v>
      </c>
      <c r="C4430" s="82" t="str">
        <f>VLOOKUP($B$7:$B$5000,SUM!$L$6:$L$500,1,FALSE)</f>
        <v>#N/A</v>
      </c>
      <c r="D4430" s="190" t="s">
        <v>7319</v>
      </c>
      <c r="E4430" s="198" t="s">
        <v>58</v>
      </c>
      <c r="F4430" s="199" t="s">
        <v>105</v>
      </c>
      <c r="G4430" s="191" t="s">
        <v>6057</v>
      </c>
      <c r="H4430" s="199" t="s">
        <v>7349</v>
      </c>
      <c r="I4430" s="197" t="s">
        <v>7381</v>
      </c>
      <c r="J4430" s="148" t="s">
        <v>63</v>
      </c>
      <c r="K4430" s="148" t="s">
        <v>64</v>
      </c>
      <c r="L4430" s="148" t="s">
        <v>65</v>
      </c>
      <c r="M4430" s="148" t="s">
        <v>185</v>
      </c>
      <c r="N4430" s="255">
        <v>46197.0</v>
      </c>
      <c r="O4430" s="148" t="s">
        <v>67</v>
      </c>
      <c r="P4430" s="148" t="s">
        <v>68</v>
      </c>
      <c r="Q4430" s="103"/>
      <c r="R4430" s="103"/>
      <c r="S4430" s="103"/>
      <c r="T4430" s="103"/>
      <c r="U4430" s="148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1">
        <v>4425.0</v>
      </c>
      <c r="B4431" s="90" t="s">
        <v>7396</v>
      </c>
      <c r="C4431" s="82" t="str">
        <f>VLOOKUP($B$7:$B$5000,SUM!$L$6:$L$500,1,FALSE)</f>
        <v>#N/A</v>
      </c>
      <c r="D4431" s="190" t="s">
        <v>7319</v>
      </c>
      <c r="E4431" s="198" t="s">
        <v>58</v>
      </c>
      <c r="F4431" s="199" t="s">
        <v>105</v>
      </c>
      <c r="G4431" s="191" t="s">
        <v>6057</v>
      </c>
      <c r="H4431" s="199" t="s">
        <v>7351</v>
      </c>
      <c r="I4431" s="197" t="s">
        <v>7381</v>
      </c>
      <c r="J4431" s="148" t="s">
        <v>63</v>
      </c>
      <c r="K4431" s="148" t="s">
        <v>64</v>
      </c>
      <c r="L4431" s="148" t="s">
        <v>65</v>
      </c>
      <c r="M4431" s="148" t="s">
        <v>185</v>
      </c>
      <c r="N4431" s="255">
        <v>46197.0</v>
      </c>
      <c r="O4431" s="148" t="s">
        <v>67</v>
      </c>
      <c r="P4431" s="148" t="s">
        <v>68</v>
      </c>
      <c r="Q4431" s="103"/>
      <c r="R4431" s="103"/>
      <c r="S4431" s="103"/>
      <c r="T4431" s="103"/>
      <c r="U4431" s="148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1">
        <v>4426.0</v>
      </c>
      <c r="B4432" s="90" t="s">
        <v>7397</v>
      </c>
      <c r="C4432" s="82" t="str">
        <f>VLOOKUP($B$7:$B$5000,SUM!$L$6:$L$500,1,FALSE)</f>
        <v>#N/A</v>
      </c>
      <c r="D4432" s="190" t="s">
        <v>7319</v>
      </c>
      <c r="E4432" s="198" t="s">
        <v>58</v>
      </c>
      <c r="F4432" s="199" t="s">
        <v>105</v>
      </c>
      <c r="G4432" s="191" t="s">
        <v>6057</v>
      </c>
      <c r="H4432" s="199" t="s">
        <v>7353</v>
      </c>
      <c r="I4432" s="197" t="s">
        <v>7381</v>
      </c>
      <c r="J4432" s="148" t="s">
        <v>63</v>
      </c>
      <c r="K4432" s="148" t="s">
        <v>64</v>
      </c>
      <c r="L4432" s="148" t="s">
        <v>65</v>
      </c>
      <c r="M4432" s="148" t="s">
        <v>185</v>
      </c>
      <c r="N4432" s="255">
        <v>46197.0</v>
      </c>
      <c r="O4432" s="148" t="s">
        <v>67</v>
      </c>
      <c r="P4432" s="148" t="s">
        <v>68</v>
      </c>
      <c r="Q4432" s="103"/>
      <c r="R4432" s="103"/>
      <c r="S4432" s="103"/>
      <c r="T4432" s="103"/>
      <c r="U4432" s="148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1">
        <v>4427.0</v>
      </c>
      <c r="B4433" s="90" t="s">
        <v>7398</v>
      </c>
      <c r="C4433" s="82" t="str">
        <f>VLOOKUP($B$7:$B$5000,SUM!$L$6:$L$500,1,FALSE)</f>
        <v>#N/A</v>
      </c>
      <c r="D4433" s="190" t="s">
        <v>7319</v>
      </c>
      <c r="E4433" s="198" t="s">
        <v>58</v>
      </c>
      <c r="F4433" s="199" t="s">
        <v>105</v>
      </c>
      <c r="G4433" s="191" t="s">
        <v>6057</v>
      </c>
      <c r="H4433" s="199" t="s">
        <v>7355</v>
      </c>
      <c r="I4433" s="197" t="s">
        <v>7381</v>
      </c>
      <c r="J4433" s="148" t="s">
        <v>63</v>
      </c>
      <c r="K4433" s="148" t="s">
        <v>64</v>
      </c>
      <c r="L4433" s="148" t="s">
        <v>65</v>
      </c>
      <c r="M4433" s="148" t="s">
        <v>185</v>
      </c>
      <c r="N4433" s="255">
        <v>46197.0</v>
      </c>
      <c r="O4433" s="148" t="s">
        <v>67</v>
      </c>
      <c r="P4433" s="148" t="s">
        <v>68</v>
      </c>
      <c r="Q4433" s="103"/>
      <c r="R4433" s="103"/>
      <c r="S4433" s="103"/>
      <c r="T4433" s="103"/>
      <c r="U4433" s="148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1">
        <v>4428.0</v>
      </c>
      <c r="B4434" s="90" t="s">
        <v>7399</v>
      </c>
      <c r="C4434" s="82" t="str">
        <f>VLOOKUP($B$7:$B$5000,SUM!$L$6:$L$500,1,FALSE)</f>
        <v>#N/A</v>
      </c>
      <c r="D4434" s="190" t="s">
        <v>7319</v>
      </c>
      <c r="E4434" s="198" t="s">
        <v>58</v>
      </c>
      <c r="F4434" s="199" t="s">
        <v>105</v>
      </c>
      <c r="G4434" s="191" t="s">
        <v>6057</v>
      </c>
      <c r="H4434" s="199" t="s">
        <v>7357</v>
      </c>
      <c r="I4434" s="197" t="s">
        <v>7381</v>
      </c>
      <c r="J4434" s="148" t="s">
        <v>63</v>
      </c>
      <c r="K4434" s="148" t="s">
        <v>64</v>
      </c>
      <c r="L4434" s="148" t="s">
        <v>65</v>
      </c>
      <c r="M4434" s="148" t="s">
        <v>185</v>
      </c>
      <c r="N4434" s="255">
        <v>46197.0</v>
      </c>
      <c r="O4434" s="148" t="s">
        <v>67</v>
      </c>
      <c r="P4434" s="148" t="s">
        <v>68</v>
      </c>
      <c r="Q4434" s="103"/>
      <c r="R4434" s="103"/>
      <c r="S4434" s="103"/>
      <c r="T4434" s="103"/>
      <c r="U4434" s="148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1">
        <v>4429.0</v>
      </c>
      <c r="B4435" s="90" t="s">
        <v>7400</v>
      </c>
      <c r="C4435" s="82" t="str">
        <f>VLOOKUP($B$7:$B$5000,SUM!$L$6:$L$500,1,FALSE)</f>
        <v>#N/A</v>
      </c>
      <c r="D4435" s="190" t="s">
        <v>7319</v>
      </c>
      <c r="E4435" s="198" t="s">
        <v>58</v>
      </c>
      <c r="F4435" s="199" t="s">
        <v>105</v>
      </c>
      <c r="G4435" s="191" t="s">
        <v>6057</v>
      </c>
      <c r="H4435" s="199" t="s">
        <v>7359</v>
      </c>
      <c r="I4435" s="197" t="s">
        <v>7381</v>
      </c>
      <c r="J4435" s="148" t="s">
        <v>63</v>
      </c>
      <c r="K4435" s="148" t="s">
        <v>64</v>
      </c>
      <c r="L4435" s="148" t="s">
        <v>65</v>
      </c>
      <c r="M4435" s="148" t="s">
        <v>185</v>
      </c>
      <c r="N4435" s="255">
        <v>46197.0</v>
      </c>
      <c r="O4435" s="148" t="s">
        <v>67</v>
      </c>
      <c r="P4435" s="148" t="s">
        <v>68</v>
      </c>
      <c r="Q4435" s="103"/>
      <c r="R4435" s="103"/>
      <c r="S4435" s="103"/>
      <c r="T4435" s="103"/>
      <c r="U4435" s="148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1">
        <v>4430.0</v>
      </c>
      <c r="B4436" s="90" t="s">
        <v>7401</v>
      </c>
      <c r="C4436" s="82" t="str">
        <f>VLOOKUP($B$7:$B$5000,SUM!$L$6:$L$500,1,FALSE)</f>
        <v>#N/A</v>
      </c>
      <c r="D4436" s="190" t="s">
        <v>7319</v>
      </c>
      <c r="E4436" s="198" t="s">
        <v>58</v>
      </c>
      <c r="F4436" s="199" t="s">
        <v>105</v>
      </c>
      <c r="G4436" s="191" t="s">
        <v>6057</v>
      </c>
      <c r="H4436" s="199" t="s">
        <v>7361</v>
      </c>
      <c r="I4436" s="197" t="s">
        <v>7381</v>
      </c>
      <c r="J4436" s="148" t="s">
        <v>63</v>
      </c>
      <c r="K4436" s="148" t="s">
        <v>64</v>
      </c>
      <c r="L4436" s="148" t="s">
        <v>65</v>
      </c>
      <c r="M4436" s="148" t="s">
        <v>185</v>
      </c>
      <c r="N4436" s="255">
        <v>46197.0</v>
      </c>
      <c r="O4436" s="148" t="s">
        <v>67</v>
      </c>
      <c r="P4436" s="148" t="s">
        <v>68</v>
      </c>
      <c r="Q4436" s="103"/>
      <c r="R4436" s="103"/>
      <c r="S4436" s="103"/>
      <c r="T4436" s="103"/>
      <c r="U4436" s="148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1">
        <v>4431.0</v>
      </c>
      <c r="B4437" s="90" t="s">
        <v>7402</v>
      </c>
      <c r="C4437" s="82" t="str">
        <f>VLOOKUP($B$7:$B$5000,SUM!$L$6:$L$500,1,FALSE)</f>
        <v>#N/A</v>
      </c>
      <c r="D4437" s="190" t="s">
        <v>7319</v>
      </c>
      <c r="E4437" s="198" t="s">
        <v>58</v>
      </c>
      <c r="F4437" s="199" t="s">
        <v>105</v>
      </c>
      <c r="G4437" s="191" t="s">
        <v>6057</v>
      </c>
      <c r="H4437" s="199" t="s">
        <v>7363</v>
      </c>
      <c r="I4437" s="197" t="s">
        <v>7381</v>
      </c>
      <c r="J4437" s="148" t="s">
        <v>63</v>
      </c>
      <c r="K4437" s="148" t="s">
        <v>64</v>
      </c>
      <c r="L4437" s="148" t="s">
        <v>65</v>
      </c>
      <c r="M4437" s="148" t="s">
        <v>185</v>
      </c>
      <c r="N4437" s="255">
        <v>46197.0</v>
      </c>
      <c r="O4437" s="148" t="s">
        <v>67</v>
      </c>
      <c r="P4437" s="148" t="s">
        <v>68</v>
      </c>
      <c r="Q4437" s="103"/>
      <c r="R4437" s="103"/>
      <c r="S4437" s="103"/>
      <c r="T4437" s="103"/>
      <c r="U4437" s="148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1">
        <v>4432.0</v>
      </c>
      <c r="B4438" s="90" t="s">
        <v>7403</v>
      </c>
      <c r="C4438" s="82" t="str">
        <f>VLOOKUP($B$7:$B$5000,SUM!$L$6:$L$500,1,FALSE)</f>
        <v>#N/A</v>
      </c>
      <c r="D4438" s="190" t="s">
        <v>7319</v>
      </c>
      <c r="E4438" s="198" t="s">
        <v>58</v>
      </c>
      <c r="F4438" s="199" t="s">
        <v>105</v>
      </c>
      <c r="G4438" s="191" t="s">
        <v>6057</v>
      </c>
      <c r="H4438" s="199" t="s">
        <v>7365</v>
      </c>
      <c r="I4438" s="197" t="s">
        <v>7381</v>
      </c>
      <c r="J4438" s="148" t="s">
        <v>63</v>
      </c>
      <c r="K4438" s="148" t="s">
        <v>64</v>
      </c>
      <c r="L4438" s="148" t="s">
        <v>65</v>
      </c>
      <c r="M4438" s="148" t="s">
        <v>185</v>
      </c>
      <c r="N4438" s="255">
        <v>46197.0</v>
      </c>
      <c r="O4438" s="148" t="s">
        <v>67</v>
      </c>
      <c r="P4438" s="148" t="s">
        <v>68</v>
      </c>
      <c r="Q4438" s="103"/>
      <c r="R4438" s="103"/>
      <c r="S4438" s="103"/>
      <c r="T4438" s="103"/>
      <c r="U4438" s="148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1">
        <v>4433.0</v>
      </c>
      <c r="B4439" s="90" t="s">
        <v>7404</v>
      </c>
      <c r="C4439" s="82" t="str">
        <f>VLOOKUP($B$7:$B$5000,SUM!$L$6:$L$500,1,FALSE)</f>
        <v>#N/A</v>
      </c>
      <c r="D4439" s="190" t="s">
        <v>7319</v>
      </c>
      <c r="E4439" s="198" t="s">
        <v>58</v>
      </c>
      <c r="F4439" s="199" t="s">
        <v>105</v>
      </c>
      <c r="G4439" s="191" t="s">
        <v>6057</v>
      </c>
      <c r="H4439" s="199" t="s">
        <v>7367</v>
      </c>
      <c r="I4439" s="197" t="s">
        <v>7381</v>
      </c>
      <c r="J4439" s="148" t="s">
        <v>63</v>
      </c>
      <c r="K4439" s="148" t="s">
        <v>64</v>
      </c>
      <c r="L4439" s="148" t="s">
        <v>65</v>
      </c>
      <c r="M4439" s="148" t="s">
        <v>185</v>
      </c>
      <c r="N4439" s="255">
        <v>46197.0</v>
      </c>
      <c r="O4439" s="148" t="s">
        <v>67</v>
      </c>
      <c r="P4439" s="148" t="s">
        <v>68</v>
      </c>
      <c r="Q4439" s="103"/>
      <c r="R4439" s="103"/>
      <c r="S4439" s="103"/>
      <c r="T4439" s="103"/>
      <c r="U4439" s="148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1">
        <v>4434.0</v>
      </c>
      <c r="B4440" s="90" t="s">
        <v>7405</v>
      </c>
      <c r="C4440" s="82" t="str">
        <f>VLOOKUP($B$7:$B$5000,SUM!$L$6:$L$500,1,FALSE)</f>
        <v>#N/A</v>
      </c>
      <c r="D4440" s="190" t="s">
        <v>7319</v>
      </c>
      <c r="E4440" s="198" t="s">
        <v>58</v>
      </c>
      <c r="F4440" s="199" t="s">
        <v>105</v>
      </c>
      <c r="G4440" s="191" t="s">
        <v>6057</v>
      </c>
      <c r="H4440" s="199" t="s">
        <v>7369</v>
      </c>
      <c r="I4440" s="197" t="s">
        <v>7381</v>
      </c>
      <c r="J4440" s="148" t="s">
        <v>63</v>
      </c>
      <c r="K4440" s="148" t="s">
        <v>64</v>
      </c>
      <c r="L4440" s="148" t="s">
        <v>65</v>
      </c>
      <c r="M4440" s="148" t="s">
        <v>185</v>
      </c>
      <c r="N4440" s="255">
        <v>46197.0</v>
      </c>
      <c r="O4440" s="148" t="s">
        <v>67</v>
      </c>
      <c r="P4440" s="148" t="s">
        <v>68</v>
      </c>
      <c r="Q4440" s="103"/>
      <c r="R4440" s="103"/>
      <c r="S4440" s="103"/>
      <c r="T4440" s="103"/>
      <c r="U4440" s="148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1">
        <v>4435.0</v>
      </c>
      <c r="B4441" s="90" t="s">
        <v>7406</v>
      </c>
      <c r="C4441" s="82" t="str">
        <f>VLOOKUP($B$7:$B$5000,SUM!$L$6:$L$500,1,FALSE)</f>
        <v>#N/A</v>
      </c>
      <c r="D4441" s="190" t="s">
        <v>7319</v>
      </c>
      <c r="E4441" s="198" t="s">
        <v>58</v>
      </c>
      <c r="F4441" s="199" t="s">
        <v>105</v>
      </c>
      <c r="G4441" s="191" t="s">
        <v>6057</v>
      </c>
      <c r="H4441" s="199" t="s">
        <v>7371</v>
      </c>
      <c r="I4441" s="197" t="s">
        <v>7381</v>
      </c>
      <c r="J4441" s="148" t="s">
        <v>63</v>
      </c>
      <c r="K4441" s="148" t="s">
        <v>64</v>
      </c>
      <c r="L4441" s="148" t="s">
        <v>65</v>
      </c>
      <c r="M4441" s="148" t="s">
        <v>185</v>
      </c>
      <c r="N4441" s="255">
        <v>46197.0</v>
      </c>
      <c r="O4441" s="148" t="s">
        <v>67</v>
      </c>
      <c r="P4441" s="148" t="s">
        <v>68</v>
      </c>
      <c r="Q4441" s="103"/>
      <c r="R4441" s="103"/>
      <c r="S4441" s="103"/>
      <c r="T4441" s="103"/>
      <c r="U4441" s="148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1">
        <v>4436.0</v>
      </c>
      <c r="B4442" s="90" t="s">
        <v>7407</v>
      </c>
      <c r="C4442" s="82" t="str">
        <f>VLOOKUP($B$7:$B$5000,SUM!$L$6:$L$500,1,FALSE)</f>
        <v>#N/A</v>
      </c>
      <c r="D4442" s="190" t="s">
        <v>7319</v>
      </c>
      <c r="E4442" s="198" t="s">
        <v>58</v>
      </c>
      <c r="F4442" s="199" t="s">
        <v>105</v>
      </c>
      <c r="G4442" s="191" t="s">
        <v>7373</v>
      </c>
      <c r="H4442" s="199" t="s">
        <v>7374</v>
      </c>
      <c r="I4442" s="197" t="s">
        <v>7408</v>
      </c>
      <c r="J4442" s="148" t="s">
        <v>63</v>
      </c>
      <c r="K4442" s="148" t="s">
        <v>64</v>
      </c>
      <c r="L4442" s="148" t="s">
        <v>65</v>
      </c>
      <c r="M4442" s="148" t="s">
        <v>185</v>
      </c>
      <c r="N4442" s="255">
        <v>46197.0</v>
      </c>
      <c r="O4442" s="148" t="s">
        <v>67</v>
      </c>
      <c r="P4442" s="148" t="s">
        <v>68</v>
      </c>
      <c r="Q4442" s="103"/>
      <c r="R4442" s="103"/>
      <c r="S4442" s="103"/>
      <c r="T4442" s="103"/>
      <c r="U4442" s="148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1">
        <v>4437.0</v>
      </c>
      <c r="B4443" s="90" t="s">
        <v>7409</v>
      </c>
      <c r="C4443" s="82" t="str">
        <f>VLOOKUP($B$7:$B$5000,SUM!$L$6:$L$500,1,FALSE)</f>
        <v>#N/A</v>
      </c>
      <c r="D4443" s="190" t="s">
        <v>7319</v>
      </c>
      <c r="E4443" s="198" t="s">
        <v>58</v>
      </c>
      <c r="F4443" s="199" t="s">
        <v>105</v>
      </c>
      <c r="G4443" s="191" t="s">
        <v>7373</v>
      </c>
      <c r="H4443" s="199" t="s">
        <v>7377</v>
      </c>
      <c r="I4443" s="197" t="s">
        <v>7408</v>
      </c>
      <c r="J4443" s="148" t="s">
        <v>63</v>
      </c>
      <c r="K4443" s="148" t="s">
        <v>64</v>
      </c>
      <c r="L4443" s="148" t="s">
        <v>65</v>
      </c>
      <c r="M4443" s="148" t="s">
        <v>185</v>
      </c>
      <c r="N4443" s="255">
        <v>46197.0</v>
      </c>
      <c r="O4443" s="148" t="s">
        <v>67</v>
      </c>
      <c r="P4443" s="148" t="s">
        <v>68</v>
      </c>
      <c r="Q4443" s="103"/>
      <c r="R4443" s="103"/>
      <c r="S4443" s="103"/>
      <c r="T4443" s="103"/>
      <c r="U4443" s="148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1">
        <v>4438.0</v>
      </c>
      <c r="B4444" s="90" t="s">
        <v>7410</v>
      </c>
      <c r="C4444" s="82" t="str">
        <f>VLOOKUP($B$7:$B$5000,SUM!$L$6:$L$500,1,FALSE)</f>
        <v>#N/A</v>
      </c>
      <c r="D4444" s="190" t="s">
        <v>7319</v>
      </c>
      <c r="E4444" s="198" t="s">
        <v>58</v>
      </c>
      <c r="F4444" s="199" t="s">
        <v>105</v>
      </c>
      <c r="G4444" s="191" t="s">
        <v>7373</v>
      </c>
      <c r="H4444" s="199" t="s">
        <v>7379</v>
      </c>
      <c r="I4444" s="197" t="s">
        <v>7408</v>
      </c>
      <c r="J4444" s="148" t="s">
        <v>63</v>
      </c>
      <c r="K4444" s="148" t="s">
        <v>64</v>
      </c>
      <c r="L4444" s="148" t="s">
        <v>65</v>
      </c>
      <c r="M4444" s="148" t="s">
        <v>185</v>
      </c>
      <c r="N4444" s="255">
        <v>46197.0</v>
      </c>
      <c r="O4444" s="148" t="s">
        <v>67</v>
      </c>
      <c r="P4444" s="148" t="s">
        <v>68</v>
      </c>
      <c r="Q4444" s="103"/>
      <c r="R4444" s="103"/>
      <c r="S4444" s="103"/>
      <c r="T4444" s="103"/>
      <c r="U4444" s="148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1">
        <v>4439.0</v>
      </c>
      <c r="B4445" s="90" t="s">
        <v>7411</v>
      </c>
      <c r="C4445" s="82" t="str">
        <f>VLOOKUP($B$7:$B$5000,SUM!$L$6:$L$500,1,FALSE)</f>
        <v>#N/A</v>
      </c>
      <c r="D4445" s="190" t="s">
        <v>7319</v>
      </c>
      <c r="E4445" s="198" t="s">
        <v>58</v>
      </c>
      <c r="F4445" s="199" t="s">
        <v>105</v>
      </c>
      <c r="G4445" s="191" t="s">
        <v>6057</v>
      </c>
      <c r="H4445" s="224" t="s">
        <v>7320</v>
      </c>
      <c r="I4445" s="197" t="s">
        <v>7412</v>
      </c>
      <c r="J4445" s="148" t="s">
        <v>108</v>
      </c>
      <c r="K4445" s="148" t="s">
        <v>64</v>
      </c>
      <c r="L4445" s="148" t="s">
        <v>65</v>
      </c>
      <c r="M4445" s="148" t="s">
        <v>185</v>
      </c>
      <c r="N4445" s="255">
        <v>46197.0</v>
      </c>
      <c r="O4445" s="148" t="s">
        <v>67</v>
      </c>
      <c r="P4445" s="148" t="s">
        <v>68</v>
      </c>
      <c r="Q4445" s="103"/>
      <c r="R4445" s="103"/>
      <c r="S4445" s="103"/>
      <c r="T4445" s="103"/>
      <c r="U4445" s="148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1">
        <v>4440.0</v>
      </c>
      <c r="B4446" s="90" t="s">
        <v>7413</v>
      </c>
      <c r="C4446" s="82" t="str">
        <f>VLOOKUP($B$7:$B$5000,SUM!$L$6:$L$500,1,FALSE)</f>
        <v>#N/A</v>
      </c>
      <c r="D4446" s="190" t="s">
        <v>7319</v>
      </c>
      <c r="E4446" s="198" t="s">
        <v>58</v>
      </c>
      <c r="F4446" s="199" t="s">
        <v>105</v>
      </c>
      <c r="G4446" s="191" t="s">
        <v>6057</v>
      </c>
      <c r="H4446" s="224" t="s">
        <v>7323</v>
      </c>
      <c r="I4446" s="197" t="s">
        <v>7412</v>
      </c>
      <c r="J4446" s="148" t="s">
        <v>108</v>
      </c>
      <c r="K4446" s="148" t="s">
        <v>64</v>
      </c>
      <c r="L4446" s="148" t="s">
        <v>65</v>
      </c>
      <c r="M4446" s="148" t="s">
        <v>185</v>
      </c>
      <c r="N4446" s="255">
        <v>46197.0</v>
      </c>
      <c r="O4446" s="148" t="s">
        <v>67</v>
      </c>
      <c r="P4446" s="148" t="s">
        <v>68</v>
      </c>
      <c r="Q4446" s="103"/>
      <c r="R4446" s="103"/>
      <c r="S4446" s="103"/>
      <c r="T4446" s="103"/>
      <c r="U4446" s="148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1">
        <v>4441.0</v>
      </c>
      <c r="B4447" s="90" t="s">
        <v>7414</v>
      </c>
      <c r="C4447" s="82" t="str">
        <f>VLOOKUP($B$7:$B$5000,SUM!$L$6:$L$500,1,FALSE)</f>
        <v>#N/A</v>
      </c>
      <c r="D4447" s="190" t="s">
        <v>7319</v>
      </c>
      <c r="E4447" s="198" t="s">
        <v>58</v>
      </c>
      <c r="F4447" s="199" t="s">
        <v>105</v>
      </c>
      <c r="G4447" s="191" t="s">
        <v>6057</v>
      </c>
      <c r="H4447" s="224" t="s">
        <v>7325</v>
      </c>
      <c r="I4447" s="197" t="s">
        <v>7412</v>
      </c>
      <c r="J4447" s="148" t="s">
        <v>108</v>
      </c>
      <c r="K4447" s="148" t="s">
        <v>64</v>
      </c>
      <c r="L4447" s="148" t="s">
        <v>65</v>
      </c>
      <c r="M4447" s="148" t="s">
        <v>185</v>
      </c>
      <c r="N4447" s="255">
        <v>46197.0</v>
      </c>
      <c r="O4447" s="148" t="s">
        <v>67</v>
      </c>
      <c r="P4447" s="148" t="s">
        <v>68</v>
      </c>
      <c r="Q4447" s="103"/>
      <c r="R4447" s="103"/>
      <c r="S4447" s="103"/>
      <c r="T4447" s="103"/>
      <c r="U4447" s="148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1">
        <v>4442.0</v>
      </c>
      <c r="B4448" s="90" t="s">
        <v>7415</v>
      </c>
      <c r="C4448" s="82" t="str">
        <f>VLOOKUP($B$7:$B$5000,SUM!$L$6:$L$500,1,FALSE)</f>
        <v>#N/A</v>
      </c>
      <c r="D4448" s="190" t="s">
        <v>7319</v>
      </c>
      <c r="E4448" s="198" t="s">
        <v>58</v>
      </c>
      <c r="F4448" s="199" t="s">
        <v>105</v>
      </c>
      <c r="G4448" s="191" t="s">
        <v>6057</v>
      </c>
      <c r="H4448" s="224" t="s">
        <v>7327</v>
      </c>
      <c r="I4448" s="197" t="s">
        <v>7412</v>
      </c>
      <c r="J4448" s="148" t="s">
        <v>108</v>
      </c>
      <c r="K4448" s="148" t="s">
        <v>64</v>
      </c>
      <c r="L4448" s="148" t="s">
        <v>65</v>
      </c>
      <c r="M4448" s="148" t="s">
        <v>185</v>
      </c>
      <c r="N4448" s="255">
        <v>46197.0</v>
      </c>
      <c r="O4448" s="148" t="s">
        <v>67</v>
      </c>
      <c r="P4448" s="148" t="s">
        <v>68</v>
      </c>
      <c r="Q4448" s="103"/>
      <c r="R4448" s="103"/>
      <c r="S4448" s="103"/>
      <c r="T4448" s="103"/>
      <c r="U4448" s="148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1">
        <v>4443.0</v>
      </c>
      <c r="B4449" s="90" t="s">
        <v>7416</v>
      </c>
      <c r="C4449" s="82" t="str">
        <f>VLOOKUP($B$7:$B$5000,SUM!$L$6:$L$500,1,FALSE)</f>
        <v>#N/A</v>
      </c>
      <c r="D4449" s="190" t="s">
        <v>7319</v>
      </c>
      <c r="E4449" s="198" t="s">
        <v>58</v>
      </c>
      <c r="F4449" s="199" t="s">
        <v>105</v>
      </c>
      <c r="G4449" s="191" t="s">
        <v>6057</v>
      </c>
      <c r="H4449" s="224" t="s">
        <v>7329</v>
      </c>
      <c r="I4449" s="197" t="s">
        <v>7412</v>
      </c>
      <c r="J4449" s="148" t="s">
        <v>108</v>
      </c>
      <c r="K4449" s="148" t="s">
        <v>64</v>
      </c>
      <c r="L4449" s="148" t="s">
        <v>65</v>
      </c>
      <c r="M4449" s="148" t="s">
        <v>185</v>
      </c>
      <c r="N4449" s="255">
        <v>46197.0</v>
      </c>
      <c r="O4449" s="148" t="s">
        <v>67</v>
      </c>
      <c r="P4449" s="148" t="s">
        <v>68</v>
      </c>
      <c r="Q4449" s="103"/>
      <c r="R4449" s="103"/>
      <c r="S4449" s="103"/>
      <c r="T4449" s="103"/>
      <c r="U4449" s="148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1">
        <v>4444.0</v>
      </c>
      <c r="B4450" s="90" t="s">
        <v>7417</v>
      </c>
      <c r="C4450" s="82" t="str">
        <f>VLOOKUP($B$7:$B$5000,SUM!$L$6:$L$500,1,FALSE)</f>
        <v>#N/A</v>
      </c>
      <c r="D4450" s="190" t="s">
        <v>7319</v>
      </c>
      <c r="E4450" s="198" t="s">
        <v>58</v>
      </c>
      <c r="F4450" s="199" t="s">
        <v>105</v>
      </c>
      <c r="G4450" s="191" t="s">
        <v>6057</v>
      </c>
      <c r="H4450" s="224" t="s">
        <v>7331</v>
      </c>
      <c r="I4450" s="197" t="s">
        <v>7412</v>
      </c>
      <c r="J4450" s="148" t="s">
        <v>108</v>
      </c>
      <c r="K4450" s="148" t="s">
        <v>64</v>
      </c>
      <c r="L4450" s="148" t="s">
        <v>65</v>
      </c>
      <c r="M4450" s="148" t="s">
        <v>185</v>
      </c>
      <c r="N4450" s="255">
        <v>46197.0</v>
      </c>
      <c r="O4450" s="148" t="s">
        <v>67</v>
      </c>
      <c r="P4450" s="148" t="s">
        <v>68</v>
      </c>
      <c r="Q4450" s="103"/>
      <c r="R4450" s="103"/>
      <c r="S4450" s="103"/>
      <c r="T4450" s="103"/>
      <c r="U4450" s="148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1">
        <v>4445.0</v>
      </c>
      <c r="B4451" s="90" t="s">
        <v>7418</v>
      </c>
      <c r="C4451" s="82" t="str">
        <f>VLOOKUP($B$7:$B$5000,SUM!$L$6:$L$500,1,FALSE)</f>
        <v>#N/A</v>
      </c>
      <c r="D4451" s="190" t="s">
        <v>7319</v>
      </c>
      <c r="E4451" s="198" t="s">
        <v>58</v>
      </c>
      <c r="F4451" s="199" t="s">
        <v>105</v>
      </c>
      <c r="G4451" s="191" t="s">
        <v>6057</v>
      </c>
      <c r="H4451" s="224" t="s">
        <v>7333</v>
      </c>
      <c r="I4451" s="197" t="s">
        <v>7412</v>
      </c>
      <c r="J4451" s="148" t="s">
        <v>108</v>
      </c>
      <c r="K4451" s="148" t="s">
        <v>64</v>
      </c>
      <c r="L4451" s="148" t="s">
        <v>65</v>
      </c>
      <c r="M4451" s="148" t="s">
        <v>185</v>
      </c>
      <c r="N4451" s="255">
        <v>46197.0</v>
      </c>
      <c r="O4451" s="148" t="s">
        <v>67</v>
      </c>
      <c r="P4451" s="148" t="s">
        <v>68</v>
      </c>
      <c r="Q4451" s="103"/>
      <c r="R4451" s="103"/>
      <c r="S4451" s="103"/>
      <c r="T4451" s="103"/>
      <c r="U4451" s="148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1">
        <v>4446.0</v>
      </c>
      <c r="B4452" s="90" t="s">
        <v>7419</v>
      </c>
      <c r="C4452" s="82" t="str">
        <f>VLOOKUP($B$7:$B$5000,SUM!$L$6:$L$500,1,FALSE)</f>
        <v>#N/A</v>
      </c>
      <c r="D4452" s="190" t="s">
        <v>7319</v>
      </c>
      <c r="E4452" s="198" t="s">
        <v>58</v>
      </c>
      <c r="F4452" s="199" t="s">
        <v>105</v>
      </c>
      <c r="G4452" s="191" t="s">
        <v>6057</v>
      </c>
      <c r="H4452" s="224" t="s">
        <v>7335</v>
      </c>
      <c r="I4452" s="197" t="s">
        <v>7412</v>
      </c>
      <c r="J4452" s="148" t="s">
        <v>108</v>
      </c>
      <c r="K4452" s="148" t="s">
        <v>64</v>
      </c>
      <c r="L4452" s="148" t="s">
        <v>65</v>
      </c>
      <c r="M4452" s="148" t="s">
        <v>185</v>
      </c>
      <c r="N4452" s="255">
        <v>46197.0</v>
      </c>
      <c r="O4452" s="148" t="s">
        <v>67</v>
      </c>
      <c r="P4452" s="148" t="s">
        <v>68</v>
      </c>
      <c r="Q4452" s="103"/>
      <c r="R4452" s="103"/>
      <c r="S4452" s="103"/>
      <c r="T4452" s="103"/>
      <c r="U4452" s="148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1">
        <v>4447.0</v>
      </c>
      <c r="B4453" s="90" t="s">
        <v>7420</v>
      </c>
      <c r="C4453" s="82" t="str">
        <f>VLOOKUP($B$7:$B$5000,SUM!$L$6:$L$500,1,FALSE)</f>
        <v>#N/A</v>
      </c>
      <c r="D4453" s="190" t="s">
        <v>7319</v>
      </c>
      <c r="E4453" s="198" t="s">
        <v>58</v>
      </c>
      <c r="F4453" s="199" t="s">
        <v>105</v>
      </c>
      <c r="G4453" s="191" t="s">
        <v>6057</v>
      </c>
      <c r="H4453" s="224" t="s">
        <v>7337</v>
      </c>
      <c r="I4453" s="197" t="s">
        <v>7412</v>
      </c>
      <c r="J4453" s="148" t="s">
        <v>108</v>
      </c>
      <c r="K4453" s="148" t="s">
        <v>64</v>
      </c>
      <c r="L4453" s="148" t="s">
        <v>65</v>
      </c>
      <c r="M4453" s="148" t="s">
        <v>185</v>
      </c>
      <c r="N4453" s="255">
        <v>46197.0</v>
      </c>
      <c r="O4453" s="148" t="s">
        <v>67</v>
      </c>
      <c r="P4453" s="148" t="s">
        <v>68</v>
      </c>
      <c r="Q4453" s="103"/>
      <c r="R4453" s="103"/>
      <c r="S4453" s="103"/>
      <c r="T4453" s="103"/>
      <c r="U4453" s="148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1">
        <v>4448.0</v>
      </c>
      <c r="B4454" s="90" t="s">
        <v>7421</v>
      </c>
      <c r="C4454" s="82" t="str">
        <f>VLOOKUP($B$7:$B$5000,SUM!$L$6:$L$500,1,FALSE)</f>
        <v>#N/A</v>
      </c>
      <c r="D4454" s="190" t="s">
        <v>7319</v>
      </c>
      <c r="E4454" s="198" t="s">
        <v>58</v>
      </c>
      <c r="F4454" s="199" t="s">
        <v>105</v>
      </c>
      <c r="G4454" s="191" t="s">
        <v>6057</v>
      </c>
      <c r="H4454" s="224" t="s">
        <v>7339</v>
      </c>
      <c r="I4454" s="197" t="s">
        <v>7412</v>
      </c>
      <c r="J4454" s="148" t="s">
        <v>108</v>
      </c>
      <c r="K4454" s="148" t="s">
        <v>64</v>
      </c>
      <c r="L4454" s="148" t="s">
        <v>65</v>
      </c>
      <c r="M4454" s="148" t="s">
        <v>185</v>
      </c>
      <c r="N4454" s="255">
        <v>46197.0</v>
      </c>
      <c r="O4454" s="148" t="s">
        <v>67</v>
      </c>
      <c r="P4454" s="148" t="s">
        <v>68</v>
      </c>
      <c r="Q4454" s="103"/>
      <c r="R4454" s="103"/>
      <c r="S4454" s="103"/>
      <c r="T4454" s="103"/>
      <c r="U4454" s="148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1">
        <v>4449.0</v>
      </c>
      <c r="B4455" s="90" t="s">
        <v>7422</v>
      </c>
      <c r="C4455" s="82" t="str">
        <f>VLOOKUP($B$7:$B$5000,SUM!$L$6:$L$500,1,FALSE)</f>
        <v>#N/A</v>
      </c>
      <c r="D4455" s="190" t="s">
        <v>7319</v>
      </c>
      <c r="E4455" s="198" t="s">
        <v>58</v>
      </c>
      <c r="F4455" s="199" t="s">
        <v>105</v>
      </c>
      <c r="G4455" s="191" t="s">
        <v>6057</v>
      </c>
      <c r="H4455" s="224" t="s">
        <v>7341</v>
      </c>
      <c r="I4455" s="197" t="s">
        <v>7412</v>
      </c>
      <c r="J4455" s="148" t="s">
        <v>108</v>
      </c>
      <c r="K4455" s="148" t="s">
        <v>64</v>
      </c>
      <c r="L4455" s="148" t="s">
        <v>65</v>
      </c>
      <c r="M4455" s="148" t="s">
        <v>185</v>
      </c>
      <c r="N4455" s="255">
        <v>46197.0</v>
      </c>
      <c r="O4455" s="148" t="s">
        <v>67</v>
      </c>
      <c r="P4455" s="148" t="s">
        <v>68</v>
      </c>
      <c r="Q4455" s="103"/>
      <c r="R4455" s="103"/>
      <c r="S4455" s="103"/>
      <c r="T4455" s="103"/>
      <c r="U4455" s="148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1">
        <v>4450.0</v>
      </c>
      <c r="B4456" s="90" t="s">
        <v>7423</v>
      </c>
      <c r="C4456" s="82" t="str">
        <f>VLOOKUP($B$7:$B$5000,SUM!$L$6:$L$500,1,FALSE)</f>
        <v>#N/A</v>
      </c>
      <c r="D4456" s="190" t="s">
        <v>7319</v>
      </c>
      <c r="E4456" s="198" t="s">
        <v>58</v>
      </c>
      <c r="F4456" s="199" t="s">
        <v>105</v>
      </c>
      <c r="G4456" s="191" t="s">
        <v>6057</v>
      </c>
      <c r="H4456" s="224" t="s">
        <v>7343</v>
      </c>
      <c r="I4456" s="197" t="s">
        <v>7412</v>
      </c>
      <c r="J4456" s="148" t="s">
        <v>108</v>
      </c>
      <c r="K4456" s="148" t="s">
        <v>64</v>
      </c>
      <c r="L4456" s="148" t="s">
        <v>65</v>
      </c>
      <c r="M4456" s="148" t="s">
        <v>185</v>
      </c>
      <c r="N4456" s="255">
        <v>46197.0</v>
      </c>
      <c r="O4456" s="148" t="s">
        <v>67</v>
      </c>
      <c r="P4456" s="148" t="s">
        <v>68</v>
      </c>
      <c r="Q4456" s="103"/>
      <c r="R4456" s="103"/>
      <c r="S4456" s="103"/>
      <c r="T4456" s="103"/>
      <c r="U4456" s="148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1">
        <v>4451.0</v>
      </c>
      <c r="B4457" s="90" t="s">
        <v>7424</v>
      </c>
      <c r="C4457" s="82" t="str">
        <f>VLOOKUP($B$7:$B$5000,SUM!$L$6:$L$500,1,FALSE)</f>
        <v>#N/A</v>
      </c>
      <c r="D4457" s="190" t="s">
        <v>7319</v>
      </c>
      <c r="E4457" s="198" t="s">
        <v>58</v>
      </c>
      <c r="F4457" s="199" t="s">
        <v>105</v>
      </c>
      <c r="G4457" s="191" t="s">
        <v>6057</v>
      </c>
      <c r="H4457" s="224" t="s">
        <v>7345</v>
      </c>
      <c r="I4457" s="197" t="s">
        <v>7412</v>
      </c>
      <c r="J4457" s="148" t="s">
        <v>108</v>
      </c>
      <c r="K4457" s="148" t="s">
        <v>64</v>
      </c>
      <c r="L4457" s="148" t="s">
        <v>65</v>
      </c>
      <c r="M4457" s="148" t="s">
        <v>185</v>
      </c>
      <c r="N4457" s="255">
        <v>46197.0</v>
      </c>
      <c r="O4457" s="148" t="s">
        <v>67</v>
      </c>
      <c r="P4457" s="148" t="s">
        <v>68</v>
      </c>
      <c r="Q4457" s="103"/>
      <c r="R4457" s="103"/>
      <c r="S4457" s="103"/>
      <c r="T4457" s="103"/>
      <c r="U4457" s="148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1">
        <v>4452.0</v>
      </c>
      <c r="B4458" s="90" t="s">
        <v>7425</v>
      </c>
      <c r="C4458" s="82" t="str">
        <f>VLOOKUP($B$7:$B$5000,SUM!$L$6:$L$500,1,FALSE)</f>
        <v>#N/A</v>
      </c>
      <c r="D4458" s="190" t="s">
        <v>7319</v>
      </c>
      <c r="E4458" s="198" t="s">
        <v>58</v>
      </c>
      <c r="F4458" s="199" t="s">
        <v>105</v>
      </c>
      <c r="G4458" s="191" t="s">
        <v>6057</v>
      </c>
      <c r="H4458" s="224" t="s">
        <v>7347</v>
      </c>
      <c r="I4458" s="197" t="s">
        <v>7412</v>
      </c>
      <c r="J4458" s="148" t="s">
        <v>108</v>
      </c>
      <c r="K4458" s="148" t="s">
        <v>64</v>
      </c>
      <c r="L4458" s="148" t="s">
        <v>65</v>
      </c>
      <c r="M4458" s="148" t="s">
        <v>185</v>
      </c>
      <c r="N4458" s="255">
        <v>46197.0</v>
      </c>
      <c r="O4458" s="148" t="s">
        <v>67</v>
      </c>
      <c r="P4458" s="148" t="s">
        <v>68</v>
      </c>
      <c r="Q4458" s="103"/>
      <c r="R4458" s="103"/>
      <c r="S4458" s="103"/>
      <c r="T4458" s="103"/>
      <c r="U4458" s="148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1">
        <v>4453.0</v>
      </c>
      <c r="B4459" s="90" t="s">
        <v>7426</v>
      </c>
      <c r="C4459" s="82" t="str">
        <f>VLOOKUP($B$7:$B$5000,SUM!$L$6:$L$500,1,FALSE)</f>
        <v>#N/A</v>
      </c>
      <c r="D4459" s="190" t="s">
        <v>7319</v>
      </c>
      <c r="E4459" s="198" t="s">
        <v>58</v>
      </c>
      <c r="F4459" s="199" t="s">
        <v>105</v>
      </c>
      <c r="G4459" s="191" t="s">
        <v>6057</v>
      </c>
      <c r="H4459" s="224" t="s">
        <v>7349</v>
      </c>
      <c r="I4459" s="197" t="s">
        <v>7412</v>
      </c>
      <c r="J4459" s="148" t="s">
        <v>108</v>
      </c>
      <c r="K4459" s="148" t="s">
        <v>64</v>
      </c>
      <c r="L4459" s="148" t="s">
        <v>65</v>
      </c>
      <c r="M4459" s="148" t="s">
        <v>185</v>
      </c>
      <c r="N4459" s="255">
        <v>46197.0</v>
      </c>
      <c r="O4459" s="148" t="s">
        <v>67</v>
      </c>
      <c r="P4459" s="148" t="s">
        <v>68</v>
      </c>
      <c r="Q4459" s="103"/>
      <c r="R4459" s="103"/>
      <c r="S4459" s="103"/>
      <c r="T4459" s="103"/>
      <c r="U4459" s="148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1">
        <v>4454.0</v>
      </c>
      <c r="B4460" s="90" t="s">
        <v>7427</v>
      </c>
      <c r="C4460" s="82" t="str">
        <f>VLOOKUP($B$7:$B$5000,SUM!$L$6:$L$500,1,FALSE)</f>
        <v>#N/A</v>
      </c>
      <c r="D4460" s="190" t="s">
        <v>7319</v>
      </c>
      <c r="E4460" s="198" t="s">
        <v>58</v>
      </c>
      <c r="F4460" s="199" t="s">
        <v>105</v>
      </c>
      <c r="G4460" s="191" t="s">
        <v>6057</v>
      </c>
      <c r="H4460" s="224" t="s">
        <v>7351</v>
      </c>
      <c r="I4460" s="197" t="s">
        <v>7412</v>
      </c>
      <c r="J4460" s="148" t="s">
        <v>108</v>
      </c>
      <c r="K4460" s="148" t="s">
        <v>64</v>
      </c>
      <c r="L4460" s="148" t="s">
        <v>65</v>
      </c>
      <c r="M4460" s="148" t="s">
        <v>185</v>
      </c>
      <c r="N4460" s="255">
        <v>46197.0</v>
      </c>
      <c r="O4460" s="148" t="s">
        <v>67</v>
      </c>
      <c r="P4460" s="148" t="s">
        <v>68</v>
      </c>
      <c r="Q4460" s="103"/>
      <c r="R4460" s="103"/>
      <c r="S4460" s="103"/>
      <c r="T4460" s="103"/>
      <c r="U4460" s="148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1">
        <v>4455.0</v>
      </c>
      <c r="B4461" s="90" t="s">
        <v>7428</v>
      </c>
      <c r="C4461" s="82" t="str">
        <f>VLOOKUP($B$7:$B$5000,SUM!$L$6:$L$500,1,FALSE)</f>
        <v>#N/A</v>
      </c>
      <c r="D4461" s="190" t="s">
        <v>7319</v>
      </c>
      <c r="E4461" s="198" t="s">
        <v>58</v>
      </c>
      <c r="F4461" s="199" t="s">
        <v>105</v>
      </c>
      <c r="G4461" s="191" t="s">
        <v>6057</v>
      </c>
      <c r="H4461" s="224" t="s">
        <v>7353</v>
      </c>
      <c r="I4461" s="197" t="s">
        <v>7412</v>
      </c>
      <c r="J4461" s="148" t="s">
        <v>108</v>
      </c>
      <c r="K4461" s="148" t="s">
        <v>64</v>
      </c>
      <c r="L4461" s="148" t="s">
        <v>65</v>
      </c>
      <c r="M4461" s="148" t="s">
        <v>185</v>
      </c>
      <c r="N4461" s="255">
        <v>46197.0</v>
      </c>
      <c r="O4461" s="148" t="s">
        <v>67</v>
      </c>
      <c r="P4461" s="148" t="s">
        <v>68</v>
      </c>
      <c r="Q4461" s="103"/>
      <c r="R4461" s="103"/>
      <c r="S4461" s="103"/>
      <c r="T4461" s="103"/>
      <c r="U4461" s="148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1">
        <v>4456.0</v>
      </c>
      <c r="B4462" s="90" t="s">
        <v>7429</v>
      </c>
      <c r="C4462" s="82" t="str">
        <f>VLOOKUP($B$7:$B$5000,SUM!$L$6:$L$500,1,FALSE)</f>
        <v>#N/A</v>
      </c>
      <c r="D4462" s="190" t="s">
        <v>7319</v>
      </c>
      <c r="E4462" s="198" t="s">
        <v>58</v>
      </c>
      <c r="F4462" s="199" t="s">
        <v>105</v>
      </c>
      <c r="G4462" s="191" t="s">
        <v>6057</v>
      </c>
      <c r="H4462" s="224" t="s">
        <v>7355</v>
      </c>
      <c r="I4462" s="197" t="s">
        <v>7412</v>
      </c>
      <c r="J4462" s="148" t="s">
        <v>108</v>
      </c>
      <c r="K4462" s="148" t="s">
        <v>64</v>
      </c>
      <c r="L4462" s="148" t="s">
        <v>65</v>
      </c>
      <c r="M4462" s="148" t="s">
        <v>185</v>
      </c>
      <c r="N4462" s="255">
        <v>46197.0</v>
      </c>
      <c r="O4462" s="148" t="s">
        <v>67</v>
      </c>
      <c r="P4462" s="148" t="s">
        <v>68</v>
      </c>
      <c r="Q4462" s="103"/>
      <c r="R4462" s="103"/>
      <c r="S4462" s="103"/>
      <c r="T4462" s="103"/>
      <c r="U4462" s="148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1">
        <v>4457.0</v>
      </c>
      <c r="B4463" s="90" t="s">
        <v>7430</v>
      </c>
      <c r="C4463" s="82" t="str">
        <f>VLOOKUP($B$7:$B$5000,SUM!$L$6:$L$500,1,FALSE)</f>
        <v>#N/A</v>
      </c>
      <c r="D4463" s="190" t="s">
        <v>7319</v>
      </c>
      <c r="E4463" s="198" t="s">
        <v>58</v>
      </c>
      <c r="F4463" s="199" t="s">
        <v>105</v>
      </c>
      <c r="G4463" s="191" t="s">
        <v>6057</v>
      </c>
      <c r="H4463" s="224" t="s">
        <v>7357</v>
      </c>
      <c r="I4463" s="197" t="s">
        <v>7412</v>
      </c>
      <c r="J4463" s="148" t="s">
        <v>108</v>
      </c>
      <c r="K4463" s="148" t="s">
        <v>64</v>
      </c>
      <c r="L4463" s="148" t="s">
        <v>65</v>
      </c>
      <c r="M4463" s="148" t="s">
        <v>185</v>
      </c>
      <c r="N4463" s="255">
        <v>46197.0</v>
      </c>
      <c r="O4463" s="148" t="s">
        <v>67</v>
      </c>
      <c r="P4463" s="148" t="s">
        <v>68</v>
      </c>
      <c r="Q4463" s="103"/>
      <c r="R4463" s="103"/>
      <c r="S4463" s="103"/>
      <c r="T4463" s="103"/>
      <c r="U4463" s="148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1">
        <v>4458.0</v>
      </c>
      <c r="B4464" s="90" t="s">
        <v>7431</v>
      </c>
      <c r="C4464" s="82" t="str">
        <f>VLOOKUP($B$7:$B$5000,SUM!$L$6:$L$500,1,FALSE)</f>
        <v>#N/A</v>
      </c>
      <c r="D4464" s="190" t="s">
        <v>7319</v>
      </c>
      <c r="E4464" s="198" t="s">
        <v>58</v>
      </c>
      <c r="F4464" s="199" t="s">
        <v>105</v>
      </c>
      <c r="G4464" s="191" t="s">
        <v>6057</v>
      </c>
      <c r="H4464" s="224" t="s">
        <v>7359</v>
      </c>
      <c r="I4464" s="197" t="s">
        <v>7412</v>
      </c>
      <c r="J4464" s="148" t="s">
        <v>108</v>
      </c>
      <c r="K4464" s="148" t="s">
        <v>64</v>
      </c>
      <c r="L4464" s="148" t="s">
        <v>65</v>
      </c>
      <c r="M4464" s="148" t="s">
        <v>185</v>
      </c>
      <c r="N4464" s="255">
        <v>46197.0</v>
      </c>
      <c r="O4464" s="148" t="s">
        <v>67</v>
      </c>
      <c r="P4464" s="148" t="s">
        <v>68</v>
      </c>
      <c r="Q4464" s="103"/>
      <c r="R4464" s="103"/>
      <c r="S4464" s="103"/>
      <c r="T4464" s="103"/>
      <c r="U4464" s="148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1">
        <v>4459.0</v>
      </c>
      <c r="B4465" s="90" t="s">
        <v>7432</v>
      </c>
      <c r="C4465" s="82" t="str">
        <f>VLOOKUP($B$7:$B$5000,SUM!$L$6:$L$500,1,FALSE)</f>
        <v>#N/A</v>
      </c>
      <c r="D4465" s="190" t="s">
        <v>7319</v>
      </c>
      <c r="E4465" s="198" t="s">
        <v>58</v>
      </c>
      <c r="F4465" s="199" t="s">
        <v>105</v>
      </c>
      <c r="G4465" s="191" t="s">
        <v>6057</v>
      </c>
      <c r="H4465" s="224" t="s">
        <v>7361</v>
      </c>
      <c r="I4465" s="197" t="s">
        <v>7412</v>
      </c>
      <c r="J4465" s="148" t="s">
        <v>108</v>
      </c>
      <c r="K4465" s="148" t="s">
        <v>64</v>
      </c>
      <c r="L4465" s="148" t="s">
        <v>65</v>
      </c>
      <c r="M4465" s="148" t="s">
        <v>185</v>
      </c>
      <c r="N4465" s="255">
        <v>46197.0</v>
      </c>
      <c r="O4465" s="148" t="s">
        <v>67</v>
      </c>
      <c r="P4465" s="148" t="s">
        <v>68</v>
      </c>
      <c r="Q4465" s="103"/>
      <c r="R4465" s="103"/>
      <c r="S4465" s="103"/>
      <c r="T4465" s="103"/>
      <c r="U4465" s="148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1">
        <v>4460.0</v>
      </c>
      <c r="B4466" s="90" t="s">
        <v>7433</v>
      </c>
      <c r="C4466" s="82" t="str">
        <f>VLOOKUP($B$7:$B$5000,SUM!$L$6:$L$500,1,FALSE)</f>
        <v>#N/A</v>
      </c>
      <c r="D4466" s="190" t="s">
        <v>7319</v>
      </c>
      <c r="E4466" s="198" t="s">
        <v>58</v>
      </c>
      <c r="F4466" s="199" t="s">
        <v>105</v>
      </c>
      <c r="G4466" s="191" t="s">
        <v>6057</v>
      </c>
      <c r="H4466" s="224" t="s">
        <v>7363</v>
      </c>
      <c r="I4466" s="197" t="s">
        <v>7412</v>
      </c>
      <c r="J4466" s="148" t="s">
        <v>108</v>
      </c>
      <c r="K4466" s="148" t="s">
        <v>64</v>
      </c>
      <c r="L4466" s="148" t="s">
        <v>65</v>
      </c>
      <c r="M4466" s="148" t="s">
        <v>185</v>
      </c>
      <c r="N4466" s="255">
        <v>46197.0</v>
      </c>
      <c r="O4466" s="148" t="s">
        <v>67</v>
      </c>
      <c r="P4466" s="148" t="s">
        <v>68</v>
      </c>
      <c r="Q4466" s="103"/>
      <c r="R4466" s="103"/>
      <c r="S4466" s="103"/>
      <c r="T4466" s="103"/>
      <c r="U4466" s="148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1">
        <v>4461.0</v>
      </c>
      <c r="B4467" s="90" t="s">
        <v>7434</v>
      </c>
      <c r="C4467" s="82" t="str">
        <f>VLOOKUP($B$7:$B$5000,SUM!$L$6:$L$500,1,FALSE)</f>
        <v>#N/A</v>
      </c>
      <c r="D4467" s="190" t="s">
        <v>7319</v>
      </c>
      <c r="E4467" s="198" t="s">
        <v>58</v>
      </c>
      <c r="F4467" s="199" t="s">
        <v>105</v>
      </c>
      <c r="G4467" s="191" t="s">
        <v>6057</v>
      </c>
      <c r="H4467" s="224" t="s">
        <v>7365</v>
      </c>
      <c r="I4467" s="197" t="s">
        <v>7412</v>
      </c>
      <c r="J4467" s="148" t="s">
        <v>108</v>
      </c>
      <c r="K4467" s="148" t="s">
        <v>64</v>
      </c>
      <c r="L4467" s="148" t="s">
        <v>65</v>
      </c>
      <c r="M4467" s="148" t="s">
        <v>185</v>
      </c>
      <c r="N4467" s="255">
        <v>46197.0</v>
      </c>
      <c r="O4467" s="148" t="s">
        <v>67</v>
      </c>
      <c r="P4467" s="148" t="s">
        <v>68</v>
      </c>
      <c r="Q4467" s="103"/>
      <c r="R4467" s="103"/>
      <c r="S4467" s="103"/>
      <c r="T4467" s="103"/>
      <c r="U4467" s="148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1">
        <v>4462.0</v>
      </c>
      <c r="B4468" s="90" t="s">
        <v>7435</v>
      </c>
      <c r="C4468" s="82" t="str">
        <f>VLOOKUP($B$7:$B$5000,SUM!$L$6:$L$500,1,FALSE)</f>
        <v>#N/A</v>
      </c>
      <c r="D4468" s="190" t="s">
        <v>7319</v>
      </c>
      <c r="E4468" s="198" t="s">
        <v>58</v>
      </c>
      <c r="F4468" s="199" t="s">
        <v>105</v>
      </c>
      <c r="G4468" s="191" t="s">
        <v>6057</v>
      </c>
      <c r="H4468" s="224" t="s">
        <v>7367</v>
      </c>
      <c r="I4468" s="197" t="s">
        <v>7412</v>
      </c>
      <c r="J4468" s="148" t="s">
        <v>108</v>
      </c>
      <c r="K4468" s="148" t="s">
        <v>64</v>
      </c>
      <c r="L4468" s="148" t="s">
        <v>65</v>
      </c>
      <c r="M4468" s="148" t="s">
        <v>185</v>
      </c>
      <c r="N4468" s="255">
        <v>46197.0</v>
      </c>
      <c r="O4468" s="148" t="s">
        <v>67</v>
      </c>
      <c r="P4468" s="148" t="s">
        <v>68</v>
      </c>
      <c r="Q4468" s="103"/>
      <c r="R4468" s="103"/>
      <c r="S4468" s="103"/>
      <c r="T4468" s="103"/>
      <c r="U4468" s="148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1">
        <v>4463.0</v>
      </c>
      <c r="B4469" s="90" t="s">
        <v>7436</v>
      </c>
      <c r="C4469" s="82" t="str">
        <f>VLOOKUP($B$7:$B$5000,SUM!$L$6:$L$500,1,FALSE)</f>
        <v>#N/A</v>
      </c>
      <c r="D4469" s="190" t="s">
        <v>7319</v>
      </c>
      <c r="E4469" s="198" t="s">
        <v>58</v>
      </c>
      <c r="F4469" s="199" t="s">
        <v>105</v>
      </c>
      <c r="G4469" s="191" t="s">
        <v>6057</v>
      </c>
      <c r="H4469" s="224" t="s">
        <v>7369</v>
      </c>
      <c r="I4469" s="197" t="s">
        <v>7412</v>
      </c>
      <c r="J4469" s="148" t="s">
        <v>108</v>
      </c>
      <c r="K4469" s="148" t="s">
        <v>64</v>
      </c>
      <c r="L4469" s="148" t="s">
        <v>65</v>
      </c>
      <c r="M4469" s="148" t="s">
        <v>185</v>
      </c>
      <c r="N4469" s="255">
        <v>46197.0</v>
      </c>
      <c r="O4469" s="148" t="s">
        <v>67</v>
      </c>
      <c r="P4469" s="148" t="s">
        <v>68</v>
      </c>
      <c r="Q4469" s="103"/>
      <c r="R4469" s="103"/>
      <c r="S4469" s="103"/>
      <c r="T4469" s="103"/>
      <c r="U4469" s="148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1">
        <v>4464.0</v>
      </c>
      <c r="B4470" s="90" t="s">
        <v>7437</v>
      </c>
      <c r="C4470" s="82" t="str">
        <f>VLOOKUP($B$7:$B$5000,SUM!$L$6:$L$500,1,FALSE)</f>
        <v>#N/A</v>
      </c>
      <c r="D4470" s="190" t="s">
        <v>7319</v>
      </c>
      <c r="E4470" s="198" t="s">
        <v>58</v>
      </c>
      <c r="F4470" s="199" t="s">
        <v>105</v>
      </c>
      <c r="G4470" s="191" t="s">
        <v>6057</v>
      </c>
      <c r="H4470" s="224" t="s">
        <v>7371</v>
      </c>
      <c r="I4470" s="197" t="s">
        <v>7412</v>
      </c>
      <c r="J4470" s="148" t="s">
        <v>108</v>
      </c>
      <c r="K4470" s="148" t="s">
        <v>64</v>
      </c>
      <c r="L4470" s="148" t="s">
        <v>65</v>
      </c>
      <c r="M4470" s="148" t="s">
        <v>185</v>
      </c>
      <c r="N4470" s="255">
        <v>46197.0</v>
      </c>
      <c r="O4470" s="148" t="s">
        <v>67</v>
      </c>
      <c r="P4470" s="148" t="s">
        <v>68</v>
      </c>
      <c r="Q4470" s="103"/>
      <c r="R4470" s="103"/>
      <c r="S4470" s="103"/>
      <c r="T4470" s="103"/>
      <c r="U4470" s="148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1">
        <v>4465.0</v>
      </c>
      <c r="B4471" s="90" t="s">
        <v>7438</v>
      </c>
      <c r="C4471" s="82" t="str">
        <f>VLOOKUP($B$7:$B$5000,SUM!$L$6:$L$500,1,FALSE)</f>
        <v>#N/A</v>
      </c>
      <c r="D4471" s="190" t="s">
        <v>7439</v>
      </c>
      <c r="E4471" s="198" t="s">
        <v>58</v>
      </c>
      <c r="F4471" s="199" t="s">
        <v>6954</v>
      </c>
      <c r="G4471" s="191" t="s">
        <v>7440</v>
      </c>
      <c r="H4471" s="224" t="s">
        <v>4829</v>
      </c>
      <c r="I4471" s="197" t="s">
        <v>7158</v>
      </c>
      <c r="J4471" s="148" t="s">
        <v>63</v>
      </c>
      <c r="K4471" s="148" t="s">
        <v>4434</v>
      </c>
      <c r="L4471" s="148" t="s">
        <v>65</v>
      </c>
      <c r="M4471" s="148" t="s">
        <v>185</v>
      </c>
      <c r="N4471" s="255">
        <v>46197.0</v>
      </c>
      <c r="O4471" s="148" t="s">
        <v>67</v>
      </c>
      <c r="P4471" s="148" t="s">
        <v>68</v>
      </c>
      <c r="Q4471" s="103"/>
      <c r="R4471" s="103"/>
      <c r="S4471" s="103"/>
      <c r="T4471" s="103"/>
      <c r="U4471" s="148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1">
        <v>4466.0</v>
      </c>
      <c r="B4472" s="90" t="s">
        <v>7441</v>
      </c>
      <c r="C4472" s="82" t="str">
        <f>VLOOKUP($B$7:$B$5000,SUM!$L$6:$L$500,1,FALSE)</f>
        <v>#N/A</v>
      </c>
      <c r="D4472" s="190" t="s">
        <v>7439</v>
      </c>
      <c r="E4472" s="198" t="s">
        <v>58</v>
      </c>
      <c r="F4472" s="199" t="s">
        <v>6954</v>
      </c>
      <c r="G4472" s="191" t="s">
        <v>7440</v>
      </c>
      <c r="H4472" s="224" t="s">
        <v>4841</v>
      </c>
      <c r="I4472" s="197" t="s">
        <v>7158</v>
      </c>
      <c r="J4472" s="148" t="s">
        <v>63</v>
      </c>
      <c r="K4472" s="148" t="s">
        <v>4434</v>
      </c>
      <c r="L4472" s="148" t="s">
        <v>65</v>
      </c>
      <c r="M4472" s="148" t="s">
        <v>185</v>
      </c>
      <c r="N4472" s="255">
        <v>46197.0</v>
      </c>
      <c r="O4472" s="148" t="s">
        <v>67</v>
      </c>
      <c r="P4472" s="148" t="s">
        <v>68</v>
      </c>
      <c r="Q4472" s="103"/>
      <c r="R4472" s="103"/>
      <c r="S4472" s="103"/>
      <c r="T4472" s="103"/>
      <c r="U4472" s="148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1">
        <v>4467.0</v>
      </c>
      <c r="B4473" s="90" t="s">
        <v>7442</v>
      </c>
      <c r="C4473" s="82" t="str">
        <f>VLOOKUP($B$7:$B$5000,SUM!$L$6:$L$500,1,FALSE)</f>
        <v>#N/A</v>
      </c>
      <c r="D4473" s="190" t="s">
        <v>7439</v>
      </c>
      <c r="E4473" s="198" t="s">
        <v>58</v>
      </c>
      <c r="F4473" s="199" t="s">
        <v>6954</v>
      </c>
      <c r="G4473" s="191" t="s">
        <v>7440</v>
      </c>
      <c r="H4473" s="224" t="s">
        <v>4851</v>
      </c>
      <c r="I4473" s="197" t="s">
        <v>7158</v>
      </c>
      <c r="J4473" s="148" t="s">
        <v>63</v>
      </c>
      <c r="K4473" s="148" t="s">
        <v>4434</v>
      </c>
      <c r="L4473" s="148" t="s">
        <v>65</v>
      </c>
      <c r="M4473" s="148" t="s">
        <v>185</v>
      </c>
      <c r="N4473" s="255">
        <v>46197.0</v>
      </c>
      <c r="O4473" s="148" t="s">
        <v>67</v>
      </c>
      <c r="P4473" s="148" t="s">
        <v>68</v>
      </c>
      <c r="Q4473" s="103"/>
      <c r="R4473" s="103"/>
      <c r="S4473" s="103"/>
      <c r="T4473" s="103"/>
      <c r="U4473" s="148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1">
        <v>4468.0</v>
      </c>
      <c r="B4474" s="90" t="s">
        <v>7443</v>
      </c>
      <c r="C4474" s="82" t="str">
        <f>VLOOKUP($B$7:$B$5000,SUM!$L$6:$L$500,1,FALSE)</f>
        <v>#N/A</v>
      </c>
      <c r="D4474" s="190" t="s">
        <v>7439</v>
      </c>
      <c r="E4474" s="198" t="s">
        <v>58</v>
      </c>
      <c r="F4474" s="199" t="s">
        <v>6954</v>
      </c>
      <c r="G4474" s="191" t="s">
        <v>7440</v>
      </c>
      <c r="H4474" s="199" t="s">
        <v>4853</v>
      </c>
      <c r="I4474" s="197" t="s">
        <v>7158</v>
      </c>
      <c r="J4474" s="148" t="s">
        <v>63</v>
      </c>
      <c r="K4474" s="148" t="s">
        <v>4434</v>
      </c>
      <c r="L4474" s="148" t="s">
        <v>65</v>
      </c>
      <c r="M4474" s="148" t="s">
        <v>185</v>
      </c>
      <c r="N4474" s="255">
        <v>46197.0</v>
      </c>
      <c r="O4474" s="148" t="s">
        <v>67</v>
      </c>
      <c r="P4474" s="148" t="s">
        <v>68</v>
      </c>
      <c r="Q4474" s="103"/>
      <c r="R4474" s="103"/>
      <c r="S4474" s="103"/>
      <c r="T4474" s="103"/>
      <c r="U4474" s="148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1">
        <v>4469.0</v>
      </c>
      <c r="B4475" s="90" t="s">
        <v>7444</v>
      </c>
      <c r="C4475" s="82" t="str">
        <f>VLOOKUP($B$7:$B$5000,SUM!$L$6:$L$500,1,FALSE)</f>
        <v>#N/A</v>
      </c>
      <c r="D4475" s="190" t="s">
        <v>7439</v>
      </c>
      <c r="E4475" s="198" t="s">
        <v>58</v>
      </c>
      <c r="F4475" s="199" t="s">
        <v>6954</v>
      </c>
      <c r="G4475" s="191" t="s">
        <v>7440</v>
      </c>
      <c r="H4475" s="199" t="s">
        <v>4855</v>
      </c>
      <c r="I4475" s="197" t="s">
        <v>7158</v>
      </c>
      <c r="J4475" s="148" t="s">
        <v>63</v>
      </c>
      <c r="K4475" s="148" t="s">
        <v>4434</v>
      </c>
      <c r="L4475" s="148" t="s">
        <v>65</v>
      </c>
      <c r="M4475" s="148" t="s">
        <v>185</v>
      </c>
      <c r="N4475" s="255">
        <v>46197.0</v>
      </c>
      <c r="O4475" s="148" t="s">
        <v>67</v>
      </c>
      <c r="P4475" s="148" t="s">
        <v>68</v>
      </c>
      <c r="Q4475" s="103"/>
      <c r="R4475" s="103"/>
      <c r="S4475" s="103"/>
      <c r="T4475" s="103"/>
      <c r="U4475" s="148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1">
        <v>4470.0</v>
      </c>
      <c r="B4476" s="90" t="s">
        <v>7445</v>
      </c>
      <c r="C4476" s="82" t="str">
        <f>VLOOKUP($B$7:$B$5000,SUM!$L$6:$L$500,1,FALSE)</f>
        <v>#N/A</v>
      </c>
      <c r="D4476" s="190" t="s">
        <v>7446</v>
      </c>
      <c r="E4476" s="198" t="s">
        <v>58</v>
      </c>
      <c r="F4476" s="199" t="s">
        <v>593</v>
      </c>
      <c r="G4476" s="191" t="s">
        <v>5443</v>
      </c>
      <c r="H4476" s="199" t="s">
        <v>7447</v>
      </c>
      <c r="I4476" s="93" t="s">
        <v>4433</v>
      </c>
      <c r="J4476" s="148" t="s">
        <v>63</v>
      </c>
      <c r="K4476" s="148" t="s">
        <v>4434</v>
      </c>
      <c r="L4476" s="148" t="s">
        <v>65</v>
      </c>
      <c r="M4476" s="148" t="s">
        <v>185</v>
      </c>
      <c r="N4476" s="255">
        <v>46197.0</v>
      </c>
      <c r="O4476" s="148" t="s">
        <v>67</v>
      </c>
      <c r="P4476" s="148" t="s">
        <v>68</v>
      </c>
      <c r="Q4476" s="103"/>
      <c r="R4476" s="103"/>
      <c r="S4476" s="103"/>
      <c r="T4476" s="103"/>
      <c r="U4476" s="148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1">
        <v>4471.0</v>
      </c>
      <c r="B4477" s="90" t="s">
        <v>7448</v>
      </c>
      <c r="C4477" s="82" t="str">
        <f>VLOOKUP($B$7:$B$5000,SUM!$L$6:$L$500,1,FALSE)</f>
        <v>#N/A</v>
      </c>
      <c r="D4477" s="190" t="s">
        <v>7446</v>
      </c>
      <c r="E4477" s="198" t="s">
        <v>58</v>
      </c>
      <c r="F4477" s="199" t="s">
        <v>593</v>
      </c>
      <c r="G4477" s="191" t="s">
        <v>5443</v>
      </c>
      <c r="H4477" s="199" t="s">
        <v>7449</v>
      </c>
      <c r="I4477" s="93" t="s">
        <v>4433</v>
      </c>
      <c r="J4477" s="148" t="s">
        <v>63</v>
      </c>
      <c r="K4477" s="148" t="s">
        <v>4434</v>
      </c>
      <c r="L4477" s="148" t="s">
        <v>65</v>
      </c>
      <c r="M4477" s="148" t="s">
        <v>185</v>
      </c>
      <c r="N4477" s="255">
        <v>46197.0</v>
      </c>
      <c r="O4477" s="148" t="s">
        <v>67</v>
      </c>
      <c r="P4477" s="148" t="s">
        <v>68</v>
      </c>
      <c r="Q4477" s="103"/>
      <c r="R4477" s="103"/>
      <c r="S4477" s="103"/>
      <c r="T4477" s="103"/>
      <c r="U4477" s="148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1">
        <v>4472.0</v>
      </c>
      <c r="B4478" s="90" t="s">
        <v>7450</v>
      </c>
      <c r="C4478" s="82" t="str">
        <f>VLOOKUP($B$7:$B$5000,SUM!$L$6:$L$500,1,FALSE)</f>
        <v>#N/A</v>
      </c>
      <c r="D4478" s="190" t="s">
        <v>7446</v>
      </c>
      <c r="E4478" s="198" t="s">
        <v>58</v>
      </c>
      <c r="F4478" s="199" t="s">
        <v>593</v>
      </c>
      <c r="G4478" s="191" t="s">
        <v>5443</v>
      </c>
      <c r="H4478" s="199" t="s">
        <v>7451</v>
      </c>
      <c r="I4478" s="93" t="s">
        <v>4433</v>
      </c>
      <c r="J4478" s="148" t="s">
        <v>63</v>
      </c>
      <c r="K4478" s="148" t="s">
        <v>4434</v>
      </c>
      <c r="L4478" s="148" t="s">
        <v>65</v>
      </c>
      <c r="M4478" s="148" t="s">
        <v>185</v>
      </c>
      <c r="N4478" s="255">
        <v>46197.0</v>
      </c>
      <c r="O4478" s="148" t="s">
        <v>67</v>
      </c>
      <c r="P4478" s="148" t="s">
        <v>68</v>
      </c>
      <c r="Q4478" s="103"/>
      <c r="R4478" s="103"/>
      <c r="S4478" s="103"/>
      <c r="T4478" s="103"/>
      <c r="U4478" s="148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1">
        <v>4473.0</v>
      </c>
      <c r="B4479" s="90" t="s">
        <v>7452</v>
      </c>
      <c r="C4479" s="82" t="str">
        <f>VLOOKUP($B$7:$B$5000,SUM!$L$6:$L$500,1,FALSE)</f>
        <v>#N/A</v>
      </c>
      <c r="D4479" s="190" t="s">
        <v>7446</v>
      </c>
      <c r="E4479" s="198" t="s">
        <v>58</v>
      </c>
      <c r="F4479" s="199" t="s">
        <v>593</v>
      </c>
      <c r="G4479" s="191" t="s">
        <v>5443</v>
      </c>
      <c r="H4479" s="199" t="s">
        <v>7453</v>
      </c>
      <c r="I4479" s="93" t="s">
        <v>4433</v>
      </c>
      <c r="J4479" s="148" t="s">
        <v>63</v>
      </c>
      <c r="K4479" s="148" t="s">
        <v>4434</v>
      </c>
      <c r="L4479" s="148" t="s">
        <v>65</v>
      </c>
      <c r="M4479" s="148" t="s">
        <v>185</v>
      </c>
      <c r="N4479" s="255">
        <v>46197.0</v>
      </c>
      <c r="O4479" s="148" t="s">
        <v>67</v>
      </c>
      <c r="P4479" s="148" t="s">
        <v>68</v>
      </c>
      <c r="Q4479" s="103"/>
      <c r="R4479" s="103"/>
      <c r="S4479" s="103"/>
      <c r="T4479" s="103"/>
      <c r="U4479" s="148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1">
        <v>4474.0</v>
      </c>
      <c r="B4480" s="90" t="s">
        <v>7454</v>
      </c>
      <c r="C4480" s="82" t="str">
        <f>VLOOKUP($B$7:$B$5000,SUM!$L$6:$L$500,1,FALSE)</f>
        <v>#N/A</v>
      </c>
      <c r="D4480" s="190" t="s">
        <v>7446</v>
      </c>
      <c r="E4480" s="198" t="s">
        <v>58</v>
      </c>
      <c r="F4480" s="199" t="s">
        <v>593</v>
      </c>
      <c r="G4480" s="191" t="s">
        <v>5443</v>
      </c>
      <c r="H4480" s="199" t="s">
        <v>7455</v>
      </c>
      <c r="I4480" s="93" t="s">
        <v>4433</v>
      </c>
      <c r="J4480" s="148" t="s">
        <v>63</v>
      </c>
      <c r="K4480" s="148" t="s">
        <v>4434</v>
      </c>
      <c r="L4480" s="148" t="s">
        <v>65</v>
      </c>
      <c r="M4480" s="148" t="s">
        <v>185</v>
      </c>
      <c r="N4480" s="255">
        <v>46197.0</v>
      </c>
      <c r="O4480" s="148" t="s">
        <v>67</v>
      </c>
      <c r="P4480" s="148" t="s">
        <v>68</v>
      </c>
      <c r="Q4480" s="103"/>
      <c r="R4480" s="103"/>
      <c r="S4480" s="103"/>
      <c r="T4480" s="103"/>
      <c r="U4480" s="148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1">
        <v>4475.0</v>
      </c>
      <c r="B4481" s="90" t="s">
        <v>7456</v>
      </c>
      <c r="C4481" s="82" t="str">
        <f>VLOOKUP($B$7:$B$5000,SUM!$L$6:$L$500,1,FALSE)</f>
        <v>#N/A</v>
      </c>
      <c r="D4481" s="190" t="s">
        <v>7446</v>
      </c>
      <c r="E4481" s="198" t="s">
        <v>58</v>
      </c>
      <c r="F4481" s="199" t="s">
        <v>593</v>
      </c>
      <c r="G4481" s="191" t="s">
        <v>5443</v>
      </c>
      <c r="H4481" s="199" t="s">
        <v>7457</v>
      </c>
      <c r="I4481" s="93" t="s">
        <v>4433</v>
      </c>
      <c r="J4481" s="148" t="s">
        <v>63</v>
      </c>
      <c r="K4481" s="148" t="s">
        <v>4434</v>
      </c>
      <c r="L4481" s="148" t="s">
        <v>65</v>
      </c>
      <c r="M4481" s="148" t="s">
        <v>185</v>
      </c>
      <c r="N4481" s="255">
        <v>46197.0</v>
      </c>
      <c r="O4481" s="148" t="s">
        <v>67</v>
      </c>
      <c r="P4481" s="148" t="s">
        <v>68</v>
      </c>
      <c r="Q4481" s="103"/>
      <c r="R4481" s="103"/>
      <c r="S4481" s="103"/>
      <c r="T4481" s="103"/>
      <c r="U4481" s="148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1">
        <v>4476.0</v>
      </c>
      <c r="B4482" s="90" t="s">
        <v>7458</v>
      </c>
      <c r="C4482" s="82" t="str">
        <f>VLOOKUP($B$7:$B$5000,SUM!$L$6:$L$500,1,FALSE)</f>
        <v>#N/A</v>
      </c>
      <c r="D4482" s="190" t="s">
        <v>7446</v>
      </c>
      <c r="E4482" s="198" t="s">
        <v>58</v>
      </c>
      <c r="F4482" s="199" t="s">
        <v>593</v>
      </c>
      <c r="G4482" s="191" t="s">
        <v>5443</v>
      </c>
      <c r="H4482" s="199" t="s">
        <v>7459</v>
      </c>
      <c r="I4482" s="93" t="s">
        <v>4433</v>
      </c>
      <c r="J4482" s="148" t="s">
        <v>63</v>
      </c>
      <c r="K4482" s="148" t="s">
        <v>4434</v>
      </c>
      <c r="L4482" s="148" t="s">
        <v>65</v>
      </c>
      <c r="M4482" s="148" t="s">
        <v>185</v>
      </c>
      <c r="N4482" s="255">
        <v>46197.0</v>
      </c>
      <c r="O4482" s="148" t="s">
        <v>67</v>
      </c>
      <c r="P4482" s="148" t="s">
        <v>68</v>
      </c>
      <c r="Q4482" s="103"/>
      <c r="R4482" s="103"/>
      <c r="S4482" s="103"/>
      <c r="T4482" s="103"/>
      <c r="U4482" s="148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1">
        <v>4477.0</v>
      </c>
      <c r="B4483" s="90" t="s">
        <v>7460</v>
      </c>
      <c r="C4483" s="82" t="str">
        <f>VLOOKUP($B$7:$B$5000,SUM!$L$6:$L$500,1,FALSE)</f>
        <v>#N/A</v>
      </c>
      <c r="D4483" s="190" t="s">
        <v>7446</v>
      </c>
      <c r="E4483" s="198" t="s">
        <v>58</v>
      </c>
      <c r="F4483" s="199" t="s">
        <v>593</v>
      </c>
      <c r="G4483" s="191" t="s">
        <v>5443</v>
      </c>
      <c r="H4483" s="199" t="s">
        <v>7461</v>
      </c>
      <c r="I4483" s="93" t="s">
        <v>4433</v>
      </c>
      <c r="J4483" s="148" t="s">
        <v>63</v>
      </c>
      <c r="K4483" s="148" t="s">
        <v>4434</v>
      </c>
      <c r="L4483" s="148" t="s">
        <v>65</v>
      </c>
      <c r="M4483" s="148" t="s">
        <v>185</v>
      </c>
      <c r="N4483" s="255">
        <v>46197.0</v>
      </c>
      <c r="O4483" s="148" t="s">
        <v>67</v>
      </c>
      <c r="P4483" s="148" t="s">
        <v>68</v>
      </c>
      <c r="Q4483" s="103"/>
      <c r="R4483" s="103"/>
      <c r="S4483" s="103"/>
      <c r="T4483" s="103"/>
      <c r="U4483" s="148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1">
        <v>4478.0</v>
      </c>
      <c r="B4484" s="90" t="s">
        <v>7462</v>
      </c>
      <c r="C4484" s="82" t="str">
        <f>VLOOKUP($B$7:$B$5000,SUM!$L$6:$L$500,1,FALSE)</f>
        <v>#N/A</v>
      </c>
      <c r="D4484" s="190" t="s">
        <v>7446</v>
      </c>
      <c r="E4484" s="198" t="s">
        <v>58</v>
      </c>
      <c r="F4484" s="199" t="s">
        <v>593</v>
      </c>
      <c r="G4484" s="191" t="s">
        <v>5443</v>
      </c>
      <c r="H4484" s="199" t="s">
        <v>7463</v>
      </c>
      <c r="I4484" s="93" t="s">
        <v>4433</v>
      </c>
      <c r="J4484" s="148" t="s">
        <v>63</v>
      </c>
      <c r="K4484" s="148" t="s">
        <v>4434</v>
      </c>
      <c r="L4484" s="148" t="s">
        <v>65</v>
      </c>
      <c r="M4484" s="148" t="s">
        <v>185</v>
      </c>
      <c r="N4484" s="255">
        <v>46197.0</v>
      </c>
      <c r="O4484" s="148" t="s">
        <v>67</v>
      </c>
      <c r="P4484" s="148" t="s">
        <v>68</v>
      </c>
      <c r="Q4484" s="103"/>
      <c r="R4484" s="103"/>
      <c r="S4484" s="103"/>
      <c r="T4484" s="103"/>
      <c r="U4484" s="148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1">
        <v>4479.0</v>
      </c>
      <c r="B4485" s="90" t="s">
        <v>7464</v>
      </c>
      <c r="C4485" s="82" t="str">
        <f>VLOOKUP($B$7:$B$5000,SUM!$L$6:$L$500,1,FALSE)</f>
        <v>#N/A</v>
      </c>
      <c r="D4485" s="190" t="s">
        <v>7446</v>
      </c>
      <c r="E4485" s="198" t="s">
        <v>58</v>
      </c>
      <c r="F4485" s="199" t="s">
        <v>593</v>
      </c>
      <c r="G4485" s="191" t="s">
        <v>5443</v>
      </c>
      <c r="H4485" s="199" t="s">
        <v>7465</v>
      </c>
      <c r="I4485" s="93" t="s">
        <v>4433</v>
      </c>
      <c r="J4485" s="148" t="s">
        <v>63</v>
      </c>
      <c r="K4485" s="148" t="s">
        <v>4434</v>
      </c>
      <c r="L4485" s="148" t="s">
        <v>65</v>
      </c>
      <c r="M4485" s="148" t="s">
        <v>185</v>
      </c>
      <c r="N4485" s="255">
        <v>46197.0</v>
      </c>
      <c r="O4485" s="148" t="s">
        <v>67</v>
      </c>
      <c r="P4485" s="148" t="s">
        <v>68</v>
      </c>
      <c r="Q4485" s="103"/>
      <c r="R4485" s="103"/>
      <c r="S4485" s="103"/>
      <c r="T4485" s="103"/>
      <c r="U4485" s="148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1">
        <v>4480.0</v>
      </c>
      <c r="B4486" s="90" t="s">
        <v>7466</v>
      </c>
      <c r="C4486" s="82" t="str">
        <f>VLOOKUP($B$7:$B$5000,SUM!$L$6:$L$500,1,FALSE)</f>
        <v>#N/A</v>
      </c>
      <c r="D4486" s="190" t="s">
        <v>7446</v>
      </c>
      <c r="E4486" s="198" t="s">
        <v>58</v>
      </c>
      <c r="F4486" s="199" t="s">
        <v>593</v>
      </c>
      <c r="G4486" s="191" t="s">
        <v>5443</v>
      </c>
      <c r="H4486" s="199" t="s">
        <v>7467</v>
      </c>
      <c r="I4486" s="93" t="s">
        <v>4433</v>
      </c>
      <c r="J4486" s="148" t="s">
        <v>63</v>
      </c>
      <c r="K4486" s="148" t="s">
        <v>4434</v>
      </c>
      <c r="L4486" s="148" t="s">
        <v>65</v>
      </c>
      <c r="M4486" s="148" t="s">
        <v>185</v>
      </c>
      <c r="N4486" s="255">
        <v>46197.0</v>
      </c>
      <c r="O4486" s="148" t="s">
        <v>67</v>
      </c>
      <c r="P4486" s="148" t="s">
        <v>68</v>
      </c>
      <c r="Q4486" s="103"/>
      <c r="R4486" s="103"/>
      <c r="S4486" s="103"/>
      <c r="T4486" s="103"/>
      <c r="U4486" s="148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1">
        <v>4481.0</v>
      </c>
      <c r="B4487" s="90" t="s">
        <v>7468</v>
      </c>
      <c r="C4487" s="82" t="str">
        <f>VLOOKUP($B$7:$B$5000,SUM!$L$6:$L$500,1,FALSE)</f>
        <v>#N/A</v>
      </c>
      <c r="D4487" s="190" t="s">
        <v>7446</v>
      </c>
      <c r="E4487" s="198" t="s">
        <v>58</v>
      </c>
      <c r="F4487" s="199" t="s">
        <v>593</v>
      </c>
      <c r="G4487" s="191" t="s">
        <v>5443</v>
      </c>
      <c r="H4487" s="199" t="s">
        <v>7469</v>
      </c>
      <c r="I4487" s="93" t="s">
        <v>4433</v>
      </c>
      <c r="J4487" s="148" t="s">
        <v>63</v>
      </c>
      <c r="K4487" s="148" t="s">
        <v>4434</v>
      </c>
      <c r="L4487" s="148" t="s">
        <v>65</v>
      </c>
      <c r="M4487" s="148" t="s">
        <v>185</v>
      </c>
      <c r="N4487" s="255">
        <v>46197.0</v>
      </c>
      <c r="O4487" s="148" t="s">
        <v>67</v>
      </c>
      <c r="P4487" s="148" t="s">
        <v>68</v>
      </c>
      <c r="Q4487" s="103"/>
      <c r="R4487" s="103"/>
      <c r="S4487" s="103"/>
      <c r="T4487" s="103"/>
      <c r="U4487" s="148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1">
        <v>4482.0</v>
      </c>
      <c r="B4488" s="90" t="s">
        <v>7470</v>
      </c>
      <c r="C4488" s="82" t="str">
        <f>VLOOKUP($B$7:$B$5000,SUM!$L$6:$L$500,1,FALSE)</f>
        <v>#N/A</v>
      </c>
      <c r="D4488" s="190" t="s">
        <v>7446</v>
      </c>
      <c r="E4488" s="198" t="s">
        <v>58</v>
      </c>
      <c r="F4488" s="199" t="s">
        <v>593</v>
      </c>
      <c r="G4488" s="191" t="s">
        <v>5443</v>
      </c>
      <c r="H4488" s="199" t="s">
        <v>7471</v>
      </c>
      <c r="I4488" s="93" t="s">
        <v>4433</v>
      </c>
      <c r="J4488" s="148" t="s">
        <v>63</v>
      </c>
      <c r="K4488" s="148" t="s">
        <v>4434</v>
      </c>
      <c r="L4488" s="148" t="s">
        <v>65</v>
      </c>
      <c r="M4488" s="148" t="s">
        <v>185</v>
      </c>
      <c r="N4488" s="255">
        <v>46197.0</v>
      </c>
      <c r="O4488" s="148" t="s">
        <v>67</v>
      </c>
      <c r="P4488" s="148" t="s">
        <v>68</v>
      </c>
      <c r="Q4488" s="103"/>
      <c r="R4488" s="103"/>
      <c r="S4488" s="103"/>
      <c r="T4488" s="103"/>
      <c r="U4488" s="148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1">
        <v>4483.0</v>
      </c>
      <c r="B4489" s="90" t="s">
        <v>7472</v>
      </c>
      <c r="C4489" s="82" t="str">
        <f>VLOOKUP($B$7:$B$5000,SUM!$L$6:$L$500,1,FALSE)</f>
        <v>#N/A</v>
      </c>
      <c r="D4489" s="190" t="s">
        <v>7446</v>
      </c>
      <c r="E4489" s="198" t="s">
        <v>58</v>
      </c>
      <c r="F4489" s="199" t="s">
        <v>593</v>
      </c>
      <c r="G4489" s="191" t="s">
        <v>5443</v>
      </c>
      <c r="H4489" s="199" t="s">
        <v>7473</v>
      </c>
      <c r="I4489" s="93" t="s">
        <v>4433</v>
      </c>
      <c r="J4489" s="148" t="s">
        <v>63</v>
      </c>
      <c r="K4489" s="148" t="s">
        <v>4434</v>
      </c>
      <c r="L4489" s="148" t="s">
        <v>65</v>
      </c>
      <c r="M4489" s="148" t="s">
        <v>185</v>
      </c>
      <c r="N4489" s="255">
        <v>46197.0</v>
      </c>
      <c r="O4489" s="148" t="s">
        <v>67</v>
      </c>
      <c r="P4489" s="148" t="s">
        <v>68</v>
      </c>
      <c r="Q4489" s="103"/>
      <c r="R4489" s="103"/>
      <c r="S4489" s="103"/>
      <c r="T4489" s="103"/>
      <c r="U4489" s="148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1">
        <v>4484.0</v>
      </c>
      <c r="B4490" s="90" t="s">
        <v>7474</v>
      </c>
      <c r="C4490" s="82" t="str">
        <f>VLOOKUP($B$7:$B$5000,SUM!$L$6:$L$500,1,FALSE)</f>
        <v>#N/A</v>
      </c>
      <c r="D4490" s="190" t="s">
        <v>7446</v>
      </c>
      <c r="E4490" s="198" t="s">
        <v>58</v>
      </c>
      <c r="F4490" s="199" t="s">
        <v>593</v>
      </c>
      <c r="G4490" s="191" t="s">
        <v>5443</v>
      </c>
      <c r="H4490" s="199" t="s">
        <v>7475</v>
      </c>
      <c r="I4490" s="93" t="s">
        <v>4433</v>
      </c>
      <c r="J4490" s="148" t="s">
        <v>63</v>
      </c>
      <c r="K4490" s="148" t="s">
        <v>4434</v>
      </c>
      <c r="L4490" s="148" t="s">
        <v>65</v>
      </c>
      <c r="M4490" s="148" t="s">
        <v>185</v>
      </c>
      <c r="N4490" s="255">
        <v>46197.0</v>
      </c>
      <c r="O4490" s="148" t="s">
        <v>67</v>
      </c>
      <c r="P4490" s="148" t="s">
        <v>68</v>
      </c>
      <c r="Q4490" s="103"/>
      <c r="R4490" s="103"/>
      <c r="S4490" s="103"/>
      <c r="T4490" s="103"/>
      <c r="U4490" s="148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1">
        <v>4485.0</v>
      </c>
      <c r="B4491" s="90" t="s">
        <v>7476</v>
      </c>
      <c r="C4491" s="82" t="str">
        <f>VLOOKUP($B$7:$B$5000,SUM!$L$6:$L$500,1,FALSE)</f>
        <v>#N/A</v>
      </c>
      <c r="D4491" s="190" t="s">
        <v>7446</v>
      </c>
      <c r="E4491" s="198" t="s">
        <v>58</v>
      </c>
      <c r="F4491" s="199" t="s">
        <v>593</v>
      </c>
      <c r="G4491" s="191" t="s">
        <v>5443</v>
      </c>
      <c r="H4491" s="199" t="s">
        <v>7477</v>
      </c>
      <c r="I4491" s="93" t="s">
        <v>4433</v>
      </c>
      <c r="J4491" s="148" t="s">
        <v>63</v>
      </c>
      <c r="K4491" s="148" t="s">
        <v>4434</v>
      </c>
      <c r="L4491" s="148" t="s">
        <v>65</v>
      </c>
      <c r="M4491" s="148" t="s">
        <v>185</v>
      </c>
      <c r="N4491" s="255">
        <v>46197.0</v>
      </c>
      <c r="O4491" s="148" t="s">
        <v>67</v>
      </c>
      <c r="P4491" s="148" t="s">
        <v>68</v>
      </c>
      <c r="Q4491" s="103"/>
      <c r="R4491" s="103"/>
      <c r="S4491" s="103"/>
      <c r="T4491" s="103"/>
      <c r="U4491" s="148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1">
        <v>4486.0</v>
      </c>
      <c r="B4492" s="90" t="s">
        <v>7478</v>
      </c>
      <c r="C4492" s="82" t="str">
        <f>VLOOKUP($B$7:$B$5000,SUM!$L$6:$L$500,1,FALSE)</f>
        <v>#N/A</v>
      </c>
      <c r="D4492" s="190" t="s">
        <v>7446</v>
      </c>
      <c r="E4492" s="198" t="s">
        <v>58</v>
      </c>
      <c r="F4492" s="199" t="s">
        <v>593</v>
      </c>
      <c r="G4492" s="191" t="s">
        <v>5443</v>
      </c>
      <c r="H4492" s="199" t="s">
        <v>7479</v>
      </c>
      <c r="I4492" s="93" t="s">
        <v>4433</v>
      </c>
      <c r="J4492" s="148" t="s">
        <v>63</v>
      </c>
      <c r="K4492" s="148" t="s">
        <v>4434</v>
      </c>
      <c r="L4492" s="148" t="s">
        <v>65</v>
      </c>
      <c r="M4492" s="148" t="s">
        <v>185</v>
      </c>
      <c r="N4492" s="255">
        <v>46197.0</v>
      </c>
      <c r="O4492" s="148" t="s">
        <v>67</v>
      </c>
      <c r="P4492" s="148" t="s">
        <v>68</v>
      </c>
      <c r="Q4492" s="103"/>
      <c r="R4492" s="103"/>
      <c r="S4492" s="103"/>
      <c r="T4492" s="103"/>
      <c r="U4492" s="148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1">
        <v>4487.0</v>
      </c>
      <c r="B4493" s="90" t="s">
        <v>7480</v>
      </c>
      <c r="C4493" s="82" t="str">
        <f>VLOOKUP($B$7:$B$5000,SUM!$L$6:$L$500,1,FALSE)</f>
        <v>#N/A</v>
      </c>
      <c r="D4493" s="190" t="s">
        <v>7446</v>
      </c>
      <c r="E4493" s="198" t="s">
        <v>58</v>
      </c>
      <c r="F4493" s="199" t="s">
        <v>593</v>
      </c>
      <c r="G4493" s="191" t="s">
        <v>5443</v>
      </c>
      <c r="H4493" s="199" t="s">
        <v>7481</v>
      </c>
      <c r="I4493" s="93" t="s">
        <v>4433</v>
      </c>
      <c r="J4493" s="148" t="s">
        <v>63</v>
      </c>
      <c r="K4493" s="148" t="s">
        <v>4434</v>
      </c>
      <c r="L4493" s="148" t="s">
        <v>65</v>
      </c>
      <c r="M4493" s="148" t="s">
        <v>185</v>
      </c>
      <c r="N4493" s="255">
        <v>46197.0</v>
      </c>
      <c r="O4493" s="148" t="s">
        <v>67</v>
      </c>
      <c r="P4493" s="148" t="s">
        <v>68</v>
      </c>
      <c r="Q4493" s="103"/>
      <c r="R4493" s="103"/>
      <c r="S4493" s="103"/>
      <c r="T4493" s="103"/>
      <c r="U4493" s="148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1">
        <v>4488.0</v>
      </c>
      <c r="B4494" s="90" t="s">
        <v>7482</v>
      </c>
      <c r="C4494" s="82" t="str">
        <f>VLOOKUP($B$7:$B$5000,SUM!$L$6:$L$500,1,FALSE)</f>
        <v>#N/A</v>
      </c>
      <c r="D4494" s="190" t="s">
        <v>7446</v>
      </c>
      <c r="E4494" s="198" t="s">
        <v>58</v>
      </c>
      <c r="F4494" s="199" t="s">
        <v>593</v>
      </c>
      <c r="G4494" s="191" t="s">
        <v>5443</v>
      </c>
      <c r="H4494" s="199" t="s">
        <v>7483</v>
      </c>
      <c r="I4494" s="93" t="s">
        <v>4433</v>
      </c>
      <c r="J4494" s="148" t="s">
        <v>63</v>
      </c>
      <c r="K4494" s="148" t="s">
        <v>4434</v>
      </c>
      <c r="L4494" s="148" t="s">
        <v>65</v>
      </c>
      <c r="M4494" s="148" t="s">
        <v>185</v>
      </c>
      <c r="N4494" s="255">
        <v>46197.0</v>
      </c>
      <c r="O4494" s="148" t="s">
        <v>67</v>
      </c>
      <c r="P4494" s="148" t="s">
        <v>68</v>
      </c>
      <c r="Q4494" s="103"/>
      <c r="R4494" s="103"/>
      <c r="S4494" s="103"/>
      <c r="T4494" s="103"/>
      <c r="U4494" s="148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1">
        <v>4489.0</v>
      </c>
      <c r="B4495" s="90" t="s">
        <v>7484</v>
      </c>
      <c r="C4495" s="82" t="str">
        <f>VLOOKUP($B$7:$B$5000,SUM!$L$6:$L$500,1,FALSE)</f>
        <v>#N/A</v>
      </c>
      <c r="D4495" s="190" t="s">
        <v>7446</v>
      </c>
      <c r="E4495" s="198" t="s">
        <v>58</v>
      </c>
      <c r="F4495" s="199" t="s">
        <v>593</v>
      </c>
      <c r="G4495" s="191" t="s">
        <v>5443</v>
      </c>
      <c r="H4495" s="199" t="s">
        <v>7485</v>
      </c>
      <c r="I4495" s="93" t="s">
        <v>4433</v>
      </c>
      <c r="J4495" s="148" t="s">
        <v>63</v>
      </c>
      <c r="K4495" s="148" t="s">
        <v>4434</v>
      </c>
      <c r="L4495" s="148" t="s">
        <v>65</v>
      </c>
      <c r="M4495" s="148" t="s">
        <v>185</v>
      </c>
      <c r="N4495" s="255">
        <v>46197.0</v>
      </c>
      <c r="O4495" s="148" t="s">
        <v>67</v>
      </c>
      <c r="P4495" s="148" t="s">
        <v>68</v>
      </c>
      <c r="Q4495" s="103"/>
      <c r="R4495" s="103"/>
      <c r="S4495" s="103"/>
      <c r="T4495" s="103"/>
      <c r="U4495" s="148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1">
        <v>4490.0</v>
      </c>
      <c r="B4496" s="90" t="s">
        <v>7486</v>
      </c>
      <c r="C4496" s="82" t="str">
        <f>VLOOKUP($B$7:$B$5000,SUM!$L$6:$L$500,1,FALSE)</f>
        <v>#N/A</v>
      </c>
      <c r="D4496" s="190" t="s">
        <v>7446</v>
      </c>
      <c r="E4496" s="198" t="s">
        <v>58</v>
      </c>
      <c r="F4496" s="199" t="s">
        <v>593</v>
      </c>
      <c r="G4496" s="191" t="s">
        <v>5443</v>
      </c>
      <c r="H4496" s="199" t="s">
        <v>7487</v>
      </c>
      <c r="I4496" s="93" t="s">
        <v>4433</v>
      </c>
      <c r="J4496" s="148" t="s">
        <v>63</v>
      </c>
      <c r="K4496" s="148" t="s">
        <v>4434</v>
      </c>
      <c r="L4496" s="148" t="s">
        <v>65</v>
      </c>
      <c r="M4496" s="148" t="s">
        <v>185</v>
      </c>
      <c r="N4496" s="255">
        <v>46197.0</v>
      </c>
      <c r="O4496" s="148" t="s">
        <v>67</v>
      </c>
      <c r="P4496" s="148" t="s">
        <v>68</v>
      </c>
      <c r="Q4496" s="103"/>
      <c r="R4496" s="103"/>
      <c r="S4496" s="103"/>
      <c r="T4496" s="103"/>
      <c r="U4496" s="148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1">
        <v>4491.0</v>
      </c>
      <c r="B4497" s="90" t="s">
        <v>7488</v>
      </c>
      <c r="C4497" s="82" t="str">
        <f>VLOOKUP($B$7:$B$5000,SUM!$L$6:$L$500,1,FALSE)</f>
        <v>#N/A</v>
      </c>
      <c r="D4497" s="190" t="s">
        <v>7446</v>
      </c>
      <c r="E4497" s="198" t="s">
        <v>58</v>
      </c>
      <c r="F4497" s="199" t="s">
        <v>593</v>
      </c>
      <c r="G4497" s="191" t="s">
        <v>5443</v>
      </c>
      <c r="H4497" s="199" t="s">
        <v>7489</v>
      </c>
      <c r="I4497" s="93" t="s">
        <v>4433</v>
      </c>
      <c r="J4497" s="148" t="s">
        <v>63</v>
      </c>
      <c r="K4497" s="148" t="s">
        <v>4434</v>
      </c>
      <c r="L4497" s="148" t="s">
        <v>65</v>
      </c>
      <c r="M4497" s="148" t="s">
        <v>185</v>
      </c>
      <c r="N4497" s="255">
        <v>46197.0</v>
      </c>
      <c r="O4497" s="148" t="s">
        <v>67</v>
      </c>
      <c r="P4497" s="148" t="s">
        <v>68</v>
      </c>
      <c r="Q4497" s="103"/>
      <c r="R4497" s="103"/>
      <c r="S4497" s="103"/>
      <c r="T4497" s="103"/>
      <c r="U4497" s="148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1">
        <v>4492.0</v>
      </c>
      <c r="B4498" s="90" t="s">
        <v>7490</v>
      </c>
      <c r="C4498" s="82" t="str">
        <f>VLOOKUP($B$7:$B$5000,SUM!$L$6:$L$500,1,FALSE)</f>
        <v>#N/A</v>
      </c>
      <c r="D4498" s="190" t="s">
        <v>7446</v>
      </c>
      <c r="E4498" s="198" t="s">
        <v>58</v>
      </c>
      <c r="F4498" s="199" t="s">
        <v>593</v>
      </c>
      <c r="G4498" s="191" t="s">
        <v>5443</v>
      </c>
      <c r="H4498" s="199" t="s">
        <v>7491</v>
      </c>
      <c r="I4498" s="93" t="s">
        <v>4433</v>
      </c>
      <c r="J4498" s="148" t="s">
        <v>63</v>
      </c>
      <c r="K4498" s="148" t="s">
        <v>4434</v>
      </c>
      <c r="L4498" s="148" t="s">
        <v>65</v>
      </c>
      <c r="M4498" s="148" t="s">
        <v>185</v>
      </c>
      <c r="N4498" s="255">
        <v>46197.0</v>
      </c>
      <c r="O4498" s="148" t="s">
        <v>67</v>
      </c>
      <c r="P4498" s="148" t="s">
        <v>68</v>
      </c>
      <c r="Q4498" s="103"/>
      <c r="R4498" s="103"/>
      <c r="S4498" s="103"/>
      <c r="T4498" s="103"/>
      <c r="U4498" s="148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1">
        <v>4493.0</v>
      </c>
      <c r="B4499" s="90" t="s">
        <v>7492</v>
      </c>
      <c r="C4499" s="82" t="str">
        <f>VLOOKUP($B$7:$B$5000,SUM!$L$6:$L$500,1,FALSE)</f>
        <v>#N/A</v>
      </c>
      <c r="D4499" s="190" t="s">
        <v>7446</v>
      </c>
      <c r="E4499" s="198" t="s">
        <v>58</v>
      </c>
      <c r="F4499" s="199" t="s">
        <v>593</v>
      </c>
      <c r="G4499" s="191" t="s">
        <v>5443</v>
      </c>
      <c r="H4499" s="199" t="s">
        <v>7493</v>
      </c>
      <c r="I4499" s="93" t="s">
        <v>4433</v>
      </c>
      <c r="J4499" s="148" t="s">
        <v>63</v>
      </c>
      <c r="K4499" s="148" t="s">
        <v>4434</v>
      </c>
      <c r="L4499" s="148" t="s">
        <v>65</v>
      </c>
      <c r="M4499" s="148" t="s">
        <v>185</v>
      </c>
      <c r="N4499" s="255">
        <v>46197.0</v>
      </c>
      <c r="O4499" s="148" t="s">
        <v>67</v>
      </c>
      <c r="P4499" s="148" t="s">
        <v>68</v>
      </c>
      <c r="Q4499" s="103"/>
      <c r="R4499" s="103"/>
      <c r="S4499" s="103"/>
      <c r="T4499" s="103"/>
      <c r="U4499" s="148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1">
        <v>4494.0</v>
      </c>
      <c r="B4500" s="90" t="s">
        <v>7494</v>
      </c>
      <c r="C4500" s="82" t="str">
        <f>VLOOKUP($B$7:$B$5000,SUM!$L$6:$L$500,1,FALSE)</f>
        <v>#N/A</v>
      </c>
      <c r="D4500" s="190" t="s">
        <v>7446</v>
      </c>
      <c r="E4500" s="198" t="s">
        <v>58</v>
      </c>
      <c r="F4500" s="199" t="s">
        <v>593</v>
      </c>
      <c r="G4500" s="191" t="s">
        <v>5443</v>
      </c>
      <c r="H4500" s="199" t="s">
        <v>7495</v>
      </c>
      <c r="I4500" s="93" t="s">
        <v>4433</v>
      </c>
      <c r="J4500" s="148" t="s">
        <v>63</v>
      </c>
      <c r="K4500" s="148" t="s">
        <v>4434</v>
      </c>
      <c r="L4500" s="148" t="s">
        <v>65</v>
      </c>
      <c r="M4500" s="148" t="s">
        <v>185</v>
      </c>
      <c r="N4500" s="255">
        <v>46197.0</v>
      </c>
      <c r="O4500" s="148" t="s">
        <v>67</v>
      </c>
      <c r="P4500" s="148" t="s">
        <v>68</v>
      </c>
      <c r="Q4500" s="103"/>
      <c r="R4500" s="103"/>
      <c r="S4500" s="103"/>
      <c r="T4500" s="103"/>
      <c r="U4500" s="148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1">
        <v>4495.0</v>
      </c>
      <c r="B4501" s="90" t="s">
        <v>7496</v>
      </c>
      <c r="C4501" s="82" t="str">
        <f>VLOOKUP($B$7:$B$5000,SUM!$L$6:$L$500,1,FALSE)</f>
        <v>#N/A</v>
      </c>
      <c r="D4501" s="190" t="s">
        <v>7446</v>
      </c>
      <c r="E4501" s="198" t="s">
        <v>58</v>
      </c>
      <c r="F4501" s="199" t="s">
        <v>593</v>
      </c>
      <c r="G4501" s="191" t="s">
        <v>5443</v>
      </c>
      <c r="H4501" s="199" t="s">
        <v>7497</v>
      </c>
      <c r="I4501" s="93" t="s">
        <v>4433</v>
      </c>
      <c r="J4501" s="148" t="s">
        <v>63</v>
      </c>
      <c r="K4501" s="148" t="s">
        <v>4434</v>
      </c>
      <c r="L4501" s="148" t="s">
        <v>65</v>
      </c>
      <c r="M4501" s="148" t="s">
        <v>185</v>
      </c>
      <c r="N4501" s="255">
        <v>46197.0</v>
      </c>
      <c r="O4501" s="148" t="s">
        <v>67</v>
      </c>
      <c r="P4501" s="148" t="s">
        <v>68</v>
      </c>
      <c r="Q4501" s="103"/>
      <c r="R4501" s="103"/>
      <c r="S4501" s="103"/>
      <c r="T4501" s="103"/>
      <c r="U4501" s="148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1">
        <v>4496.0</v>
      </c>
      <c r="B4502" s="90" t="s">
        <v>7498</v>
      </c>
      <c r="C4502" s="82" t="str">
        <f>VLOOKUP($B$7:$B$5000,SUM!$L$6:$L$500,1,FALSE)</f>
        <v>#N/A</v>
      </c>
      <c r="D4502" s="190" t="s">
        <v>7446</v>
      </c>
      <c r="E4502" s="198" t="s">
        <v>58</v>
      </c>
      <c r="F4502" s="199" t="s">
        <v>593</v>
      </c>
      <c r="G4502" s="191" t="s">
        <v>5443</v>
      </c>
      <c r="H4502" s="199" t="s">
        <v>4545</v>
      </c>
      <c r="I4502" s="93" t="s">
        <v>4433</v>
      </c>
      <c r="J4502" s="148" t="s">
        <v>63</v>
      </c>
      <c r="K4502" s="148" t="s">
        <v>4434</v>
      </c>
      <c r="L4502" s="148" t="s">
        <v>65</v>
      </c>
      <c r="M4502" s="148" t="s">
        <v>185</v>
      </c>
      <c r="N4502" s="255">
        <v>46197.0</v>
      </c>
      <c r="O4502" s="148" t="s">
        <v>67</v>
      </c>
      <c r="P4502" s="148" t="s">
        <v>68</v>
      </c>
      <c r="Q4502" s="103"/>
      <c r="R4502" s="103"/>
      <c r="S4502" s="103"/>
      <c r="T4502" s="103"/>
      <c r="U4502" s="148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1">
        <v>4497.0</v>
      </c>
      <c r="B4503" s="90" t="s">
        <v>7499</v>
      </c>
      <c r="C4503" s="82" t="str">
        <f>VLOOKUP($B$7:$B$5000,SUM!$L$6:$L$500,1,FALSE)</f>
        <v>#N/A</v>
      </c>
      <c r="D4503" s="190" t="s">
        <v>7446</v>
      </c>
      <c r="E4503" s="198" t="s">
        <v>58</v>
      </c>
      <c r="F4503" s="199" t="s">
        <v>593</v>
      </c>
      <c r="G4503" s="191" t="s">
        <v>5443</v>
      </c>
      <c r="H4503" s="199" t="s">
        <v>7500</v>
      </c>
      <c r="I4503" s="93" t="s">
        <v>4433</v>
      </c>
      <c r="J4503" s="148" t="s">
        <v>63</v>
      </c>
      <c r="K4503" s="148" t="s">
        <v>4434</v>
      </c>
      <c r="L4503" s="148" t="s">
        <v>65</v>
      </c>
      <c r="M4503" s="148" t="s">
        <v>185</v>
      </c>
      <c r="N4503" s="255">
        <v>46197.0</v>
      </c>
      <c r="O4503" s="148" t="s">
        <v>67</v>
      </c>
      <c r="P4503" s="148" t="s">
        <v>68</v>
      </c>
      <c r="Q4503" s="103"/>
      <c r="R4503" s="103"/>
      <c r="S4503" s="103"/>
      <c r="T4503" s="103"/>
      <c r="U4503" s="148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1">
        <v>4498.0</v>
      </c>
      <c r="B4504" s="90" t="s">
        <v>7501</v>
      </c>
      <c r="C4504" s="82" t="str">
        <f>VLOOKUP($B$7:$B$5000,SUM!$L$6:$L$500,1,FALSE)</f>
        <v>#N/A</v>
      </c>
      <c r="D4504" s="190" t="s">
        <v>7446</v>
      </c>
      <c r="E4504" s="198" t="s">
        <v>58</v>
      </c>
      <c r="F4504" s="199" t="s">
        <v>593</v>
      </c>
      <c r="G4504" s="191" t="s">
        <v>5443</v>
      </c>
      <c r="H4504" s="199" t="s">
        <v>7447</v>
      </c>
      <c r="I4504" s="220" t="s">
        <v>7502</v>
      </c>
      <c r="J4504" s="148" t="s">
        <v>63</v>
      </c>
      <c r="K4504" s="148" t="s">
        <v>4434</v>
      </c>
      <c r="L4504" s="148" t="s">
        <v>65</v>
      </c>
      <c r="M4504" s="148" t="s">
        <v>185</v>
      </c>
      <c r="N4504" s="255">
        <v>46197.0</v>
      </c>
      <c r="O4504" s="148" t="s">
        <v>67</v>
      </c>
      <c r="P4504" s="148" t="s">
        <v>68</v>
      </c>
      <c r="Q4504" s="103"/>
      <c r="R4504" s="103"/>
      <c r="S4504" s="103"/>
      <c r="T4504" s="103"/>
      <c r="U4504" s="148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1">
        <v>4499.0</v>
      </c>
      <c r="B4505" s="90" t="s">
        <v>7503</v>
      </c>
      <c r="C4505" s="82" t="str">
        <f>VLOOKUP($B$7:$B$5000,SUM!$L$6:$L$500,1,FALSE)</f>
        <v>#N/A</v>
      </c>
      <c r="D4505" s="190" t="s">
        <v>7446</v>
      </c>
      <c r="E4505" s="198" t="s">
        <v>58</v>
      </c>
      <c r="F4505" s="199" t="s">
        <v>593</v>
      </c>
      <c r="G4505" s="191" t="s">
        <v>5443</v>
      </c>
      <c r="H4505" s="199" t="s">
        <v>7449</v>
      </c>
      <c r="I4505" s="220" t="s">
        <v>7502</v>
      </c>
      <c r="J4505" s="148" t="s">
        <v>63</v>
      </c>
      <c r="K4505" s="148" t="s">
        <v>4434</v>
      </c>
      <c r="L4505" s="148" t="s">
        <v>65</v>
      </c>
      <c r="M4505" s="148" t="s">
        <v>185</v>
      </c>
      <c r="N4505" s="255">
        <v>46197.0</v>
      </c>
      <c r="O4505" s="148" t="s">
        <v>67</v>
      </c>
      <c r="P4505" s="148" t="s">
        <v>68</v>
      </c>
      <c r="Q4505" s="103"/>
      <c r="R4505" s="103"/>
      <c r="S4505" s="103"/>
      <c r="T4505" s="103"/>
      <c r="U4505" s="148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1">
        <v>4500.0</v>
      </c>
      <c r="B4506" s="90" t="s">
        <v>7504</v>
      </c>
      <c r="C4506" s="82" t="str">
        <f>VLOOKUP($B$7:$B$5000,SUM!$L$6:$L$500,1,FALSE)</f>
        <v>#N/A</v>
      </c>
      <c r="D4506" s="190" t="s">
        <v>7446</v>
      </c>
      <c r="E4506" s="198" t="s">
        <v>58</v>
      </c>
      <c r="F4506" s="199" t="s">
        <v>593</v>
      </c>
      <c r="G4506" s="191" t="s">
        <v>5443</v>
      </c>
      <c r="H4506" s="199" t="s">
        <v>7451</v>
      </c>
      <c r="I4506" s="220" t="s">
        <v>7502</v>
      </c>
      <c r="J4506" s="148" t="s">
        <v>63</v>
      </c>
      <c r="K4506" s="148" t="s">
        <v>4434</v>
      </c>
      <c r="L4506" s="148" t="s">
        <v>65</v>
      </c>
      <c r="M4506" s="148" t="s">
        <v>185</v>
      </c>
      <c r="N4506" s="255">
        <v>46197.0</v>
      </c>
      <c r="O4506" s="148" t="s">
        <v>67</v>
      </c>
      <c r="P4506" s="148" t="s">
        <v>68</v>
      </c>
      <c r="Q4506" s="103"/>
      <c r="R4506" s="103"/>
      <c r="S4506" s="103"/>
      <c r="T4506" s="103"/>
      <c r="U4506" s="148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1">
        <v>4501.0</v>
      </c>
      <c r="B4507" s="90" t="s">
        <v>7505</v>
      </c>
      <c r="C4507" s="82" t="str">
        <f>VLOOKUP($B$7:$B$5000,SUM!$L$6:$L$500,1,FALSE)</f>
        <v>#N/A</v>
      </c>
      <c r="D4507" s="190" t="s">
        <v>7446</v>
      </c>
      <c r="E4507" s="198" t="s">
        <v>58</v>
      </c>
      <c r="F4507" s="199" t="s">
        <v>593</v>
      </c>
      <c r="G4507" s="191" t="s">
        <v>5443</v>
      </c>
      <c r="H4507" s="199" t="s">
        <v>7453</v>
      </c>
      <c r="I4507" s="220" t="s">
        <v>7502</v>
      </c>
      <c r="J4507" s="148" t="s">
        <v>63</v>
      </c>
      <c r="K4507" s="148" t="s">
        <v>4434</v>
      </c>
      <c r="L4507" s="148" t="s">
        <v>65</v>
      </c>
      <c r="M4507" s="148" t="s">
        <v>185</v>
      </c>
      <c r="N4507" s="255">
        <v>46197.0</v>
      </c>
      <c r="O4507" s="148" t="s">
        <v>67</v>
      </c>
      <c r="P4507" s="148" t="s">
        <v>68</v>
      </c>
      <c r="Q4507" s="103"/>
      <c r="R4507" s="103"/>
      <c r="S4507" s="103"/>
      <c r="T4507" s="103"/>
      <c r="U4507" s="148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1">
        <v>4502.0</v>
      </c>
      <c r="B4508" s="90" t="s">
        <v>7506</v>
      </c>
      <c r="C4508" s="82" t="str">
        <f>VLOOKUP($B$7:$B$5000,SUM!$L$6:$L$500,1,FALSE)</f>
        <v>#N/A</v>
      </c>
      <c r="D4508" s="190" t="s">
        <v>7446</v>
      </c>
      <c r="E4508" s="198" t="s">
        <v>58</v>
      </c>
      <c r="F4508" s="199" t="s">
        <v>593</v>
      </c>
      <c r="G4508" s="191" t="s">
        <v>5443</v>
      </c>
      <c r="H4508" s="199" t="s">
        <v>7455</v>
      </c>
      <c r="I4508" s="220" t="s">
        <v>7502</v>
      </c>
      <c r="J4508" s="148" t="s">
        <v>63</v>
      </c>
      <c r="K4508" s="148" t="s">
        <v>4434</v>
      </c>
      <c r="L4508" s="148" t="s">
        <v>65</v>
      </c>
      <c r="M4508" s="148" t="s">
        <v>185</v>
      </c>
      <c r="N4508" s="255">
        <v>46197.0</v>
      </c>
      <c r="O4508" s="148" t="s">
        <v>67</v>
      </c>
      <c r="P4508" s="148" t="s">
        <v>68</v>
      </c>
      <c r="Q4508" s="103"/>
      <c r="R4508" s="103"/>
      <c r="S4508" s="103"/>
      <c r="T4508" s="103"/>
      <c r="U4508" s="148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1">
        <v>4503.0</v>
      </c>
      <c r="B4509" s="90" t="s">
        <v>7507</v>
      </c>
      <c r="C4509" s="82" t="str">
        <f>VLOOKUP($B$7:$B$5000,SUM!$L$6:$L$500,1,FALSE)</f>
        <v>#N/A</v>
      </c>
      <c r="D4509" s="190" t="s">
        <v>7446</v>
      </c>
      <c r="E4509" s="198" t="s">
        <v>58</v>
      </c>
      <c r="F4509" s="199" t="s">
        <v>593</v>
      </c>
      <c r="G4509" s="191" t="s">
        <v>5443</v>
      </c>
      <c r="H4509" s="199" t="s">
        <v>7457</v>
      </c>
      <c r="I4509" s="220" t="s">
        <v>7502</v>
      </c>
      <c r="J4509" s="148" t="s">
        <v>63</v>
      </c>
      <c r="K4509" s="148" t="s">
        <v>4434</v>
      </c>
      <c r="L4509" s="148" t="s">
        <v>65</v>
      </c>
      <c r="M4509" s="148" t="s">
        <v>185</v>
      </c>
      <c r="N4509" s="255">
        <v>46197.0</v>
      </c>
      <c r="O4509" s="148" t="s">
        <v>67</v>
      </c>
      <c r="P4509" s="148" t="s">
        <v>68</v>
      </c>
      <c r="Q4509" s="103"/>
      <c r="R4509" s="103"/>
      <c r="S4509" s="103"/>
      <c r="T4509" s="103"/>
      <c r="U4509" s="148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1">
        <v>4504.0</v>
      </c>
      <c r="B4510" s="90" t="s">
        <v>7508</v>
      </c>
      <c r="C4510" s="82" t="str">
        <f>VLOOKUP($B$7:$B$5000,SUM!$L$6:$L$500,1,FALSE)</f>
        <v>#N/A</v>
      </c>
      <c r="D4510" s="190" t="s">
        <v>7446</v>
      </c>
      <c r="E4510" s="198" t="s">
        <v>58</v>
      </c>
      <c r="F4510" s="199" t="s">
        <v>593</v>
      </c>
      <c r="G4510" s="191" t="s">
        <v>5443</v>
      </c>
      <c r="H4510" s="199" t="s">
        <v>7459</v>
      </c>
      <c r="I4510" s="220" t="s">
        <v>7502</v>
      </c>
      <c r="J4510" s="148" t="s">
        <v>63</v>
      </c>
      <c r="K4510" s="148" t="s">
        <v>4434</v>
      </c>
      <c r="L4510" s="148" t="s">
        <v>65</v>
      </c>
      <c r="M4510" s="148" t="s">
        <v>185</v>
      </c>
      <c r="N4510" s="255">
        <v>46197.0</v>
      </c>
      <c r="O4510" s="148" t="s">
        <v>67</v>
      </c>
      <c r="P4510" s="148" t="s">
        <v>68</v>
      </c>
      <c r="Q4510" s="103"/>
      <c r="R4510" s="103"/>
      <c r="S4510" s="103"/>
      <c r="T4510" s="103"/>
      <c r="U4510" s="148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1">
        <v>4505.0</v>
      </c>
      <c r="B4511" s="90" t="s">
        <v>7509</v>
      </c>
      <c r="C4511" s="82" t="str">
        <f>VLOOKUP($B$7:$B$5000,SUM!$L$6:$L$500,1,FALSE)</f>
        <v>#N/A</v>
      </c>
      <c r="D4511" s="190" t="s">
        <v>7446</v>
      </c>
      <c r="E4511" s="198" t="s">
        <v>58</v>
      </c>
      <c r="F4511" s="199" t="s">
        <v>593</v>
      </c>
      <c r="G4511" s="191" t="s">
        <v>5443</v>
      </c>
      <c r="H4511" s="199" t="s">
        <v>7461</v>
      </c>
      <c r="I4511" s="220" t="s">
        <v>7502</v>
      </c>
      <c r="J4511" s="148" t="s">
        <v>63</v>
      </c>
      <c r="K4511" s="148" t="s">
        <v>4434</v>
      </c>
      <c r="L4511" s="148" t="s">
        <v>65</v>
      </c>
      <c r="M4511" s="148" t="s">
        <v>185</v>
      </c>
      <c r="N4511" s="255">
        <v>46197.0</v>
      </c>
      <c r="O4511" s="148" t="s">
        <v>67</v>
      </c>
      <c r="P4511" s="148" t="s">
        <v>68</v>
      </c>
      <c r="Q4511" s="103"/>
      <c r="R4511" s="103"/>
      <c r="S4511" s="103"/>
      <c r="T4511" s="103"/>
      <c r="U4511" s="148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1">
        <v>4506.0</v>
      </c>
      <c r="B4512" s="90" t="s">
        <v>7510</v>
      </c>
      <c r="C4512" s="82" t="str">
        <f>VLOOKUP($B$7:$B$5000,SUM!$L$6:$L$500,1,FALSE)</f>
        <v>#N/A</v>
      </c>
      <c r="D4512" s="190" t="s">
        <v>7446</v>
      </c>
      <c r="E4512" s="198" t="s">
        <v>58</v>
      </c>
      <c r="F4512" s="199" t="s">
        <v>593</v>
      </c>
      <c r="G4512" s="191" t="s">
        <v>5443</v>
      </c>
      <c r="H4512" s="199" t="s">
        <v>7463</v>
      </c>
      <c r="I4512" s="220" t="s">
        <v>7502</v>
      </c>
      <c r="J4512" s="148" t="s">
        <v>63</v>
      </c>
      <c r="K4512" s="148" t="s">
        <v>4434</v>
      </c>
      <c r="L4512" s="148" t="s">
        <v>65</v>
      </c>
      <c r="M4512" s="148" t="s">
        <v>185</v>
      </c>
      <c r="N4512" s="255">
        <v>46197.0</v>
      </c>
      <c r="O4512" s="148" t="s">
        <v>67</v>
      </c>
      <c r="P4512" s="148" t="s">
        <v>68</v>
      </c>
      <c r="Q4512" s="103"/>
      <c r="R4512" s="103"/>
      <c r="S4512" s="103"/>
      <c r="T4512" s="103"/>
      <c r="U4512" s="148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1">
        <v>4507.0</v>
      </c>
      <c r="B4513" s="90" t="s">
        <v>7511</v>
      </c>
      <c r="C4513" s="82" t="str">
        <f>VLOOKUP($B$7:$B$5000,SUM!$L$6:$L$500,1,FALSE)</f>
        <v>#N/A</v>
      </c>
      <c r="D4513" s="190" t="s">
        <v>7446</v>
      </c>
      <c r="E4513" s="198" t="s">
        <v>58</v>
      </c>
      <c r="F4513" s="199" t="s">
        <v>593</v>
      </c>
      <c r="G4513" s="191" t="s">
        <v>5443</v>
      </c>
      <c r="H4513" s="199" t="s">
        <v>7465</v>
      </c>
      <c r="I4513" s="220" t="s">
        <v>7502</v>
      </c>
      <c r="J4513" s="148" t="s">
        <v>63</v>
      </c>
      <c r="K4513" s="148" t="s">
        <v>4434</v>
      </c>
      <c r="L4513" s="148" t="s">
        <v>65</v>
      </c>
      <c r="M4513" s="148" t="s">
        <v>185</v>
      </c>
      <c r="N4513" s="255">
        <v>46197.0</v>
      </c>
      <c r="O4513" s="148" t="s">
        <v>67</v>
      </c>
      <c r="P4513" s="148" t="s">
        <v>68</v>
      </c>
      <c r="Q4513" s="103"/>
      <c r="R4513" s="103"/>
      <c r="S4513" s="103"/>
      <c r="T4513" s="103"/>
      <c r="U4513" s="148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1">
        <v>4508.0</v>
      </c>
      <c r="B4514" s="90" t="s">
        <v>7512</v>
      </c>
      <c r="C4514" s="82" t="str">
        <f>VLOOKUP($B$7:$B$5000,SUM!$L$6:$L$500,1,FALSE)</f>
        <v>#N/A</v>
      </c>
      <c r="D4514" s="190" t="s">
        <v>7446</v>
      </c>
      <c r="E4514" s="198" t="s">
        <v>58</v>
      </c>
      <c r="F4514" s="199" t="s">
        <v>593</v>
      </c>
      <c r="G4514" s="191" t="s">
        <v>5443</v>
      </c>
      <c r="H4514" s="199" t="s">
        <v>7467</v>
      </c>
      <c r="I4514" s="220" t="s">
        <v>7502</v>
      </c>
      <c r="J4514" s="148" t="s">
        <v>63</v>
      </c>
      <c r="K4514" s="148" t="s">
        <v>4434</v>
      </c>
      <c r="L4514" s="148" t="s">
        <v>65</v>
      </c>
      <c r="M4514" s="148" t="s">
        <v>185</v>
      </c>
      <c r="N4514" s="255">
        <v>46197.0</v>
      </c>
      <c r="O4514" s="148" t="s">
        <v>67</v>
      </c>
      <c r="P4514" s="148" t="s">
        <v>68</v>
      </c>
      <c r="Q4514" s="103"/>
      <c r="R4514" s="103"/>
      <c r="S4514" s="103"/>
      <c r="T4514" s="103"/>
      <c r="U4514" s="148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1">
        <v>4509.0</v>
      </c>
      <c r="B4515" s="90" t="s">
        <v>7513</v>
      </c>
      <c r="C4515" s="82" t="str">
        <f>VLOOKUP($B$7:$B$5000,SUM!$L$6:$L$500,1,FALSE)</f>
        <v>#N/A</v>
      </c>
      <c r="D4515" s="190" t="s">
        <v>7446</v>
      </c>
      <c r="E4515" s="198" t="s">
        <v>58</v>
      </c>
      <c r="F4515" s="199" t="s">
        <v>593</v>
      </c>
      <c r="G4515" s="191" t="s">
        <v>5443</v>
      </c>
      <c r="H4515" s="199" t="s">
        <v>7469</v>
      </c>
      <c r="I4515" s="220" t="s">
        <v>7502</v>
      </c>
      <c r="J4515" s="148" t="s">
        <v>63</v>
      </c>
      <c r="K4515" s="148" t="s">
        <v>4434</v>
      </c>
      <c r="L4515" s="148" t="s">
        <v>65</v>
      </c>
      <c r="M4515" s="148" t="s">
        <v>185</v>
      </c>
      <c r="N4515" s="255">
        <v>46197.0</v>
      </c>
      <c r="O4515" s="148" t="s">
        <v>67</v>
      </c>
      <c r="P4515" s="148" t="s">
        <v>68</v>
      </c>
      <c r="Q4515" s="103"/>
      <c r="R4515" s="103"/>
      <c r="S4515" s="103"/>
      <c r="T4515" s="103"/>
      <c r="U4515" s="148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1">
        <v>4510.0</v>
      </c>
      <c r="B4516" s="90" t="s">
        <v>7514</v>
      </c>
      <c r="C4516" s="82" t="str">
        <f>VLOOKUP($B$7:$B$5000,SUM!$L$6:$L$500,1,FALSE)</f>
        <v>#N/A</v>
      </c>
      <c r="D4516" s="190" t="s">
        <v>7446</v>
      </c>
      <c r="E4516" s="198" t="s">
        <v>58</v>
      </c>
      <c r="F4516" s="199" t="s">
        <v>593</v>
      </c>
      <c r="G4516" s="191" t="s">
        <v>5443</v>
      </c>
      <c r="H4516" s="199" t="s">
        <v>7471</v>
      </c>
      <c r="I4516" s="220" t="s">
        <v>7502</v>
      </c>
      <c r="J4516" s="148" t="s">
        <v>63</v>
      </c>
      <c r="K4516" s="148" t="s">
        <v>4434</v>
      </c>
      <c r="L4516" s="148" t="s">
        <v>65</v>
      </c>
      <c r="M4516" s="148" t="s">
        <v>185</v>
      </c>
      <c r="N4516" s="255">
        <v>46197.0</v>
      </c>
      <c r="O4516" s="148" t="s">
        <v>67</v>
      </c>
      <c r="P4516" s="148" t="s">
        <v>68</v>
      </c>
      <c r="Q4516" s="103"/>
      <c r="R4516" s="103"/>
      <c r="S4516" s="103"/>
      <c r="T4516" s="103"/>
      <c r="U4516" s="148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1">
        <v>4511.0</v>
      </c>
      <c r="B4517" s="90" t="s">
        <v>7515</v>
      </c>
      <c r="C4517" s="82" t="str">
        <f>VLOOKUP($B$7:$B$5000,SUM!$L$6:$L$500,1,FALSE)</f>
        <v>#N/A</v>
      </c>
      <c r="D4517" s="190" t="s">
        <v>7446</v>
      </c>
      <c r="E4517" s="198" t="s">
        <v>58</v>
      </c>
      <c r="F4517" s="199" t="s">
        <v>593</v>
      </c>
      <c r="G4517" s="191" t="s">
        <v>5443</v>
      </c>
      <c r="H4517" s="199" t="s">
        <v>7473</v>
      </c>
      <c r="I4517" s="220" t="s">
        <v>7502</v>
      </c>
      <c r="J4517" s="148" t="s">
        <v>63</v>
      </c>
      <c r="K4517" s="148" t="s">
        <v>4434</v>
      </c>
      <c r="L4517" s="148" t="s">
        <v>65</v>
      </c>
      <c r="M4517" s="148" t="s">
        <v>185</v>
      </c>
      <c r="N4517" s="255">
        <v>46197.0</v>
      </c>
      <c r="O4517" s="148" t="s">
        <v>67</v>
      </c>
      <c r="P4517" s="148" t="s">
        <v>68</v>
      </c>
      <c r="Q4517" s="103"/>
      <c r="R4517" s="103"/>
      <c r="S4517" s="103"/>
      <c r="T4517" s="103"/>
      <c r="U4517" s="148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1">
        <v>4512.0</v>
      </c>
      <c r="B4518" s="90" t="s">
        <v>7516</v>
      </c>
      <c r="C4518" s="82" t="str">
        <f>VLOOKUP($B$7:$B$5000,SUM!$L$6:$L$500,1,FALSE)</f>
        <v>#N/A</v>
      </c>
      <c r="D4518" s="190" t="s">
        <v>7446</v>
      </c>
      <c r="E4518" s="198" t="s">
        <v>58</v>
      </c>
      <c r="F4518" s="199" t="s">
        <v>593</v>
      </c>
      <c r="G4518" s="191" t="s">
        <v>5443</v>
      </c>
      <c r="H4518" s="199" t="s">
        <v>7475</v>
      </c>
      <c r="I4518" s="220" t="s">
        <v>7502</v>
      </c>
      <c r="J4518" s="148" t="s">
        <v>63</v>
      </c>
      <c r="K4518" s="148" t="s">
        <v>4434</v>
      </c>
      <c r="L4518" s="148" t="s">
        <v>65</v>
      </c>
      <c r="M4518" s="148" t="s">
        <v>185</v>
      </c>
      <c r="N4518" s="255">
        <v>46197.0</v>
      </c>
      <c r="O4518" s="148" t="s">
        <v>67</v>
      </c>
      <c r="P4518" s="148" t="s">
        <v>68</v>
      </c>
      <c r="Q4518" s="103"/>
      <c r="R4518" s="103"/>
      <c r="S4518" s="103"/>
      <c r="T4518" s="103"/>
      <c r="U4518" s="148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1">
        <v>4513.0</v>
      </c>
      <c r="B4519" s="90" t="s">
        <v>7517</v>
      </c>
      <c r="C4519" s="82" t="str">
        <f>VLOOKUP($B$7:$B$5000,SUM!$L$6:$L$500,1,FALSE)</f>
        <v>#N/A</v>
      </c>
      <c r="D4519" s="190" t="s">
        <v>7518</v>
      </c>
      <c r="E4519" s="198" t="s">
        <v>58</v>
      </c>
      <c r="F4519" s="199" t="s">
        <v>593</v>
      </c>
      <c r="G4519" s="191" t="s">
        <v>5443</v>
      </c>
      <c r="H4519" s="199" t="s">
        <v>7477</v>
      </c>
      <c r="I4519" s="220" t="s">
        <v>7502</v>
      </c>
      <c r="J4519" s="148" t="s">
        <v>63</v>
      </c>
      <c r="K4519" s="148" t="s">
        <v>4434</v>
      </c>
      <c r="L4519" s="148" t="s">
        <v>65</v>
      </c>
      <c r="M4519" s="148" t="s">
        <v>185</v>
      </c>
      <c r="N4519" s="255">
        <v>46197.0</v>
      </c>
      <c r="O4519" s="148" t="s">
        <v>67</v>
      </c>
      <c r="P4519" s="148" t="s">
        <v>68</v>
      </c>
      <c r="Q4519" s="103"/>
      <c r="R4519" s="103"/>
      <c r="S4519" s="103"/>
      <c r="T4519" s="103"/>
      <c r="U4519" s="148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1">
        <v>4514.0</v>
      </c>
      <c r="B4520" s="90" t="s">
        <v>7519</v>
      </c>
      <c r="C4520" s="82" t="str">
        <f>VLOOKUP($B$7:$B$5000,SUM!$L$6:$L$500,1,FALSE)</f>
        <v>#N/A</v>
      </c>
      <c r="D4520" s="190" t="s">
        <v>7518</v>
      </c>
      <c r="E4520" s="198" t="s">
        <v>58</v>
      </c>
      <c r="F4520" s="199" t="s">
        <v>593</v>
      </c>
      <c r="G4520" s="191" t="s">
        <v>5443</v>
      </c>
      <c r="H4520" s="199" t="s">
        <v>7479</v>
      </c>
      <c r="I4520" s="220" t="s">
        <v>7502</v>
      </c>
      <c r="J4520" s="148" t="s">
        <v>63</v>
      </c>
      <c r="K4520" s="148" t="s">
        <v>4434</v>
      </c>
      <c r="L4520" s="148" t="s">
        <v>65</v>
      </c>
      <c r="M4520" s="148" t="s">
        <v>185</v>
      </c>
      <c r="N4520" s="255">
        <v>46197.0</v>
      </c>
      <c r="O4520" s="148" t="s">
        <v>67</v>
      </c>
      <c r="P4520" s="148" t="s">
        <v>68</v>
      </c>
      <c r="Q4520" s="103"/>
      <c r="R4520" s="103"/>
      <c r="S4520" s="103"/>
      <c r="T4520" s="103"/>
      <c r="U4520" s="148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1">
        <v>4515.0</v>
      </c>
      <c r="B4521" s="90" t="s">
        <v>7520</v>
      </c>
      <c r="C4521" s="82" t="str">
        <f>VLOOKUP($B$7:$B$5000,SUM!$L$6:$L$500,1,FALSE)</f>
        <v>#N/A</v>
      </c>
      <c r="D4521" s="190" t="s">
        <v>7518</v>
      </c>
      <c r="E4521" s="198" t="s">
        <v>58</v>
      </c>
      <c r="F4521" s="199" t="s">
        <v>593</v>
      </c>
      <c r="G4521" s="191" t="s">
        <v>5443</v>
      </c>
      <c r="H4521" s="199" t="s">
        <v>7481</v>
      </c>
      <c r="I4521" s="220" t="s">
        <v>7502</v>
      </c>
      <c r="J4521" s="148" t="s">
        <v>63</v>
      </c>
      <c r="K4521" s="148" t="s">
        <v>4434</v>
      </c>
      <c r="L4521" s="148" t="s">
        <v>65</v>
      </c>
      <c r="M4521" s="148" t="s">
        <v>185</v>
      </c>
      <c r="N4521" s="255">
        <v>46197.0</v>
      </c>
      <c r="O4521" s="148" t="s">
        <v>67</v>
      </c>
      <c r="P4521" s="148" t="s">
        <v>68</v>
      </c>
      <c r="Q4521" s="103"/>
      <c r="R4521" s="103"/>
      <c r="S4521" s="103"/>
      <c r="T4521" s="103"/>
      <c r="U4521" s="148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1">
        <v>4516.0</v>
      </c>
      <c r="B4522" s="90" t="s">
        <v>7521</v>
      </c>
      <c r="C4522" s="82" t="str">
        <f>VLOOKUP($B$7:$B$5000,SUM!$L$6:$L$500,1,FALSE)</f>
        <v>#N/A</v>
      </c>
      <c r="D4522" s="190" t="s">
        <v>7518</v>
      </c>
      <c r="E4522" s="198" t="s">
        <v>58</v>
      </c>
      <c r="F4522" s="199" t="s">
        <v>593</v>
      </c>
      <c r="G4522" s="191" t="s">
        <v>5443</v>
      </c>
      <c r="H4522" s="199" t="s">
        <v>7483</v>
      </c>
      <c r="I4522" s="220" t="s">
        <v>7502</v>
      </c>
      <c r="J4522" s="148" t="s">
        <v>63</v>
      </c>
      <c r="K4522" s="148" t="s">
        <v>4434</v>
      </c>
      <c r="L4522" s="148" t="s">
        <v>65</v>
      </c>
      <c r="M4522" s="148" t="s">
        <v>185</v>
      </c>
      <c r="N4522" s="255">
        <v>46197.0</v>
      </c>
      <c r="O4522" s="148" t="s">
        <v>67</v>
      </c>
      <c r="P4522" s="148" t="s">
        <v>68</v>
      </c>
      <c r="Q4522" s="103"/>
      <c r="R4522" s="103"/>
      <c r="S4522" s="103"/>
      <c r="T4522" s="103"/>
      <c r="U4522" s="148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1">
        <v>4517.0</v>
      </c>
      <c r="B4523" s="90" t="s">
        <v>7522</v>
      </c>
      <c r="C4523" s="82" t="str">
        <f>VLOOKUP($B$7:$B$5000,SUM!$L$6:$L$500,1,FALSE)</f>
        <v>#N/A</v>
      </c>
      <c r="D4523" s="190" t="s">
        <v>7518</v>
      </c>
      <c r="E4523" s="198" t="s">
        <v>58</v>
      </c>
      <c r="F4523" s="199" t="s">
        <v>593</v>
      </c>
      <c r="G4523" s="191" t="s">
        <v>5443</v>
      </c>
      <c r="H4523" s="199" t="s">
        <v>7485</v>
      </c>
      <c r="I4523" s="220" t="s">
        <v>7502</v>
      </c>
      <c r="J4523" s="148" t="s">
        <v>63</v>
      </c>
      <c r="K4523" s="148" t="s">
        <v>4434</v>
      </c>
      <c r="L4523" s="148" t="s">
        <v>65</v>
      </c>
      <c r="M4523" s="148" t="s">
        <v>185</v>
      </c>
      <c r="N4523" s="255">
        <v>46197.0</v>
      </c>
      <c r="O4523" s="148" t="s">
        <v>67</v>
      </c>
      <c r="P4523" s="148" t="s">
        <v>68</v>
      </c>
      <c r="Q4523" s="103"/>
      <c r="R4523" s="103"/>
      <c r="S4523" s="103"/>
      <c r="T4523" s="103"/>
      <c r="U4523" s="148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1">
        <v>4518.0</v>
      </c>
      <c r="B4524" s="90" t="s">
        <v>7523</v>
      </c>
      <c r="C4524" s="82" t="str">
        <f>VLOOKUP($B$7:$B$5000,SUM!$L$6:$L$500,1,FALSE)</f>
        <v>#N/A</v>
      </c>
      <c r="D4524" s="190" t="s">
        <v>7518</v>
      </c>
      <c r="E4524" s="198" t="s">
        <v>58</v>
      </c>
      <c r="F4524" s="199" t="s">
        <v>593</v>
      </c>
      <c r="G4524" s="191" t="s">
        <v>5443</v>
      </c>
      <c r="H4524" s="199" t="s">
        <v>7487</v>
      </c>
      <c r="I4524" s="220" t="s">
        <v>7502</v>
      </c>
      <c r="J4524" s="148" t="s">
        <v>63</v>
      </c>
      <c r="K4524" s="148" t="s">
        <v>4434</v>
      </c>
      <c r="L4524" s="148" t="s">
        <v>65</v>
      </c>
      <c r="M4524" s="148" t="s">
        <v>185</v>
      </c>
      <c r="N4524" s="255">
        <v>46197.0</v>
      </c>
      <c r="O4524" s="148" t="s">
        <v>67</v>
      </c>
      <c r="P4524" s="148" t="s">
        <v>68</v>
      </c>
      <c r="Q4524" s="103"/>
      <c r="R4524" s="103"/>
      <c r="S4524" s="103"/>
      <c r="T4524" s="103"/>
      <c r="U4524" s="148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1">
        <v>4519.0</v>
      </c>
      <c r="B4525" s="90" t="s">
        <v>7524</v>
      </c>
      <c r="C4525" s="82" t="str">
        <f>VLOOKUP($B$7:$B$5000,SUM!$L$6:$L$500,1,FALSE)</f>
        <v>#N/A</v>
      </c>
      <c r="D4525" s="190" t="s">
        <v>7518</v>
      </c>
      <c r="E4525" s="198" t="s">
        <v>58</v>
      </c>
      <c r="F4525" s="199" t="s">
        <v>593</v>
      </c>
      <c r="G4525" s="191" t="s">
        <v>5443</v>
      </c>
      <c r="H4525" s="199" t="s">
        <v>7489</v>
      </c>
      <c r="I4525" s="220" t="s">
        <v>7502</v>
      </c>
      <c r="J4525" s="148" t="s">
        <v>63</v>
      </c>
      <c r="K4525" s="148" t="s">
        <v>4434</v>
      </c>
      <c r="L4525" s="148" t="s">
        <v>65</v>
      </c>
      <c r="M4525" s="148" t="s">
        <v>185</v>
      </c>
      <c r="N4525" s="255">
        <v>46197.0</v>
      </c>
      <c r="O4525" s="148" t="s">
        <v>67</v>
      </c>
      <c r="P4525" s="148" t="s">
        <v>68</v>
      </c>
      <c r="Q4525" s="103"/>
      <c r="R4525" s="103"/>
      <c r="S4525" s="103"/>
      <c r="T4525" s="103"/>
      <c r="U4525" s="148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1">
        <v>4520.0</v>
      </c>
      <c r="B4526" s="90" t="s">
        <v>7525</v>
      </c>
      <c r="C4526" s="82" t="str">
        <f>VLOOKUP($B$7:$B$5000,SUM!$L$6:$L$500,1,FALSE)</f>
        <v>#N/A</v>
      </c>
      <c r="D4526" s="190" t="s">
        <v>7518</v>
      </c>
      <c r="E4526" s="198" t="s">
        <v>58</v>
      </c>
      <c r="F4526" s="199" t="s">
        <v>593</v>
      </c>
      <c r="G4526" s="191" t="s">
        <v>5443</v>
      </c>
      <c r="H4526" s="199" t="s">
        <v>7491</v>
      </c>
      <c r="I4526" s="220" t="s">
        <v>7502</v>
      </c>
      <c r="J4526" s="148" t="s">
        <v>63</v>
      </c>
      <c r="K4526" s="148" t="s">
        <v>4434</v>
      </c>
      <c r="L4526" s="148" t="s">
        <v>65</v>
      </c>
      <c r="M4526" s="148" t="s">
        <v>185</v>
      </c>
      <c r="N4526" s="255">
        <v>46197.0</v>
      </c>
      <c r="O4526" s="148" t="s">
        <v>67</v>
      </c>
      <c r="P4526" s="148" t="s">
        <v>68</v>
      </c>
      <c r="Q4526" s="103"/>
      <c r="R4526" s="103"/>
      <c r="S4526" s="103"/>
      <c r="T4526" s="103"/>
      <c r="U4526" s="148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1">
        <v>4521.0</v>
      </c>
      <c r="B4527" s="90" t="s">
        <v>7526</v>
      </c>
      <c r="C4527" s="82" t="str">
        <f>VLOOKUP($B$7:$B$5000,SUM!$L$6:$L$500,1,FALSE)</f>
        <v>#N/A</v>
      </c>
      <c r="D4527" s="190" t="s">
        <v>7518</v>
      </c>
      <c r="E4527" s="198" t="s">
        <v>58</v>
      </c>
      <c r="F4527" s="199" t="s">
        <v>593</v>
      </c>
      <c r="G4527" s="191" t="s">
        <v>5443</v>
      </c>
      <c r="H4527" s="199" t="s">
        <v>7493</v>
      </c>
      <c r="I4527" s="220" t="s">
        <v>7502</v>
      </c>
      <c r="J4527" s="148" t="s">
        <v>63</v>
      </c>
      <c r="K4527" s="148" t="s">
        <v>4434</v>
      </c>
      <c r="L4527" s="148" t="s">
        <v>65</v>
      </c>
      <c r="M4527" s="148" t="s">
        <v>185</v>
      </c>
      <c r="N4527" s="255">
        <v>46197.0</v>
      </c>
      <c r="O4527" s="148" t="s">
        <v>67</v>
      </c>
      <c r="P4527" s="148" t="s">
        <v>68</v>
      </c>
      <c r="Q4527" s="103"/>
      <c r="R4527" s="103"/>
      <c r="S4527" s="103"/>
      <c r="T4527" s="103"/>
      <c r="U4527" s="148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1">
        <v>4522.0</v>
      </c>
      <c r="B4528" s="90" t="s">
        <v>7527</v>
      </c>
      <c r="C4528" s="82" t="str">
        <f>VLOOKUP($B$7:$B$5000,SUM!$L$6:$L$500,1,FALSE)</f>
        <v>#N/A</v>
      </c>
      <c r="D4528" s="190" t="s">
        <v>7518</v>
      </c>
      <c r="E4528" s="198" t="s">
        <v>58</v>
      </c>
      <c r="F4528" s="199" t="s">
        <v>593</v>
      </c>
      <c r="G4528" s="191" t="s">
        <v>5443</v>
      </c>
      <c r="H4528" s="199" t="s">
        <v>7495</v>
      </c>
      <c r="I4528" s="220" t="s">
        <v>7502</v>
      </c>
      <c r="J4528" s="148" t="s">
        <v>63</v>
      </c>
      <c r="K4528" s="148" t="s">
        <v>4434</v>
      </c>
      <c r="L4528" s="148" t="s">
        <v>65</v>
      </c>
      <c r="M4528" s="148" t="s">
        <v>185</v>
      </c>
      <c r="N4528" s="255">
        <v>46197.0</v>
      </c>
      <c r="O4528" s="148" t="s">
        <v>67</v>
      </c>
      <c r="P4528" s="148" t="s">
        <v>68</v>
      </c>
      <c r="Q4528" s="103"/>
      <c r="R4528" s="103"/>
      <c r="S4528" s="103"/>
      <c r="T4528" s="103"/>
      <c r="U4528" s="148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1">
        <v>4523.0</v>
      </c>
      <c r="B4529" s="90" t="s">
        <v>7528</v>
      </c>
      <c r="C4529" s="82" t="str">
        <f>VLOOKUP($B$7:$B$5000,SUM!$L$6:$L$500,1,FALSE)</f>
        <v>#N/A</v>
      </c>
      <c r="D4529" s="190" t="s">
        <v>7518</v>
      </c>
      <c r="E4529" s="198" t="s">
        <v>58</v>
      </c>
      <c r="F4529" s="199" t="s">
        <v>593</v>
      </c>
      <c r="G4529" s="191" t="s">
        <v>5443</v>
      </c>
      <c r="H4529" s="199" t="s">
        <v>7497</v>
      </c>
      <c r="I4529" s="220" t="s">
        <v>7502</v>
      </c>
      <c r="J4529" s="148" t="s">
        <v>63</v>
      </c>
      <c r="K4529" s="148" t="s">
        <v>4434</v>
      </c>
      <c r="L4529" s="148" t="s">
        <v>65</v>
      </c>
      <c r="M4529" s="148" t="s">
        <v>185</v>
      </c>
      <c r="N4529" s="255">
        <v>46197.0</v>
      </c>
      <c r="O4529" s="148" t="s">
        <v>67</v>
      </c>
      <c r="P4529" s="148" t="s">
        <v>68</v>
      </c>
      <c r="Q4529" s="103"/>
      <c r="R4529" s="103"/>
      <c r="S4529" s="103"/>
      <c r="T4529" s="103"/>
      <c r="U4529" s="148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1">
        <v>4524.0</v>
      </c>
      <c r="B4530" s="90" t="s">
        <v>7529</v>
      </c>
      <c r="C4530" s="82" t="str">
        <f>VLOOKUP($B$7:$B$5000,SUM!$L$6:$L$500,1,FALSE)</f>
        <v>#N/A</v>
      </c>
      <c r="D4530" s="190" t="s">
        <v>7518</v>
      </c>
      <c r="E4530" s="198" t="s">
        <v>58</v>
      </c>
      <c r="F4530" s="199" t="s">
        <v>593</v>
      </c>
      <c r="G4530" s="191" t="s">
        <v>5443</v>
      </c>
      <c r="H4530" s="199" t="s">
        <v>4545</v>
      </c>
      <c r="I4530" s="220" t="s">
        <v>7502</v>
      </c>
      <c r="J4530" s="148" t="s">
        <v>63</v>
      </c>
      <c r="K4530" s="148" t="s">
        <v>4434</v>
      </c>
      <c r="L4530" s="148" t="s">
        <v>65</v>
      </c>
      <c r="M4530" s="148" t="s">
        <v>185</v>
      </c>
      <c r="N4530" s="255">
        <v>46197.0</v>
      </c>
      <c r="O4530" s="148" t="s">
        <v>67</v>
      </c>
      <c r="P4530" s="148" t="s">
        <v>68</v>
      </c>
      <c r="Q4530" s="103"/>
      <c r="R4530" s="103"/>
      <c r="S4530" s="103"/>
      <c r="T4530" s="103"/>
      <c r="U4530" s="148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1">
        <v>4525.0</v>
      </c>
      <c r="B4531" s="90" t="s">
        <v>7530</v>
      </c>
      <c r="C4531" s="82" t="str">
        <f>VLOOKUP($B$7:$B$5000,SUM!$L$6:$L$500,1,FALSE)</f>
        <v>#N/A</v>
      </c>
      <c r="D4531" s="190" t="s">
        <v>7518</v>
      </c>
      <c r="E4531" s="198" t="s">
        <v>58</v>
      </c>
      <c r="F4531" s="199" t="s">
        <v>593</v>
      </c>
      <c r="G4531" s="191" t="s">
        <v>5443</v>
      </c>
      <c r="H4531" s="199" t="s">
        <v>7500</v>
      </c>
      <c r="I4531" s="220" t="s">
        <v>7502</v>
      </c>
      <c r="J4531" s="148" t="s">
        <v>63</v>
      </c>
      <c r="K4531" s="148" t="s">
        <v>4434</v>
      </c>
      <c r="L4531" s="148" t="s">
        <v>65</v>
      </c>
      <c r="M4531" s="148" t="s">
        <v>185</v>
      </c>
      <c r="N4531" s="255">
        <v>46197.0</v>
      </c>
      <c r="O4531" s="148" t="s">
        <v>67</v>
      </c>
      <c r="P4531" s="148" t="s">
        <v>68</v>
      </c>
      <c r="Q4531" s="103"/>
      <c r="R4531" s="103"/>
      <c r="S4531" s="103"/>
      <c r="T4531" s="103"/>
      <c r="U4531" s="148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1">
        <v>4526.0</v>
      </c>
      <c r="B4532" s="90" t="s">
        <v>7531</v>
      </c>
      <c r="C4532" s="82" t="str">
        <f>VLOOKUP($B$7:$B$5000,SUM!$L$6:$L$500,1,FALSE)</f>
        <v>#N/A</v>
      </c>
      <c r="D4532" s="190" t="s">
        <v>7518</v>
      </c>
      <c r="E4532" s="198" t="s">
        <v>58</v>
      </c>
      <c r="F4532" s="199" t="s">
        <v>593</v>
      </c>
      <c r="G4532" s="191" t="s">
        <v>5443</v>
      </c>
      <c r="H4532" s="199" t="s">
        <v>7473</v>
      </c>
      <c r="I4532" s="220" t="s">
        <v>7532</v>
      </c>
      <c r="J4532" s="148" t="s">
        <v>108</v>
      </c>
      <c r="K4532" s="148" t="s">
        <v>4434</v>
      </c>
      <c r="L4532" s="148" t="s">
        <v>65</v>
      </c>
      <c r="M4532" s="148" t="s">
        <v>185</v>
      </c>
      <c r="N4532" s="255">
        <v>46197.0</v>
      </c>
      <c r="O4532" s="148" t="s">
        <v>67</v>
      </c>
      <c r="P4532" s="148" t="s">
        <v>68</v>
      </c>
      <c r="Q4532" s="103"/>
      <c r="R4532" s="103"/>
      <c r="S4532" s="103"/>
      <c r="T4532" s="103"/>
      <c r="U4532" s="148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1">
        <v>4527.0</v>
      </c>
      <c r="B4533" s="90" t="s">
        <v>7533</v>
      </c>
      <c r="C4533" s="82" t="str">
        <f>VLOOKUP($B$7:$B$5000,SUM!$L$6:$L$500,1,FALSE)</f>
        <v>#N/A</v>
      </c>
      <c r="D4533" s="190" t="s">
        <v>7518</v>
      </c>
      <c r="E4533" s="198" t="s">
        <v>58</v>
      </c>
      <c r="F4533" s="199" t="s">
        <v>593</v>
      </c>
      <c r="G4533" s="191" t="s">
        <v>5443</v>
      </c>
      <c r="H4533" s="199" t="s">
        <v>7475</v>
      </c>
      <c r="I4533" s="220" t="s">
        <v>7532</v>
      </c>
      <c r="J4533" s="148" t="s">
        <v>108</v>
      </c>
      <c r="K4533" s="148" t="s">
        <v>4434</v>
      </c>
      <c r="L4533" s="148" t="s">
        <v>65</v>
      </c>
      <c r="M4533" s="148" t="s">
        <v>185</v>
      </c>
      <c r="N4533" s="255">
        <v>46197.0</v>
      </c>
      <c r="O4533" s="148" t="s">
        <v>67</v>
      </c>
      <c r="P4533" s="148" t="s">
        <v>68</v>
      </c>
      <c r="Q4533" s="103"/>
      <c r="R4533" s="103"/>
      <c r="S4533" s="103"/>
      <c r="T4533" s="103"/>
      <c r="U4533" s="148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1">
        <v>4528.0</v>
      </c>
      <c r="B4534" s="90" t="s">
        <v>7534</v>
      </c>
      <c r="C4534" s="82" t="str">
        <f>VLOOKUP($B$7:$B$5000,SUM!$L$6:$L$500,1,FALSE)</f>
        <v>#N/A</v>
      </c>
      <c r="D4534" s="190" t="s">
        <v>7518</v>
      </c>
      <c r="E4534" s="198" t="s">
        <v>58</v>
      </c>
      <c r="F4534" s="199" t="s">
        <v>593</v>
      </c>
      <c r="G4534" s="191" t="s">
        <v>5443</v>
      </c>
      <c r="H4534" s="199" t="s">
        <v>7477</v>
      </c>
      <c r="I4534" s="220" t="s">
        <v>7532</v>
      </c>
      <c r="J4534" s="148" t="s">
        <v>108</v>
      </c>
      <c r="K4534" s="148" t="s">
        <v>4434</v>
      </c>
      <c r="L4534" s="148" t="s">
        <v>65</v>
      </c>
      <c r="M4534" s="148" t="s">
        <v>185</v>
      </c>
      <c r="N4534" s="255">
        <v>46197.0</v>
      </c>
      <c r="O4534" s="148" t="s">
        <v>67</v>
      </c>
      <c r="P4534" s="148" t="s">
        <v>68</v>
      </c>
      <c r="Q4534" s="103"/>
      <c r="R4534" s="103"/>
      <c r="S4534" s="103"/>
      <c r="T4534" s="103"/>
      <c r="U4534" s="148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1">
        <v>4529.0</v>
      </c>
      <c r="B4535" s="90" t="s">
        <v>7535</v>
      </c>
      <c r="C4535" s="82" t="str">
        <f>VLOOKUP($B$7:$B$5000,SUM!$L$6:$L$500,1,FALSE)</f>
        <v>#N/A</v>
      </c>
      <c r="D4535" s="190" t="s">
        <v>7518</v>
      </c>
      <c r="E4535" s="198" t="s">
        <v>58</v>
      </c>
      <c r="F4535" s="199" t="s">
        <v>593</v>
      </c>
      <c r="G4535" s="191" t="s">
        <v>5443</v>
      </c>
      <c r="H4535" s="199" t="s">
        <v>7479</v>
      </c>
      <c r="I4535" s="220" t="s">
        <v>7532</v>
      </c>
      <c r="J4535" s="148" t="s">
        <v>108</v>
      </c>
      <c r="K4535" s="148" t="s">
        <v>4434</v>
      </c>
      <c r="L4535" s="148" t="s">
        <v>65</v>
      </c>
      <c r="M4535" s="148" t="s">
        <v>185</v>
      </c>
      <c r="N4535" s="255">
        <v>46197.0</v>
      </c>
      <c r="O4535" s="148" t="s">
        <v>67</v>
      </c>
      <c r="P4535" s="148" t="s">
        <v>68</v>
      </c>
      <c r="Q4535" s="103"/>
      <c r="R4535" s="103"/>
      <c r="S4535" s="103"/>
      <c r="T4535" s="103"/>
      <c r="U4535" s="148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1">
        <v>4530.0</v>
      </c>
      <c r="B4536" s="90" t="s">
        <v>7536</v>
      </c>
      <c r="C4536" s="82" t="str">
        <f>VLOOKUP($B$7:$B$5000,SUM!$L$6:$L$500,1,FALSE)</f>
        <v>#N/A</v>
      </c>
      <c r="D4536" s="190" t="s">
        <v>7518</v>
      </c>
      <c r="E4536" s="198" t="s">
        <v>58</v>
      </c>
      <c r="F4536" s="199" t="s">
        <v>593</v>
      </c>
      <c r="G4536" s="191" t="s">
        <v>5443</v>
      </c>
      <c r="H4536" s="199" t="s">
        <v>7481</v>
      </c>
      <c r="I4536" s="220" t="s">
        <v>7532</v>
      </c>
      <c r="J4536" s="148" t="s">
        <v>108</v>
      </c>
      <c r="K4536" s="148" t="s">
        <v>4434</v>
      </c>
      <c r="L4536" s="148" t="s">
        <v>65</v>
      </c>
      <c r="M4536" s="148" t="s">
        <v>185</v>
      </c>
      <c r="N4536" s="255">
        <v>46197.0</v>
      </c>
      <c r="O4536" s="148" t="s">
        <v>67</v>
      </c>
      <c r="P4536" s="148" t="s">
        <v>68</v>
      </c>
      <c r="Q4536" s="103"/>
      <c r="R4536" s="103"/>
      <c r="S4536" s="103"/>
      <c r="T4536" s="103"/>
      <c r="U4536" s="148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1">
        <v>4531.0</v>
      </c>
      <c r="B4537" s="90" t="s">
        <v>7537</v>
      </c>
      <c r="C4537" s="82" t="str">
        <f>VLOOKUP($B$7:$B$5000,SUM!$L$6:$L$500,1,FALSE)</f>
        <v>#N/A</v>
      </c>
      <c r="D4537" s="190" t="s">
        <v>7518</v>
      </c>
      <c r="E4537" s="198" t="s">
        <v>58</v>
      </c>
      <c r="F4537" s="199" t="s">
        <v>593</v>
      </c>
      <c r="G4537" s="191" t="s">
        <v>5443</v>
      </c>
      <c r="H4537" s="199" t="s">
        <v>7483</v>
      </c>
      <c r="I4537" s="220" t="s">
        <v>7532</v>
      </c>
      <c r="J4537" s="148" t="s">
        <v>108</v>
      </c>
      <c r="K4537" s="148" t="s">
        <v>4434</v>
      </c>
      <c r="L4537" s="148" t="s">
        <v>65</v>
      </c>
      <c r="M4537" s="148" t="s">
        <v>185</v>
      </c>
      <c r="N4537" s="255">
        <v>46197.0</v>
      </c>
      <c r="O4537" s="148" t="s">
        <v>67</v>
      </c>
      <c r="P4537" s="148" t="s">
        <v>68</v>
      </c>
      <c r="Q4537" s="103"/>
      <c r="R4537" s="103"/>
      <c r="S4537" s="103"/>
      <c r="T4537" s="103"/>
      <c r="U4537" s="148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1">
        <v>4532.0</v>
      </c>
      <c r="B4538" s="90" t="s">
        <v>7538</v>
      </c>
      <c r="C4538" s="82" t="str">
        <f>VLOOKUP($B$7:$B$5000,SUM!$L$6:$L$500,1,FALSE)</f>
        <v>#N/A</v>
      </c>
      <c r="D4538" s="190" t="s">
        <v>7518</v>
      </c>
      <c r="E4538" s="198" t="s">
        <v>58</v>
      </c>
      <c r="F4538" s="199" t="s">
        <v>593</v>
      </c>
      <c r="G4538" s="191" t="s">
        <v>5443</v>
      </c>
      <c r="H4538" s="199" t="s">
        <v>7485</v>
      </c>
      <c r="I4538" s="220" t="s">
        <v>7532</v>
      </c>
      <c r="J4538" s="148" t="s">
        <v>108</v>
      </c>
      <c r="K4538" s="148" t="s">
        <v>4434</v>
      </c>
      <c r="L4538" s="148" t="s">
        <v>65</v>
      </c>
      <c r="M4538" s="148" t="s">
        <v>185</v>
      </c>
      <c r="N4538" s="255">
        <v>46197.0</v>
      </c>
      <c r="O4538" s="148" t="s">
        <v>67</v>
      </c>
      <c r="P4538" s="148" t="s">
        <v>68</v>
      </c>
      <c r="Q4538" s="103"/>
      <c r="R4538" s="103"/>
      <c r="S4538" s="103"/>
      <c r="T4538" s="103"/>
      <c r="U4538" s="148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1">
        <v>4533.0</v>
      </c>
      <c r="B4539" s="90" t="s">
        <v>7539</v>
      </c>
      <c r="C4539" s="82" t="str">
        <f>VLOOKUP($B$7:$B$5000,SUM!$L$6:$L$500,1,FALSE)</f>
        <v>#N/A</v>
      </c>
      <c r="D4539" s="190" t="s">
        <v>7518</v>
      </c>
      <c r="E4539" s="198" t="s">
        <v>58</v>
      </c>
      <c r="F4539" s="199" t="s">
        <v>593</v>
      </c>
      <c r="G4539" s="191" t="s">
        <v>5443</v>
      </c>
      <c r="H4539" s="199" t="s">
        <v>4545</v>
      </c>
      <c r="I4539" s="220" t="s">
        <v>7532</v>
      </c>
      <c r="J4539" s="148" t="s">
        <v>108</v>
      </c>
      <c r="K4539" s="148" t="s">
        <v>4434</v>
      </c>
      <c r="L4539" s="148" t="s">
        <v>65</v>
      </c>
      <c r="M4539" s="148" t="s">
        <v>185</v>
      </c>
      <c r="N4539" s="255">
        <v>46197.0</v>
      </c>
      <c r="O4539" s="148" t="s">
        <v>67</v>
      </c>
      <c r="P4539" s="148" t="s">
        <v>68</v>
      </c>
      <c r="Q4539" s="103"/>
      <c r="R4539" s="103"/>
      <c r="S4539" s="103"/>
      <c r="T4539" s="103"/>
      <c r="U4539" s="148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1">
        <v>4534.0</v>
      </c>
      <c r="B4540" s="90" t="s">
        <v>7540</v>
      </c>
      <c r="C4540" s="82" t="str">
        <f>VLOOKUP($B$7:$B$5000,SUM!$L$6:$L$500,1,FALSE)</f>
        <v>#N/A</v>
      </c>
      <c r="D4540" s="190" t="s">
        <v>7518</v>
      </c>
      <c r="E4540" s="198" t="s">
        <v>58</v>
      </c>
      <c r="F4540" s="199" t="s">
        <v>593</v>
      </c>
      <c r="G4540" s="191" t="s">
        <v>5443</v>
      </c>
      <c r="H4540" s="199" t="s">
        <v>7500</v>
      </c>
      <c r="I4540" s="220" t="s">
        <v>7532</v>
      </c>
      <c r="J4540" s="148" t="s">
        <v>108</v>
      </c>
      <c r="K4540" s="148" t="s">
        <v>4434</v>
      </c>
      <c r="L4540" s="148" t="s">
        <v>65</v>
      </c>
      <c r="M4540" s="148" t="s">
        <v>185</v>
      </c>
      <c r="N4540" s="255">
        <v>46197.0</v>
      </c>
      <c r="O4540" s="148" t="s">
        <v>67</v>
      </c>
      <c r="P4540" s="148" t="s">
        <v>68</v>
      </c>
      <c r="Q4540" s="103"/>
      <c r="R4540" s="103"/>
      <c r="S4540" s="103"/>
      <c r="T4540" s="103"/>
      <c r="U4540" s="148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1">
        <v>4535.0</v>
      </c>
      <c r="B4541" s="90" t="s">
        <v>7541</v>
      </c>
      <c r="C4541" s="82" t="str">
        <f>VLOOKUP($B$7:$B$5000,SUM!$L$6:$L$500,1,FALSE)</f>
        <v>#N/A</v>
      </c>
      <c r="D4541" s="190" t="s">
        <v>7518</v>
      </c>
      <c r="E4541" s="198" t="s">
        <v>58</v>
      </c>
      <c r="F4541" s="199" t="s">
        <v>593</v>
      </c>
      <c r="G4541" s="191" t="s">
        <v>7542</v>
      </c>
      <c r="H4541" s="199" t="s">
        <v>5771</v>
      </c>
      <c r="I4541" s="220" t="s">
        <v>7502</v>
      </c>
      <c r="J4541" s="103"/>
      <c r="K4541" s="148" t="s">
        <v>4434</v>
      </c>
      <c r="L4541" s="148" t="s">
        <v>65</v>
      </c>
      <c r="M4541" s="148" t="s">
        <v>185</v>
      </c>
      <c r="N4541" s="255">
        <v>46197.0</v>
      </c>
      <c r="O4541" s="148" t="s">
        <v>67</v>
      </c>
      <c r="P4541" s="148" t="s">
        <v>68</v>
      </c>
      <c r="Q4541" s="103"/>
      <c r="R4541" s="103"/>
      <c r="S4541" s="103"/>
      <c r="T4541" s="103"/>
      <c r="U4541" s="148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1">
        <v>4536.0</v>
      </c>
      <c r="B4542" s="90" t="s">
        <v>7543</v>
      </c>
      <c r="C4542" s="82" t="str">
        <f>VLOOKUP($B$7:$B$5000,SUM!$L$6:$L$500,1,FALSE)</f>
        <v>#N/A</v>
      </c>
      <c r="D4542" s="190" t="s">
        <v>7518</v>
      </c>
      <c r="E4542" s="198" t="s">
        <v>58</v>
      </c>
      <c r="F4542" s="199" t="s">
        <v>593</v>
      </c>
      <c r="G4542" s="191" t="s">
        <v>7542</v>
      </c>
      <c r="H4542" s="199" t="s">
        <v>7544</v>
      </c>
      <c r="I4542" s="220" t="s">
        <v>7502</v>
      </c>
      <c r="J4542" s="103"/>
      <c r="K4542" s="103"/>
      <c r="L4542" s="148" t="s">
        <v>65</v>
      </c>
      <c r="M4542" s="148" t="s">
        <v>185</v>
      </c>
      <c r="N4542" s="255">
        <v>46197.0</v>
      </c>
      <c r="O4542" s="148" t="s">
        <v>67</v>
      </c>
      <c r="P4542" s="148" t="s">
        <v>68</v>
      </c>
      <c r="Q4542" s="103"/>
      <c r="R4542" s="103"/>
      <c r="S4542" s="103"/>
      <c r="T4542" s="103"/>
      <c r="U4542" s="148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1">
        <v>4537.0</v>
      </c>
      <c r="B4543" s="90" t="s">
        <v>7545</v>
      </c>
      <c r="C4543" s="82" t="str">
        <f>VLOOKUP($B$7:$B$5000,SUM!$L$6:$L$500,1,FALSE)</f>
        <v>#N/A</v>
      </c>
      <c r="D4543" s="190" t="s">
        <v>7518</v>
      </c>
      <c r="E4543" s="198" t="s">
        <v>58</v>
      </c>
      <c r="F4543" s="199" t="s">
        <v>593</v>
      </c>
      <c r="G4543" s="191" t="s">
        <v>7542</v>
      </c>
      <c r="H4543" s="199" t="s">
        <v>7546</v>
      </c>
      <c r="I4543" s="220" t="s">
        <v>7502</v>
      </c>
      <c r="J4543" s="103"/>
      <c r="K4543" s="103"/>
      <c r="L4543" s="148" t="s">
        <v>65</v>
      </c>
      <c r="M4543" s="148" t="s">
        <v>185</v>
      </c>
      <c r="N4543" s="255">
        <v>46197.0</v>
      </c>
      <c r="O4543" s="148" t="s">
        <v>67</v>
      </c>
      <c r="P4543" s="148" t="s">
        <v>68</v>
      </c>
      <c r="Q4543" s="103"/>
      <c r="R4543" s="103"/>
      <c r="S4543" s="103"/>
      <c r="T4543" s="103"/>
      <c r="U4543" s="148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1">
        <v>4538.0</v>
      </c>
      <c r="B4544" s="90" t="s">
        <v>7547</v>
      </c>
      <c r="C4544" s="82" t="str">
        <f>VLOOKUP($B$7:$B$5000,SUM!$L$6:$L$500,1,FALSE)</f>
        <v>#N/A</v>
      </c>
      <c r="D4544" s="190" t="s">
        <v>7518</v>
      </c>
      <c r="E4544" s="198" t="s">
        <v>58</v>
      </c>
      <c r="F4544" s="199" t="s">
        <v>593</v>
      </c>
      <c r="G4544" s="191" t="s">
        <v>7542</v>
      </c>
      <c r="H4544" s="199" t="s">
        <v>7548</v>
      </c>
      <c r="I4544" s="220" t="s">
        <v>7502</v>
      </c>
      <c r="J4544" s="103"/>
      <c r="K4544" s="103"/>
      <c r="L4544" s="148" t="s">
        <v>65</v>
      </c>
      <c r="M4544" s="148" t="s">
        <v>185</v>
      </c>
      <c r="N4544" s="255">
        <v>46197.0</v>
      </c>
      <c r="O4544" s="148" t="s">
        <v>67</v>
      </c>
      <c r="P4544" s="148" t="s">
        <v>68</v>
      </c>
      <c r="Q4544" s="103"/>
      <c r="R4544" s="103"/>
      <c r="S4544" s="103"/>
      <c r="T4544" s="103"/>
      <c r="U4544" s="148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1">
        <v>4539.0</v>
      </c>
      <c r="B4545" s="90" t="s">
        <v>7549</v>
      </c>
      <c r="C4545" s="82" t="str">
        <f>VLOOKUP($B$7:$B$5000,SUM!$L$6:$L$500,1,FALSE)</f>
        <v>#N/A</v>
      </c>
      <c r="D4545" s="190" t="s">
        <v>7518</v>
      </c>
      <c r="E4545" s="198" t="s">
        <v>58</v>
      </c>
      <c r="F4545" s="199" t="s">
        <v>593</v>
      </c>
      <c r="G4545" s="191" t="s">
        <v>7542</v>
      </c>
      <c r="H4545" s="199" t="s">
        <v>5773</v>
      </c>
      <c r="I4545" s="220" t="s">
        <v>7502</v>
      </c>
      <c r="J4545" s="103"/>
      <c r="K4545" s="103"/>
      <c r="L4545" s="148" t="s">
        <v>65</v>
      </c>
      <c r="M4545" s="148" t="s">
        <v>185</v>
      </c>
      <c r="N4545" s="255">
        <v>46197.0</v>
      </c>
      <c r="O4545" s="148" t="s">
        <v>67</v>
      </c>
      <c r="P4545" s="148" t="s">
        <v>68</v>
      </c>
      <c r="Q4545" s="103"/>
      <c r="R4545" s="103"/>
      <c r="S4545" s="103"/>
      <c r="T4545" s="103"/>
      <c r="U4545" s="148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1">
        <v>4540.0</v>
      </c>
      <c r="B4546" s="90" t="s">
        <v>7550</v>
      </c>
      <c r="C4546" s="82" t="str">
        <f>VLOOKUP($B$7:$B$5000,SUM!$L$6:$L$500,1,FALSE)</f>
        <v>#N/A</v>
      </c>
      <c r="D4546" s="190" t="s">
        <v>7518</v>
      </c>
      <c r="E4546" s="198" t="s">
        <v>58</v>
      </c>
      <c r="F4546" s="199" t="s">
        <v>593</v>
      </c>
      <c r="G4546" s="191" t="s">
        <v>7542</v>
      </c>
      <c r="H4546" s="199" t="s">
        <v>5775</v>
      </c>
      <c r="I4546" s="220" t="s">
        <v>7502</v>
      </c>
      <c r="J4546" s="103"/>
      <c r="K4546" s="103"/>
      <c r="L4546" s="148" t="s">
        <v>65</v>
      </c>
      <c r="M4546" s="148" t="s">
        <v>185</v>
      </c>
      <c r="N4546" s="255">
        <v>46197.0</v>
      </c>
      <c r="O4546" s="148" t="s">
        <v>67</v>
      </c>
      <c r="P4546" s="148" t="s">
        <v>68</v>
      </c>
      <c r="Q4546" s="103"/>
      <c r="R4546" s="103"/>
      <c r="S4546" s="103"/>
      <c r="T4546" s="103"/>
      <c r="U4546" s="148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1">
        <v>4541.0</v>
      </c>
      <c r="B4547" s="90" t="s">
        <v>7551</v>
      </c>
      <c r="C4547" s="82" t="str">
        <f>VLOOKUP($B$7:$B$5000,SUM!$L$6:$L$500,1,FALSE)</f>
        <v>#N/A</v>
      </c>
      <c r="D4547" s="190" t="s">
        <v>7518</v>
      </c>
      <c r="E4547" s="198" t="s">
        <v>58</v>
      </c>
      <c r="F4547" s="199" t="s">
        <v>593</v>
      </c>
      <c r="G4547" s="191" t="s">
        <v>7542</v>
      </c>
      <c r="H4547" s="199" t="s">
        <v>5777</v>
      </c>
      <c r="I4547" s="220" t="s">
        <v>7502</v>
      </c>
      <c r="J4547" s="103"/>
      <c r="K4547" s="103"/>
      <c r="L4547" s="148" t="s">
        <v>65</v>
      </c>
      <c r="M4547" s="148" t="s">
        <v>185</v>
      </c>
      <c r="N4547" s="255">
        <v>46197.0</v>
      </c>
      <c r="O4547" s="148" t="s">
        <v>67</v>
      </c>
      <c r="P4547" s="148" t="s">
        <v>68</v>
      </c>
      <c r="Q4547" s="103"/>
      <c r="R4547" s="103"/>
      <c r="S4547" s="103"/>
      <c r="T4547" s="103"/>
      <c r="U4547" s="148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1">
        <v>4542.0</v>
      </c>
      <c r="B4548" s="90" t="s">
        <v>7552</v>
      </c>
      <c r="C4548" s="82" t="str">
        <f>VLOOKUP($B$7:$B$5000,SUM!$L$6:$L$500,1,FALSE)</f>
        <v>#N/A</v>
      </c>
      <c r="D4548" s="190" t="s">
        <v>7518</v>
      </c>
      <c r="E4548" s="198" t="s">
        <v>58</v>
      </c>
      <c r="F4548" s="199" t="s">
        <v>593</v>
      </c>
      <c r="G4548" s="191" t="s">
        <v>7542</v>
      </c>
      <c r="H4548" s="199" t="s">
        <v>5779</v>
      </c>
      <c r="I4548" s="220" t="s">
        <v>7502</v>
      </c>
      <c r="J4548" s="103"/>
      <c r="K4548" s="103"/>
      <c r="L4548" s="148" t="s">
        <v>65</v>
      </c>
      <c r="M4548" s="148" t="s">
        <v>185</v>
      </c>
      <c r="N4548" s="255">
        <v>46197.0</v>
      </c>
      <c r="O4548" s="148" t="s">
        <v>67</v>
      </c>
      <c r="P4548" s="148" t="s">
        <v>68</v>
      </c>
      <c r="Q4548" s="103"/>
      <c r="R4548" s="103"/>
      <c r="S4548" s="103"/>
      <c r="T4548" s="103"/>
      <c r="U4548" s="148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1">
        <v>4543.0</v>
      </c>
      <c r="B4549" s="90" t="s">
        <v>7553</v>
      </c>
      <c r="C4549" s="82" t="str">
        <f>VLOOKUP($B$7:$B$5000,SUM!$L$6:$L$500,1,FALSE)</f>
        <v>#N/A</v>
      </c>
      <c r="D4549" s="190" t="s">
        <v>7518</v>
      </c>
      <c r="E4549" s="198" t="s">
        <v>58</v>
      </c>
      <c r="F4549" s="199" t="s">
        <v>593</v>
      </c>
      <c r="G4549" s="191" t="s">
        <v>7542</v>
      </c>
      <c r="H4549" s="199" t="s">
        <v>5781</v>
      </c>
      <c r="I4549" s="220" t="s">
        <v>7502</v>
      </c>
      <c r="J4549" s="103"/>
      <c r="K4549" s="103"/>
      <c r="L4549" s="148" t="s">
        <v>65</v>
      </c>
      <c r="M4549" s="148" t="s">
        <v>185</v>
      </c>
      <c r="N4549" s="255">
        <v>46197.0</v>
      </c>
      <c r="O4549" s="148" t="s">
        <v>67</v>
      </c>
      <c r="P4549" s="148" t="s">
        <v>68</v>
      </c>
      <c r="Q4549" s="103"/>
      <c r="R4549" s="103"/>
      <c r="S4549" s="103"/>
      <c r="T4549" s="103"/>
      <c r="U4549" s="148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1">
        <v>4544.0</v>
      </c>
      <c r="B4550" s="90" t="s">
        <v>7554</v>
      </c>
      <c r="C4550" s="82" t="str">
        <f>VLOOKUP($B$7:$B$5000,SUM!$L$6:$L$500,1,FALSE)</f>
        <v>#N/A</v>
      </c>
      <c r="D4550" s="190" t="s">
        <v>7518</v>
      </c>
      <c r="E4550" s="198" t="s">
        <v>58</v>
      </c>
      <c r="F4550" s="199" t="s">
        <v>593</v>
      </c>
      <c r="G4550" s="191" t="s">
        <v>7542</v>
      </c>
      <c r="H4550" s="199" t="s">
        <v>7555</v>
      </c>
      <c r="I4550" s="220" t="s">
        <v>7502</v>
      </c>
      <c r="J4550" s="103"/>
      <c r="K4550" s="103"/>
      <c r="L4550" s="148" t="s">
        <v>65</v>
      </c>
      <c r="M4550" s="148" t="s">
        <v>185</v>
      </c>
      <c r="N4550" s="255">
        <v>46197.0</v>
      </c>
      <c r="O4550" s="148" t="s">
        <v>67</v>
      </c>
      <c r="P4550" s="148" t="s">
        <v>68</v>
      </c>
      <c r="Q4550" s="103"/>
      <c r="R4550" s="103"/>
      <c r="S4550" s="103"/>
      <c r="T4550" s="103"/>
      <c r="U4550" s="148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1">
        <v>4545.0</v>
      </c>
      <c r="B4551" s="90" t="s">
        <v>7556</v>
      </c>
      <c r="C4551" s="82" t="str">
        <f>VLOOKUP($B$7:$B$5000,SUM!$L$6:$L$500,1,FALSE)</f>
        <v>#N/A</v>
      </c>
      <c r="D4551" s="190" t="s">
        <v>7518</v>
      </c>
      <c r="E4551" s="198" t="s">
        <v>58</v>
      </c>
      <c r="F4551" s="199" t="s">
        <v>593</v>
      </c>
      <c r="G4551" s="191" t="s">
        <v>7542</v>
      </c>
      <c r="H4551" s="199" t="s">
        <v>7557</v>
      </c>
      <c r="I4551" s="220" t="s">
        <v>7502</v>
      </c>
      <c r="J4551" s="103"/>
      <c r="K4551" s="103"/>
      <c r="L4551" s="148" t="s">
        <v>65</v>
      </c>
      <c r="M4551" s="148" t="s">
        <v>185</v>
      </c>
      <c r="N4551" s="255">
        <v>46197.0</v>
      </c>
      <c r="O4551" s="148" t="s">
        <v>67</v>
      </c>
      <c r="P4551" s="148" t="s">
        <v>68</v>
      </c>
      <c r="Q4551" s="103"/>
      <c r="R4551" s="103"/>
      <c r="S4551" s="103"/>
      <c r="T4551" s="103"/>
      <c r="U4551" s="148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1">
        <v>4546.0</v>
      </c>
      <c r="B4552" s="90" t="s">
        <v>7558</v>
      </c>
      <c r="C4552" s="82" t="str">
        <f>VLOOKUP($B$7:$B$5000,SUM!$L$6:$L$500,1,FALSE)</f>
        <v>#N/A</v>
      </c>
      <c r="D4552" s="190" t="s">
        <v>7518</v>
      </c>
      <c r="E4552" s="198" t="s">
        <v>58</v>
      </c>
      <c r="F4552" s="199" t="s">
        <v>593</v>
      </c>
      <c r="G4552" s="191" t="s">
        <v>7542</v>
      </c>
      <c r="H4552" s="199" t="s">
        <v>7559</v>
      </c>
      <c r="I4552" s="220" t="s">
        <v>7502</v>
      </c>
      <c r="J4552" s="103"/>
      <c r="K4552" s="103"/>
      <c r="L4552" s="148" t="s">
        <v>65</v>
      </c>
      <c r="M4552" s="148" t="s">
        <v>185</v>
      </c>
      <c r="N4552" s="255">
        <v>46197.0</v>
      </c>
      <c r="O4552" s="148" t="s">
        <v>67</v>
      </c>
      <c r="P4552" s="148" t="s">
        <v>68</v>
      </c>
      <c r="Q4552" s="103"/>
      <c r="R4552" s="103"/>
      <c r="S4552" s="103"/>
      <c r="T4552" s="103"/>
      <c r="U4552" s="148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1">
        <v>4547.0</v>
      </c>
      <c r="B4553" s="90" t="s">
        <v>7560</v>
      </c>
      <c r="C4553" s="82" t="str">
        <f>VLOOKUP($B$7:$B$5000,SUM!$L$6:$L$500,1,FALSE)</f>
        <v>#N/A</v>
      </c>
      <c r="D4553" s="190" t="s">
        <v>7518</v>
      </c>
      <c r="E4553" s="198" t="s">
        <v>58</v>
      </c>
      <c r="F4553" s="199" t="s">
        <v>593</v>
      </c>
      <c r="G4553" s="191" t="s">
        <v>7542</v>
      </c>
      <c r="H4553" s="199" t="s">
        <v>7561</v>
      </c>
      <c r="I4553" s="220" t="s">
        <v>7502</v>
      </c>
      <c r="J4553" s="103"/>
      <c r="K4553" s="103"/>
      <c r="L4553" s="148" t="s">
        <v>65</v>
      </c>
      <c r="M4553" s="148" t="s">
        <v>185</v>
      </c>
      <c r="N4553" s="255">
        <v>46197.0</v>
      </c>
      <c r="O4553" s="148" t="s">
        <v>67</v>
      </c>
      <c r="P4553" s="148" t="s">
        <v>68</v>
      </c>
      <c r="Q4553" s="103"/>
      <c r="R4553" s="103"/>
      <c r="S4553" s="103"/>
      <c r="T4553" s="103"/>
      <c r="U4553" s="148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1">
        <v>4548.0</v>
      </c>
      <c r="B4554" s="90" t="s">
        <v>7562</v>
      </c>
      <c r="C4554" s="82" t="str">
        <f>VLOOKUP($B$7:$B$5000,SUM!$L$6:$L$500,1,FALSE)</f>
        <v>#N/A</v>
      </c>
      <c r="D4554" s="190" t="s">
        <v>7518</v>
      </c>
      <c r="E4554" s="198" t="s">
        <v>58</v>
      </c>
      <c r="F4554" s="199" t="s">
        <v>593</v>
      </c>
      <c r="G4554" s="191" t="s">
        <v>7542</v>
      </c>
      <c r="H4554" s="199" t="s">
        <v>7563</v>
      </c>
      <c r="I4554" s="220" t="s">
        <v>7502</v>
      </c>
      <c r="J4554" s="103"/>
      <c r="K4554" s="103"/>
      <c r="L4554" s="148" t="s">
        <v>65</v>
      </c>
      <c r="M4554" s="148" t="s">
        <v>185</v>
      </c>
      <c r="N4554" s="255">
        <v>46197.0</v>
      </c>
      <c r="O4554" s="148" t="s">
        <v>67</v>
      </c>
      <c r="P4554" s="148" t="s">
        <v>68</v>
      </c>
      <c r="Q4554" s="103"/>
      <c r="R4554" s="103"/>
      <c r="S4554" s="103"/>
      <c r="T4554" s="103"/>
      <c r="U4554" s="148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1">
        <v>4549.0</v>
      </c>
      <c r="B4555" s="90" t="s">
        <v>7564</v>
      </c>
      <c r="C4555" s="82" t="str">
        <f>VLOOKUP($B$7:$B$5000,SUM!$L$6:$L$500,1,FALSE)</f>
        <v>#N/A</v>
      </c>
      <c r="D4555" s="190" t="s">
        <v>7518</v>
      </c>
      <c r="E4555" s="198" t="s">
        <v>58</v>
      </c>
      <c r="F4555" s="199" t="s">
        <v>593</v>
      </c>
      <c r="G4555" s="191" t="s">
        <v>7542</v>
      </c>
      <c r="H4555" s="199" t="s">
        <v>7565</v>
      </c>
      <c r="I4555" s="220" t="s">
        <v>7502</v>
      </c>
      <c r="J4555" s="103"/>
      <c r="K4555" s="103"/>
      <c r="L4555" s="148" t="s">
        <v>65</v>
      </c>
      <c r="M4555" s="148" t="s">
        <v>185</v>
      </c>
      <c r="N4555" s="255">
        <v>46197.0</v>
      </c>
      <c r="O4555" s="148" t="s">
        <v>67</v>
      </c>
      <c r="P4555" s="148" t="s">
        <v>68</v>
      </c>
      <c r="Q4555" s="103"/>
      <c r="R4555" s="103"/>
      <c r="S4555" s="103"/>
      <c r="T4555" s="103"/>
      <c r="U4555" s="148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1">
        <v>4550.0</v>
      </c>
      <c r="B4556" s="90" t="s">
        <v>7566</v>
      </c>
      <c r="C4556" s="82" t="str">
        <f>VLOOKUP($B$7:$B$5000,SUM!$L$6:$L$500,1,FALSE)</f>
        <v>#N/A</v>
      </c>
      <c r="D4556" s="190" t="s">
        <v>7518</v>
      </c>
      <c r="E4556" s="198" t="s">
        <v>58</v>
      </c>
      <c r="F4556" s="199" t="s">
        <v>593</v>
      </c>
      <c r="G4556" s="191" t="s">
        <v>7542</v>
      </c>
      <c r="H4556" s="199" t="s">
        <v>5784</v>
      </c>
      <c r="I4556" s="220" t="s">
        <v>7502</v>
      </c>
      <c r="J4556" s="103"/>
      <c r="K4556" s="103"/>
      <c r="L4556" s="148" t="s">
        <v>65</v>
      </c>
      <c r="M4556" s="148" t="s">
        <v>185</v>
      </c>
      <c r="N4556" s="255">
        <v>46197.0</v>
      </c>
      <c r="O4556" s="148" t="s">
        <v>67</v>
      </c>
      <c r="P4556" s="148" t="s">
        <v>68</v>
      </c>
      <c r="Q4556" s="103"/>
      <c r="R4556" s="103"/>
      <c r="S4556" s="103"/>
      <c r="T4556" s="103"/>
      <c r="U4556" s="148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1">
        <v>4551.0</v>
      </c>
      <c r="B4557" s="90" t="s">
        <v>7567</v>
      </c>
      <c r="C4557" s="82" t="str">
        <f>VLOOKUP($B$7:$B$5000,SUM!$L$6:$L$500,1,FALSE)</f>
        <v>#N/A</v>
      </c>
      <c r="D4557" s="190" t="s">
        <v>7518</v>
      </c>
      <c r="E4557" s="198" t="s">
        <v>58</v>
      </c>
      <c r="F4557" s="199" t="s">
        <v>593</v>
      </c>
      <c r="G4557" s="191" t="s">
        <v>7542</v>
      </c>
      <c r="H4557" s="199" t="s">
        <v>5786</v>
      </c>
      <c r="I4557" s="220" t="s">
        <v>7502</v>
      </c>
      <c r="J4557" s="103"/>
      <c r="K4557" s="103"/>
      <c r="L4557" s="148" t="s">
        <v>65</v>
      </c>
      <c r="M4557" s="148" t="s">
        <v>185</v>
      </c>
      <c r="N4557" s="255">
        <v>46197.0</v>
      </c>
      <c r="O4557" s="148" t="s">
        <v>67</v>
      </c>
      <c r="P4557" s="148" t="s">
        <v>68</v>
      </c>
      <c r="Q4557" s="103"/>
      <c r="R4557" s="103"/>
      <c r="S4557" s="103"/>
      <c r="T4557" s="103"/>
      <c r="U4557" s="148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1">
        <v>4552.0</v>
      </c>
      <c r="B4558" s="90" t="s">
        <v>7568</v>
      </c>
      <c r="C4558" s="82" t="str">
        <f>VLOOKUP($B$7:$B$5000,SUM!$L$6:$L$500,1,FALSE)</f>
        <v>#N/A</v>
      </c>
      <c r="D4558" s="190" t="s">
        <v>7518</v>
      </c>
      <c r="E4558" s="198" t="s">
        <v>58</v>
      </c>
      <c r="F4558" s="199" t="s">
        <v>593</v>
      </c>
      <c r="G4558" s="191" t="s">
        <v>7542</v>
      </c>
      <c r="H4558" s="199" t="s">
        <v>7569</v>
      </c>
      <c r="I4558" s="220" t="s">
        <v>7502</v>
      </c>
      <c r="J4558" s="103"/>
      <c r="K4558" s="103"/>
      <c r="L4558" s="148" t="s">
        <v>65</v>
      </c>
      <c r="M4558" s="148" t="s">
        <v>185</v>
      </c>
      <c r="N4558" s="255">
        <v>46197.0</v>
      </c>
      <c r="O4558" s="148" t="s">
        <v>67</v>
      </c>
      <c r="P4558" s="148" t="s">
        <v>68</v>
      </c>
      <c r="Q4558" s="103"/>
      <c r="R4558" s="103"/>
      <c r="S4558" s="103"/>
      <c r="T4558" s="103"/>
      <c r="U4558" s="148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1">
        <v>4553.0</v>
      </c>
      <c r="B4559" s="90" t="s">
        <v>7570</v>
      </c>
      <c r="C4559" s="82" t="str">
        <f>VLOOKUP($B$7:$B$5000,SUM!$L$6:$L$500,1,FALSE)</f>
        <v>#N/A</v>
      </c>
      <c r="D4559" s="190" t="s">
        <v>7518</v>
      </c>
      <c r="E4559" s="198" t="s">
        <v>58</v>
      </c>
      <c r="F4559" s="199" t="s">
        <v>593</v>
      </c>
      <c r="G4559" s="191" t="s">
        <v>7542</v>
      </c>
      <c r="H4559" s="199" t="s">
        <v>7571</v>
      </c>
      <c r="I4559" s="220" t="s">
        <v>7502</v>
      </c>
      <c r="J4559" s="103"/>
      <c r="K4559" s="103"/>
      <c r="L4559" s="148" t="s">
        <v>65</v>
      </c>
      <c r="M4559" s="148" t="s">
        <v>185</v>
      </c>
      <c r="N4559" s="255">
        <v>46197.0</v>
      </c>
      <c r="O4559" s="148" t="s">
        <v>67</v>
      </c>
      <c r="P4559" s="148" t="s">
        <v>68</v>
      </c>
      <c r="Q4559" s="103"/>
      <c r="R4559" s="103"/>
      <c r="S4559" s="103"/>
      <c r="T4559" s="103"/>
      <c r="U4559" s="148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1">
        <v>4554.0</v>
      </c>
      <c r="B4560" s="90" t="s">
        <v>7572</v>
      </c>
      <c r="C4560" s="82" t="str">
        <f>VLOOKUP($B$7:$B$5000,SUM!$L$6:$L$500,1,FALSE)</f>
        <v>#N/A</v>
      </c>
      <c r="D4560" s="190" t="s">
        <v>7518</v>
      </c>
      <c r="E4560" s="198" t="s">
        <v>58</v>
      </c>
      <c r="F4560" s="199" t="s">
        <v>593</v>
      </c>
      <c r="G4560" s="191" t="s">
        <v>7542</v>
      </c>
      <c r="H4560" s="199" t="s">
        <v>7573</v>
      </c>
      <c r="I4560" s="220" t="s">
        <v>7502</v>
      </c>
      <c r="J4560" s="103"/>
      <c r="K4560" s="103"/>
      <c r="L4560" s="148" t="s">
        <v>65</v>
      </c>
      <c r="M4560" s="148" t="s">
        <v>185</v>
      </c>
      <c r="N4560" s="255">
        <v>46197.0</v>
      </c>
      <c r="O4560" s="148" t="s">
        <v>67</v>
      </c>
      <c r="P4560" s="148" t="s">
        <v>68</v>
      </c>
      <c r="Q4560" s="103"/>
      <c r="R4560" s="103"/>
      <c r="S4560" s="103"/>
      <c r="T4560" s="103"/>
      <c r="U4560" s="148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1">
        <v>4555.0</v>
      </c>
      <c r="B4561" s="90" t="s">
        <v>7574</v>
      </c>
      <c r="C4561" s="82" t="str">
        <f>VLOOKUP($B$7:$B$5000,SUM!$L$6:$L$500,1,FALSE)</f>
        <v>#N/A</v>
      </c>
      <c r="D4561" s="190" t="s">
        <v>7518</v>
      </c>
      <c r="E4561" s="198" t="s">
        <v>58</v>
      </c>
      <c r="F4561" s="199" t="s">
        <v>593</v>
      </c>
      <c r="G4561" s="191" t="s">
        <v>7542</v>
      </c>
      <c r="H4561" s="199" t="s">
        <v>7575</v>
      </c>
      <c r="I4561" s="220" t="s">
        <v>7502</v>
      </c>
      <c r="J4561" s="103"/>
      <c r="K4561" s="103"/>
      <c r="L4561" s="148" t="s">
        <v>65</v>
      </c>
      <c r="M4561" s="148" t="s">
        <v>185</v>
      </c>
      <c r="N4561" s="255">
        <v>46197.0</v>
      </c>
      <c r="O4561" s="148" t="s">
        <v>67</v>
      </c>
      <c r="P4561" s="148" t="s">
        <v>68</v>
      </c>
      <c r="Q4561" s="103"/>
      <c r="R4561" s="103"/>
      <c r="S4561" s="103"/>
      <c r="T4561" s="103"/>
      <c r="U4561" s="148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1">
        <v>4556.0</v>
      </c>
      <c r="B4562" s="90" t="s">
        <v>7576</v>
      </c>
      <c r="C4562" s="82" t="str">
        <f>VLOOKUP($B$7:$B$5000,SUM!$L$6:$L$500,1,FALSE)</f>
        <v>#N/A</v>
      </c>
      <c r="D4562" s="190" t="s">
        <v>7518</v>
      </c>
      <c r="E4562" s="198" t="s">
        <v>58</v>
      </c>
      <c r="F4562" s="199" t="s">
        <v>593</v>
      </c>
      <c r="G4562" s="191" t="s">
        <v>7542</v>
      </c>
      <c r="H4562" s="199" t="s">
        <v>7577</v>
      </c>
      <c r="I4562" s="220" t="s">
        <v>7502</v>
      </c>
      <c r="J4562" s="103"/>
      <c r="K4562" s="103"/>
      <c r="L4562" s="148" t="s">
        <v>65</v>
      </c>
      <c r="M4562" s="148" t="s">
        <v>185</v>
      </c>
      <c r="N4562" s="255">
        <v>46197.0</v>
      </c>
      <c r="O4562" s="148" t="s">
        <v>67</v>
      </c>
      <c r="P4562" s="148" t="s">
        <v>68</v>
      </c>
      <c r="Q4562" s="103"/>
      <c r="R4562" s="103"/>
      <c r="S4562" s="103"/>
      <c r="T4562" s="103"/>
      <c r="U4562" s="148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1">
        <v>4557.0</v>
      </c>
      <c r="B4563" s="90" t="s">
        <v>7578</v>
      </c>
      <c r="C4563" s="82" t="str">
        <f>VLOOKUP($B$7:$B$5000,SUM!$L$6:$L$500,1,FALSE)</f>
        <v>#N/A</v>
      </c>
      <c r="D4563" s="190" t="s">
        <v>7518</v>
      </c>
      <c r="E4563" s="198" t="s">
        <v>58</v>
      </c>
      <c r="F4563" s="199" t="s">
        <v>593</v>
      </c>
      <c r="G4563" s="191" t="s">
        <v>7542</v>
      </c>
      <c r="H4563" s="199" t="s">
        <v>7579</v>
      </c>
      <c r="I4563" s="220" t="s">
        <v>7502</v>
      </c>
      <c r="J4563" s="103"/>
      <c r="K4563" s="103"/>
      <c r="L4563" s="148" t="s">
        <v>65</v>
      </c>
      <c r="M4563" s="148" t="s">
        <v>185</v>
      </c>
      <c r="N4563" s="255">
        <v>46197.0</v>
      </c>
      <c r="O4563" s="148" t="s">
        <v>67</v>
      </c>
      <c r="P4563" s="148" t="s">
        <v>68</v>
      </c>
      <c r="Q4563" s="103"/>
      <c r="R4563" s="103"/>
      <c r="S4563" s="103"/>
      <c r="T4563" s="103"/>
      <c r="U4563" s="148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1">
        <v>4558.0</v>
      </c>
      <c r="B4564" s="90" t="s">
        <v>7580</v>
      </c>
      <c r="C4564" s="82" t="str">
        <f>VLOOKUP($B$7:$B$5000,SUM!$L$6:$L$500,1,FALSE)</f>
        <v>#N/A</v>
      </c>
      <c r="D4564" s="190" t="s">
        <v>7518</v>
      </c>
      <c r="E4564" s="198" t="s">
        <v>58</v>
      </c>
      <c r="F4564" s="199" t="s">
        <v>593</v>
      </c>
      <c r="G4564" s="191" t="s">
        <v>7542</v>
      </c>
      <c r="H4564" s="199" t="s">
        <v>7581</v>
      </c>
      <c r="I4564" s="220" t="s">
        <v>7502</v>
      </c>
      <c r="J4564" s="103"/>
      <c r="K4564" s="103"/>
      <c r="L4564" s="148" t="s">
        <v>65</v>
      </c>
      <c r="M4564" s="148" t="s">
        <v>185</v>
      </c>
      <c r="N4564" s="255">
        <v>46197.0</v>
      </c>
      <c r="O4564" s="148" t="s">
        <v>67</v>
      </c>
      <c r="P4564" s="148" t="s">
        <v>68</v>
      </c>
      <c r="Q4564" s="103"/>
      <c r="R4564" s="103"/>
      <c r="S4564" s="103"/>
      <c r="T4564" s="103"/>
      <c r="U4564" s="148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1">
        <v>4559.0</v>
      </c>
      <c r="B4565" s="90" t="s">
        <v>7582</v>
      </c>
      <c r="C4565" s="82" t="str">
        <f>VLOOKUP($B$7:$B$5000,SUM!$L$6:$L$500,1,FALSE)</f>
        <v>#N/A</v>
      </c>
      <c r="D4565" s="190" t="s">
        <v>7518</v>
      </c>
      <c r="E4565" s="198" t="s">
        <v>58</v>
      </c>
      <c r="F4565" s="199" t="s">
        <v>593</v>
      </c>
      <c r="G4565" s="191" t="s">
        <v>7542</v>
      </c>
      <c r="H4565" s="199" t="s">
        <v>7583</v>
      </c>
      <c r="I4565" s="220" t="s">
        <v>7502</v>
      </c>
      <c r="J4565" s="103"/>
      <c r="K4565" s="103"/>
      <c r="L4565" s="148" t="s">
        <v>65</v>
      </c>
      <c r="M4565" s="148" t="s">
        <v>185</v>
      </c>
      <c r="N4565" s="255">
        <v>46197.0</v>
      </c>
      <c r="O4565" s="148" t="s">
        <v>67</v>
      </c>
      <c r="P4565" s="148" t="s">
        <v>68</v>
      </c>
      <c r="Q4565" s="103"/>
      <c r="R4565" s="103"/>
      <c r="S4565" s="103"/>
      <c r="T4565" s="103"/>
      <c r="U4565" s="148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1">
        <v>4560.0</v>
      </c>
      <c r="B4566" s="90" t="s">
        <v>7584</v>
      </c>
      <c r="C4566" s="82" t="str">
        <f>VLOOKUP($B$7:$B$5000,SUM!$L$6:$L$500,1,FALSE)</f>
        <v>#N/A</v>
      </c>
      <c r="D4566" s="190" t="s">
        <v>7518</v>
      </c>
      <c r="E4566" s="198" t="s">
        <v>58</v>
      </c>
      <c r="F4566" s="199" t="s">
        <v>593</v>
      </c>
      <c r="G4566" s="191" t="s">
        <v>7542</v>
      </c>
      <c r="H4566" s="199" t="s">
        <v>7585</v>
      </c>
      <c r="I4566" s="220" t="s">
        <v>7502</v>
      </c>
      <c r="J4566" s="103"/>
      <c r="K4566" s="103"/>
      <c r="L4566" s="148" t="s">
        <v>65</v>
      </c>
      <c r="M4566" s="148" t="s">
        <v>185</v>
      </c>
      <c r="N4566" s="255">
        <v>46197.0</v>
      </c>
      <c r="O4566" s="148" t="s">
        <v>67</v>
      </c>
      <c r="P4566" s="148" t="s">
        <v>68</v>
      </c>
      <c r="Q4566" s="103"/>
      <c r="R4566" s="103"/>
      <c r="S4566" s="103"/>
      <c r="T4566" s="103"/>
      <c r="U4566" s="148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1">
        <v>4561.0</v>
      </c>
      <c r="B4567" s="90" t="s">
        <v>7586</v>
      </c>
      <c r="C4567" s="82" t="str">
        <f>VLOOKUP($B$7:$B$5000,SUM!$L$6:$L$500,1,FALSE)</f>
        <v>#N/A</v>
      </c>
      <c r="D4567" s="190" t="s">
        <v>7518</v>
      </c>
      <c r="E4567" s="198" t="s">
        <v>58</v>
      </c>
      <c r="F4567" s="199" t="s">
        <v>593</v>
      </c>
      <c r="G4567" s="191" t="s">
        <v>7542</v>
      </c>
      <c r="H4567" s="199" t="s">
        <v>7587</v>
      </c>
      <c r="I4567" s="220" t="s">
        <v>7502</v>
      </c>
      <c r="J4567" s="103"/>
      <c r="K4567" s="103"/>
      <c r="L4567" s="148" t="s">
        <v>65</v>
      </c>
      <c r="M4567" s="148" t="s">
        <v>185</v>
      </c>
      <c r="N4567" s="255">
        <v>46197.0</v>
      </c>
      <c r="O4567" s="148" t="s">
        <v>67</v>
      </c>
      <c r="P4567" s="148" t="s">
        <v>68</v>
      </c>
      <c r="Q4567" s="103"/>
      <c r="R4567" s="103"/>
      <c r="S4567" s="103"/>
      <c r="T4567" s="103"/>
      <c r="U4567" s="148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1">
        <v>4562.0</v>
      </c>
      <c r="B4568" s="90" t="s">
        <v>7588</v>
      </c>
      <c r="C4568" s="82" t="str">
        <f>VLOOKUP($B$7:$B$5000,SUM!$L$6:$L$500,1,FALSE)</f>
        <v>#N/A</v>
      </c>
      <c r="D4568" s="190" t="s">
        <v>7518</v>
      </c>
      <c r="E4568" s="198" t="s">
        <v>58</v>
      </c>
      <c r="F4568" s="199" t="s">
        <v>593</v>
      </c>
      <c r="G4568" s="191" t="s">
        <v>7542</v>
      </c>
      <c r="H4568" s="199" t="s">
        <v>7589</v>
      </c>
      <c r="I4568" s="220" t="s">
        <v>7502</v>
      </c>
      <c r="J4568" s="103"/>
      <c r="K4568" s="103"/>
      <c r="L4568" s="148" t="s">
        <v>65</v>
      </c>
      <c r="M4568" s="148" t="s">
        <v>185</v>
      </c>
      <c r="N4568" s="255">
        <v>46197.0</v>
      </c>
      <c r="O4568" s="148" t="s">
        <v>67</v>
      </c>
      <c r="P4568" s="148" t="s">
        <v>68</v>
      </c>
      <c r="Q4568" s="103"/>
      <c r="R4568" s="103"/>
      <c r="S4568" s="103"/>
      <c r="T4568" s="103"/>
      <c r="U4568" s="148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1">
        <v>4563.0</v>
      </c>
      <c r="B4569" s="90" t="s">
        <v>7590</v>
      </c>
      <c r="C4569" s="82" t="str">
        <f>VLOOKUP($B$7:$B$5000,SUM!$L$6:$L$500,1,FALSE)</f>
        <v>#N/A</v>
      </c>
      <c r="D4569" s="190" t="s">
        <v>7518</v>
      </c>
      <c r="E4569" s="198" t="s">
        <v>58</v>
      </c>
      <c r="F4569" s="199" t="s">
        <v>593</v>
      </c>
      <c r="G4569" s="191" t="s">
        <v>7542</v>
      </c>
      <c r="H4569" s="199" t="s">
        <v>7591</v>
      </c>
      <c r="I4569" s="220" t="s">
        <v>7502</v>
      </c>
      <c r="J4569" s="103"/>
      <c r="K4569" s="103"/>
      <c r="L4569" s="148" t="s">
        <v>65</v>
      </c>
      <c r="M4569" s="148" t="s">
        <v>185</v>
      </c>
      <c r="N4569" s="255">
        <v>46197.0</v>
      </c>
      <c r="O4569" s="148" t="s">
        <v>67</v>
      </c>
      <c r="P4569" s="148" t="s">
        <v>68</v>
      </c>
      <c r="Q4569" s="103"/>
      <c r="R4569" s="103"/>
      <c r="S4569" s="103"/>
      <c r="T4569" s="103"/>
      <c r="U4569" s="148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1">
        <v>4564.0</v>
      </c>
      <c r="B4570" s="90" t="s">
        <v>7592</v>
      </c>
      <c r="C4570" s="82" t="str">
        <f>VLOOKUP($B$7:$B$5000,SUM!$L$6:$L$500,1,FALSE)</f>
        <v>#N/A</v>
      </c>
      <c r="D4570" s="190" t="s">
        <v>7518</v>
      </c>
      <c r="E4570" s="198" t="s">
        <v>58</v>
      </c>
      <c r="F4570" s="199" t="s">
        <v>593</v>
      </c>
      <c r="G4570" s="191" t="s">
        <v>7542</v>
      </c>
      <c r="H4570" s="199" t="s">
        <v>7593</v>
      </c>
      <c r="I4570" s="220" t="s">
        <v>7502</v>
      </c>
      <c r="J4570" s="103"/>
      <c r="K4570" s="103"/>
      <c r="L4570" s="148" t="s">
        <v>65</v>
      </c>
      <c r="M4570" s="148" t="s">
        <v>185</v>
      </c>
      <c r="N4570" s="255">
        <v>46197.0</v>
      </c>
      <c r="O4570" s="148" t="s">
        <v>67</v>
      </c>
      <c r="P4570" s="148" t="s">
        <v>68</v>
      </c>
      <c r="Q4570" s="103"/>
      <c r="R4570" s="103"/>
      <c r="S4570" s="103"/>
      <c r="T4570" s="103"/>
      <c r="U4570" s="148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1">
        <v>4565.0</v>
      </c>
      <c r="B4571" s="90" t="s">
        <v>7594</v>
      </c>
      <c r="C4571" s="82" t="str">
        <f>VLOOKUP($B$7:$B$5000,SUM!$L$6:$L$500,1,FALSE)</f>
        <v>#N/A</v>
      </c>
      <c r="D4571" s="190" t="s">
        <v>7518</v>
      </c>
      <c r="E4571" s="198" t="s">
        <v>58</v>
      </c>
      <c r="F4571" s="199" t="s">
        <v>593</v>
      </c>
      <c r="G4571" s="191" t="s">
        <v>7542</v>
      </c>
      <c r="H4571" s="199" t="s">
        <v>5794</v>
      </c>
      <c r="I4571" s="220" t="s">
        <v>7502</v>
      </c>
      <c r="J4571" s="103"/>
      <c r="K4571" s="103"/>
      <c r="L4571" s="148" t="s">
        <v>65</v>
      </c>
      <c r="M4571" s="148" t="s">
        <v>185</v>
      </c>
      <c r="N4571" s="255">
        <v>46197.0</v>
      </c>
      <c r="O4571" s="148" t="s">
        <v>67</v>
      </c>
      <c r="P4571" s="148" t="s">
        <v>68</v>
      </c>
      <c r="Q4571" s="103"/>
      <c r="R4571" s="103"/>
      <c r="S4571" s="103"/>
      <c r="T4571" s="103"/>
      <c r="U4571" s="148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1">
        <v>4566.0</v>
      </c>
      <c r="B4572" s="90" t="s">
        <v>7595</v>
      </c>
      <c r="C4572" s="82" t="str">
        <f>VLOOKUP($B$7:$B$5000,SUM!$L$6:$L$500,1,FALSE)</f>
        <v>#N/A</v>
      </c>
      <c r="D4572" s="190" t="s">
        <v>7518</v>
      </c>
      <c r="E4572" s="198" t="s">
        <v>58</v>
      </c>
      <c r="F4572" s="199" t="s">
        <v>593</v>
      </c>
      <c r="G4572" s="191" t="s">
        <v>7542</v>
      </c>
      <c r="H4572" s="199" t="s">
        <v>5796</v>
      </c>
      <c r="I4572" s="220" t="s">
        <v>7502</v>
      </c>
      <c r="J4572" s="103"/>
      <c r="K4572" s="103"/>
      <c r="L4572" s="148" t="s">
        <v>65</v>
      </c>
      <c r="M4572" s="148" t="s">
        <v>185</v>
      </c>
      <c r="N4572" s="255">
        <v>46197.0</v>
      </c>
      <c r="O4572" s="148" t="s">
        <v>67</v>
      </c>
      <c r="P4572" s="148" t="s">
        <v>68</v>
      </c>
      <c r="Q4572" s="103"/>
      <c r="R4572" s="103"/>
      <c r="S4572" s="103"/>
      <c r="T4572" s="103"/>
      <c r="U4572" s="148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1">
        <v>4567.0</v>
      </c>
      <c r="B4573" s="90" t="s">
        <v>7596</v>
      </c>
      <c r="C4573" s="82" t="str">
        <f>VLOOKUP($B$7:$B$5000,SUM!$L$6:$L$500,1,FALSE)</f>
        <v>#N/A</v>
      </c>
      <c r="D4573" s="190" t="s">
        <v>7518</v>
      </c>
      <c r="E4573" s="198" t="s">
        <v>58</v>
      </c>
      <c r="F4573" s="199" t="s">
        <v>593</v>
      </c>
      <c r="G4573" s="191" t="s">
        <v>7542</v>
      </c>
      <c r="H4573" s="199" t="s">
        <v>7597</v>
      </c>
      <c r="I4573" s="220" t="s">
        <v>7502</v>
      </c>
      <c r="J4573" s="103"/>
      <c r="K4573" s="103"/>
      <c r="L4573" s="148" t="s">
        <v>65</v>
      </c>
      <c r="M4573" s="148" t="s">
        <v>185</v>
      </c>
      <c r="N4573" s="255">
        <v>46197.0</v>
      </c>
      <c r="O4573" s="148" t="s">
        <v>67</v>
      </c>
      <c r="P4573" s="148" t="s">
        <v>68</v>
      </c>
      <c r="Q4573" s="103"/>
      <c r="R4573" s="103"/>
      <c r="S4573" s="103"/>
      <c r="T4573" s="103"/>
      <c r="U4573" s="148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1">
        <v>4568.0</v>
      </c>
      <c r="B4574" s="90" t="s">
        <v>7598</v>
      </c>
      <c r="C4574" s="82" t="str">
        <f>VLOOKUP($B$7:$B$5000,SUM!$L$6:$L$500,1,FALSE)</f>
        <v>#N/A</v>
      </c>
      <c r="D4574" s="190" t="s">
        <v>7518</v>
      </c>
      <c r="E4574" s="198" t="s">
        <v>58</v>
      </c>
      <c r="F4574" s="199" t="s">
        <v>593</v>
      </c>
      <c r="G4574" s="191" t="s">
        <v>7542</v>
      </c>
      <c r="H4574" s="199" t="s">
        <v>7599</v>
      </c>
      <c r="I4574" s="220" t="s">
        <v>7502</v>
      </c>
      <c r="J4574" s="103"/>
      <c r="K4574" s="103"/>
      <c r="L4574" s="148" t="s">
        <v>65</v>
      </c>
      <c r="M4574" s="148" t="s">
        <v>185</v>
      </c>
      <c r="N4574" s="255">
        <v>46197.0</v>
      </c>
      <c r="O4574" s="148" t="s">
        <v>67</v>
      </c>
      <c r="P4574" s="148" t="s">
        <v>68</v>
      </c>
      <c r="Q4574" s="103"/>
      <c r="R4574" s="103"/>
      <c r="S4574" s="103"/>
      <c r="T4574" s="103"/>
      <c r="U4574" s="148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1">
        <v>4569.0</v>
      </c>
      <c r="B4575" s="90" t="s">
        <v>7600</v>
      </c>
      <c r="C4575" s="82" t="str">
        <f>VLOOKUP($B$7:$B$5000,SUM!$L$6:$L$500,1,FALSE)</f>
        <v>#N/A</v>
      </c>
      <c r="D4575" s="190" t="s">
        <v>7518</v>
      </c>
      <c r="E4575" s="198" t="s">
        <v>58</v>
      </c>
      <c r="F4575" s="199" t="s">
        <v>593</v>
      </c>
      <c r="G4575" s="191" t="s">
        <v>7542</v>
      </c>
      <c r="H4575" s="199" t="s">
        <v>7601</v>
      </c>
      <c r="I4575" s="220" t="s">
        <v>7502</v>
      </c>
      <c r="J4575" s="103"/>
      <c r="K4575" s="103"/>
      <c r="L4575" s="148" t="s">
        <v>65</v>
      </c>
      <c r="M4575" s="148" t="s">
        <v>185</v>
      </c>
      <c r="N4575" s="255">
        <v>46197.0</v>
      </c>
      <c r="O4575" s="148" t="s">
        <v>67</v>
      </c>
      <c r="P4575" s="148" t="s">
        <v>68</v>
      </c>
      <c r="Q4575" s="103"/>
      <c r="R4575" s="103"/>
      <c r="S4575" s="103"/>
      <c r="T4575" s="103"/>
      <c r="U4575" s="148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1">
        <v>4570.0</v>
      </c>
      <c r="B4576" s="90" t="s">
        <v>7602</v>
      </c>
      <c r="C4576" s="82" t="str">
        <f>VLOOKUP($B$7:$B$5000,SUM!$L$6:$L$500,1,FALSE)</f>
        <v>#N/A</v>
      </c>
      <c r="D4576" s="190" t="s">
        <v>7518</v>
      </c>
      <c r="E4576" s="198" t="s">
        <v>58</v>
      </c>
      <c r="F4576" s="199" t="s">
        <v>593</v>
      </c>
      <c r="G4576" s="191" t="s">
        <v>7542</v>
      </c>
      <c r="H4576" s="199" t="s">
        <v>5798</v>
      </c>
      <c r="I4576" s="220" t="s">
        <v>7502</v>
      </c>
      <c r="J4576" s="103"/>
      <c r="K4576" s="103"/>
      <c r="L4576" s="148" t="s">
        <v>65</v>
      </c>
      <c r="M4576" s="148" t="s">
        <v>185</v>
      </c>
      <c r="N4576" s="255">
        <v>46197.0</v>
      </c>
      <c r="O4576" s="148" t="s">
        <v>67</v>
      </c>
      <c r="P4576" s="148" t="s">
        <v>68</v>
      </c>
      <c r="Q4576" s="103"/>
      <c r="R4576" s="103"/>
      <c r="S4576" s="103"/>
      <c r="T4576" s="103"/>
      <c r="U4576" s="148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1">
        <v>4571.0</v>
      </c>
      <c r="B4577" s="90" t="s">
        <v>7603</v>
      </c>
      <c r="C4577" s="82" t="str">
        <f>VLOOKUP($B$7:$B$5000,SUM!$L$6:$L$500,1,FALSE)</f>
        <v>#N/A</v>
      </c>
      <c r="D4577" s="190" t="s">
        <v>7518</v>
      </c>
      <c r="E4577" s="198" t="s">
        <v>58</v>
      </c>
      <c r="F4577" s="199" t="s">
        <v>593</v>
      </c>
      <c r="G4577" s="191" t="s">
        <v>7542</v>
      </c>
      <c r="H4577" s="199" t="s">
        <v>5800</v>
      </c>
      <c r="I4577" s="220" t="s">
        <v>7502</v>
      </c>
      <c r="J4577" s="103"/>
      <c r="K4577" s="103"/>
      <c r="L4577" s="148" t="s">
        <v>65</v>
      </c>
      <c r="M4577" s="148" t="s">
        <v>185</v>
      </c>
      <c r="N4577" s="255">
        <v>46197.0</v>
      </c>
      <c r="O4577" s="148" t="s">
        <v>67</v>
      </c>
      <c r="P4577" s="148" t="s">
        <v>68</v>
      </c>
      <c r="Q4577" s="103"/>
      <c r="R4577" s="103"/>
      <c r="S4577" s="103"/>
      <c r="T4577" s="103"/>
      <c r="U4577" s="148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1">
        <v>4572.0</v>
      </c>
      <c r="B4578" s="90" t="s">
        <v>7604</v>
      </c>
      <c r="C4578" s="82" t="str">
        <f>VLOOKUP($B$7:$B$5000,SUM!$L$6:$L$500,1,FALSE)</f>
        <v>#N/A</v>
      </c>
      <c r="D4578" s="190" t="s">
        <v>7518</v>
      </c>
      <c r="E4578" s="198" t="s">
        <v>58</v>
      </c>
      <c r="F4578" s="199" t="s">
        <v>593</v>
      </c>
      <c r="G4578" s="191" t="s">
        <v>7542</v>
      </c>
      <c r="H4578" s="199" t="s">
        <v>5802</v>
      </c>
      <c r="I4578" s="220" t="s">
        <v>7502</v>
      </c>
      <c r="J4578" s="103"/>
      <c r="K4578" s="103"/>
      <c r="L4578" s="148" t="s">
        <v>65</v>
      </c>
      <c r="M4578" s="148" t="s">
        <v>185</v>
      </c>
      <c r="N4578" s="255">
        <v>46197.0</v>
      </c>
      <c r="O4578" s="148" t="s">
        <v>67</v>
      </c>
      <c r="P4578" s="148" t="s">
        <v>68</v>
      </c>
      <c r="Q4578" s="103"/>
      <c r="R4578" s="103"/>
      <c r="S4578" s="103"/>
      <c r="T4578" s="103"/>
      <c r="U4578" s="148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1">
        <v>4573.0</v>
      </c>
      <c r="B4579" s="90" t="s">
        <v>7605</v>
      </c>
      <c r="C4579" s="82" t="str">
        <f>VLOOKUP($B$7:$B$5000,SUM!$L$6:$L$500,1,FALSE)</f>
        <v>#N/A</v>
      </c>
      <c r="D4579" s="190" t="s">
        <v>7518</v>
      </c>
      <c r="E4579" s="198" t="s">
        <v>58</v>
      </c>
      <c r="F4579" s="199" t="s">
        <v>593</v>
      </c>
      <c r="G4579" s="191" t="s">
        <v>7542</v>
      </c>
      <c r="H4579" s="199" t="s">
        <v>5804</v>
      </c>
      <c r="I4579" s="220" t="s">
        <v>7502</v>
      </c>
      <c r="J4579" s="103"/>
      <c r="K4579" s="103"/>
      <c r="L4579" s="148" t="s">
        <v>65</v>
      </c>
      <c r="M4579" s="148" t="s">
        <v>185</v>
      </c>
      <c r="N4579" s="255">
        <v>46197.0</v>
      </c>
      <c r="O4579" s="148" t="s">
        <v>67</v>
      </c>
      <c r="P4579" s="148" t="s">
        <v>68</v>
      </c>
      <c r="Q4579" s="103"/>
      <c r="R4579" s="103"/>
      <c r="S4579" s="103"/>
      <c r="T4579" s="103"/>
      <c r="U4579" s="148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1">
        <v>4574.0</v>
      </c>
      <c r="B4580" s="90" t="s">
        <v>7606</v>
      </c>
      <c r="C4580" s="82" t="str">
        <f>VLOOKUP($B$7:$B$5000,SUM!$L$6:$L$500,1,FALSE)</f>
        <v>#N/A</v>
      </c>
      <c r="D4580" s="190" t="s">
        <v>7518</v>
      </c>
      <c r="E4580" s="198" t="s">
        <v>58</v>
      </c>
      <c r="F4580" s="199" t="s">
        <v>593</v>
      </c>
      <c r="G4580" s="191" t="s">
        <v>7542</v>
      </c>
      <c r="H4580" s="199" t="s">
        <v>5806</v>
      </c>
      <c r="I4580" s="220" t="s">
        <v>7502</v>
      </c>
      <c r="J4580" s="103"/>
      <c r="K4580" s="103"/>
      <c r="L4580" s="148" t="s">
        <v>65</v>
      </c>
      <c r="M4580" s="148" t="s">
        <v>185</v>
      </c>
      <c r="N4580" s="255">
        <v>46197.0</v>
      </c>
      <c r="O4580" s="148" t="s">
        <v>67</v>
      </c>
      <c r="P4580" s="148" t="s">
        <v>68</v>
      </c>
      <c r="Q4580" s="103"/>
      <c r="R4580" s="103"/>
      <c r="S4580" s="103"/>
      <c r="T4580" s="103"/>
      <c r="U4580" s="148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1">
        <v>4575.0</v>
      </c>
      <c r="B4581" s="90" t="s">
        <v>7607</v>
      </c>
      <c r="C4581" s="82" t="str">
        <f>VLOOKUP($B$7:$B$5000,SUM!$L$6:$L$500,1,FALSE)</f>
        <v>#N/A</v>
      </c>
      <c r="D4581" s="190" t="s">
        <v>7518</v>
      </c>
      <c r="E4581" s="198" t="s">
        <v>58</v>
      </c>
      <c r="F4581" s="199" t="s">
        <v>593</v>
      </c>
      <c r="G4581" s="191" t="s">
        <v>7542</v>
      </c>
      <c r="H4581" s="199" t="s">
        <v>5808</v>
      </c>
      <c r="I4581" s="220" t="s">
        <v>7502</v>
      </c>
      <c r="J4581" s="103"/>
      <c r="K4581" s="103"/>
      <c r="L4581" s="148" t="s">
        <v>65</v>
      </c>
      <c r="M4581" s="148" t="s">
        <v>185</v>
      </c>
      <c r="N4581" s="255">
        <v>46197.0</v>
      </c>
      <c r="O4581" s="148" t="s">
        <v>67</v>
      </c>
      <c r="P4581" s="148" t="s">
        <v>68</v>
      </c>
      <c r="Q4581" s="103"/>
      <c r="R4581" s="103"/>
      <c r="S4581" s="103"/>
      <c r="T4581" s="103"/>
      <c r="U4581" s="148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1">
        <v>4576.0</v>
      </c>
      <c r="B4582" s="90" t="s">
        <v>7608</v>
      </c>
      <c r="C4582" s="82" t="str">
        <f>VLOOKUP($B$7:$B$5000,SUM!$L$6:$L$500,1,FALSE)</f>
        <v>#N/A</v>
      </c>
      <c r="D4582" s="190" t="s">
        <v>7518</v>
      </c>
      <c r="E4582" s="198" t="s">
        <v>58</v>
      </c>
      <c r="F4582" s="199" t="s">
        <v>593</v>
      </c>
      <c r="G4582" s="191" t="s">
        <v>7542</v>
      </c>
      <c r="H4582" s="199" t="s">
        <v>4634</v>
      </c>
      <c r="I4582" s="220" t="s">
        <v>7502</v>
      </c>
      <c r="J4582" s="103"/>
      <c r="K4582" s="103"/>
      <c r="L4582" s="148" t="s">
        <v>65</v>
      </c>
      <c r="M4582" s="148" t="s">
        <v>185</v>
      </c>
      <c r="N4582" s="255">
        <v>46197.0</v>
      </c>
      <c r="O4582" s="148" t="s">
        <v>67</v>
      </c>
      <c r="P4582" s="148" t="s">
        <v>68</v>
      </c>
      <c r="Q4582" s="103"/>
      <c r="R4582" s="103"/>
      <c r="S4582" s="103"/>
      <c r="T4582" s="103"/>
      <c r="U4582" s="148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1">
        <v>4577.0</v>
      </c>
      <c r="B4583" s="90" t="s">
        <v>7609</v>
      </c>
      <c r="C4583" s="82" t="str">
        <f>VLOOKUP($B$7:$B$5000,SUM!$L$6:$L$500,1,FALSE)</f>
        <v>#N/A</v>
      </c>
      <c r="D4583" s="190" t="s">
        <v>7518</v>
      </c>
      <c r="E4583" s="198" t="s">
        <v>58</v>
      </c>
      <c r="F4583" s="199" t="s">
        <v>593</v>
      </c>
      <c r="G4583" s="191" t="s">
        <v>7542</v>
      </c>
      <c r="H4583" s="199" t="s">
        <v>4636</v>
      </c>
      <c r="I4583" s="220" t="s">
        <v>7502</v>
      </c>
      <c r="J4583" s="103"/>
      <c r="K4583" s="103"/>
      <c r="L4583" s="148" t="s">
        <v>65</v>
      </c>
      <c r="M4583" s="148" t="s">
        <v>185</v>
      </c>
      <c r="N4583" s="255">
        <v>46197.0</v>
      </c>
      <c r="O4583" s="148" t="s">
        <v>67</v>
      </c>
      <c r="P4583" s="148" t="s">
        <v>68</v>
      </c>
      <c r="Q4583" s="103"/>
      <c r="R4583" s="103"/>
      <c r="S4583" s="103"/>
      <c r="T4583" s="103"/>
      <c r="U4583" s="148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1">
        <v>4578.0</v>
      </c>
      <c r="B4584" s="90" t="s">
        <v>7610</v>
      </c>
      <c r="C4584" s="82" t="str">
        <f>VLOOKUP($B$7:$B$5000,SUM!$L$6:$L$500,1,FALSE)</f>
        <v>#N/A</v>
      </c>
      <c r="D4584" s="190" t="s">
        <v>7518</v>
      </c>
      <c r="E4584" s="198" t="s">
        <v>58</v>
      </c>
      <c r="F4584" s="199" t="s">
        <v>593</v>
      </c>
      <c r="G4584" s="191" t="s">
        <v>7542</v>
      </c>
      <c r="H4584" s="199" t="s">
        <v>4638</v>
      </c>
      <c r="I4584" s="220" t="s">
        <v>7502</v>
      </c>
      <c r="J4584" s="103"/>
      <c r="K4584" s="103"/>
      <c r="L4584" s="148" t="s">
        <v>65</v>
      </c>
      <c r="M4584" s="148" t="s">
        <v>185</v>
      </c>
      <c r="N4584" s="255">
        <v>46197.0</v>
      </c>
      <c r="O4584" s="148" t="s">
        <v>67</v>
      </c>
      <c r="P4584" s="148" t="s">
        <v>68</v>
      </c>
      <c r="Q4584" s="103"/>
      <c r="R4584" s="103"/>
      <c r="S4584" s="103"/>
      <c r="T4584" s="103"/>
      <c r="U4584" s="148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1">
        <v>4579.0</v>
      </c>
      <c r="B4585" s="90" t="s">
        <v>7611</v>
      </c>
      <c r="C4585" s="82" t="str">
        <f>VLOOKUP($B$7:$B$5000,SUM!$L$6:$L$500,1,FALSE)</f>
        <v>#N/A</v>
      </c>
      <c r="D4585" s="190" t="s">
        <v>7518</v>
      </c>
      <c r="E4585" s="198" t="s">
        <v>58</v>
      </c>
      <c r="F4585" s="199" t="s">
        <v>593</v>
      </c>
      <c r="G4585" s="191" t="s">
        <v>7542</v>
      </c>
      <c r="H4585" s="199" t="s">
        <v>7612</v>
      </c>
      <c r="I4585" s="220" t="s">
        <v>7502</v>
      </c>
      <c r="J4585" s="103"/>
      <c r="K4585" s="103"/>
      <c r="L4585" s="148" t="s">
        <v>65</v>
      </c>
      <c r="M4585" s="148" t="s">
        <v>185</v>
      </c>
      <c r="N4585" s="255">
        <v>46197.0</v>
      </c>
      <c r="O4585" s="148" t="s">
        <v>67</v>
      </c>
      <c r="P4585" s="148" t="s">
        <v>68</v>
      </c>
      <c r="Q4585" s="103"/>
      <c r="R4585" s="103"/>
      <c r="S4585" s="103"/>
      <c r="T4585" s="103"/>
      <c r="U4585" s="148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1">
        <v>4580.0</v>
      </c>
      <c r="B4586" s="90" t="s">
        <v>7613</v>
      </c>
      <c r="C4586" s="82" t="str">
        <f>VLOOKUP($B$7:$B$5000,SUM!$L$6:$L$500,1,FALSE)</f>
        <v>#N/A</v>
      </c>
      <c r="D4586" s="190" t="s">
        <v>7518</v>
      </c>
      <c r="E4586" s="198" t="s">
        <v>58</v>
      </c>
      <c r="F4586" s="199" t="s">
        <v>593</v>
      </c>
      <c r="G4586" s="191" t="s">
        <v>7542</v>
      </c>
      <c r="H4586" s="199" t="s">
        <v>7614</v>
      </c>
      <c r="I4586" s="220" t="s">
        <v>7502</v>
      </c>
      <c r="J4586" s="103"/>
      <c r="K4586" s="103"/>
      <c r="L4586" s="148" t="s">
        <v>65</v>
      </c>
      <c r="M4586" s="148" t="s">
        <v>185</v>
      </c>
      <c r="N4586" s="255">
        <v>46197.0</v>
      </c>
      <c r="O4586" s="148" t="s">
        <v>67</v>
      </c>
      <c r="P4586" s="148" t="s">
        <v>68</v>
      </c>
      <c r="Q4586" s="103"/>
      <c r="R4586" s="103"/>
      <c r="S4586" s="103"/>
      <c r="T4586" s="103"/>
      <c r="U4586" s="148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1">
        <v>4581.0</v>
      </c>
      <c r="B4587" s="90" t="s">
        <v>7615</v>
      </c>
      <c r="C4587" s="82" t="str">
        <f>VLOOKUP($B$7:$B$5000,SUM!$L$6:$L$500,1,FALSE)</f>
        <v>#N/A</v>
      </c>
      <c r="D4587" s="190" t="s">
        <v>7518</v>
      </c>
      <c r="E4587" s="198" t="s">
        <v>58</v>
      </c>
      <c r="F4587" s="199" t="s">
        <v>593</v>
      </c>
      <c r="G4587" s="191" t="s">
        <v>7542</v>
      </c>
      <c r="H4587" s="199" t="s">
        <v>5850</v>
      </c>
      <c r="I4587" s="220" t="s">
        <v>7502</v>
      </c>
      <c r="J4587" s="103"/>
      <c r="K4587" s="103"/>
      <c r="L4587" s="148" t="s">
        <v>65</v>
      </c>
      <c r="M4587" s="148" t="s">
        <v>185</v>
      </c>
      <c r="N4587" s="255">
        <v>46197.0</v>
      </c>
      <c r="O4587" s="148" t="s">
        <v>67</v>
      </c>
      <c r="P4587" s="148" t="s">
        <v>68</v>
      </c>
      <c r="Q4587" s="103"/>
      <c r="R4587" s="103"/>
      <c r="S4587" s="103"/>
      <c r="T4587" s="103"/>
      <c r="U4587" s="148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1">
        <v>4582.0</v>
      </c>
      <c r="B4588" s="90" t="s">
        <v>7616</v>
      </c>
      <c r="C4588" s="82" t="str">
        <f>VLOOKUP($B$7:$B$5000,SUM!$L$6:$L$500,1,FALSE)</f>
        <v>#N/A</v>
      </c>
      <c r="D4588" s="190" t="s">
        <v>7518</v>
      </c>
      <c r="E4588" s="198" t="s">
        <v>58</v>
      </c>
      <c r="F4588" s="199" t="s">
        <v>593</v>
      </c>
      <c r="G4588" s="191" t="s">
        <v>7542</v>
      </c>
      <c r="H4588" s="199" t="s">
        <v>7617</v>
      </c>
      <c r="I4588" s="220" t="s">
        <v>7502</v>
      </c>
      <c r="J4588" s="103"/>
      <c r="K4588" s="103"/>
      <c r="L4588" s="148" t="s">
        <v>65</v>
      </c>
      <c r="M4588" s="148" t="s">
        <v>185</v>
      </c>
      <c r="N4588" s="255">
        <v>46197.0</v>
      </c>
      <c r="O4588" s="148" t="s">
        <v>67</v>
      </c>
      <c r="P4588" s="148" t="s">
        <v>68</v>
      </c>
      <c r="Q4588" s="103"/>
      <c r="R4588" s="103"/>
      <c r="S4588" s="103"/>
      <c r="T4588" s="103"/>
      <c r="U4588" s="148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1">
        <v>4583.0</v>
      </c>
      <c r="B4589" s="90" t="s">
        <v>7618</v>
      </c>
      <c r="C4589" s="82" t="str">
        <f>VLOOKUP($B$7:$B$5000,SUM!$L$6:$L$500,1,FALSE)</f>
        <v>#N/A</v>
      </c>
      <c r="D4589" s="190" t="s">
        <v>7518</v>
      </c>
      <c r="E4589" s="198" t="s">
        <v>58</v>
      </c>
      <c r="F4589" s="199" t="s">
        <v>593</v>
      </c>
      <c r="G4589" s="191" t="s">
        <v>7542</v>
      </c>
      <c r="H4589" s="199" t="s">
        <v>7619</v>
      </c>
      <c r="I4589" s="220" t="s">
        <v>7502</v>
      </c>
      <c r="J4589" s="103"/>
      <c r="K4589" s="103"/>
      <c r="L4589" s="148" t="s">
        <v>65</v>
      </c>
      <c r="M4589" s="148" t="s">
        <v>185</v>
      </c>
      <c r="N4589" s="255">
        <v>46197.0</v>
      </c>
      <c r="O4589" s="148" t="s">
        <v>67</v>
      </c>
      <c r="P4589" s="148" t="s">
        <v>68</v>
      </c>
      <c r="Q4589" s="103"/>
      <c r="R4589" s="103"/>
      <c r="S4589" s="103"/>
      <c r="T4589" s="103"/>
      <c r="U4589" s="148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1">
        <v>4584.0</v>
      </c>
      <c r="B4590" s="90" t="s">
        <v>7620</v>
      </c>
      <c r="C4590" s="82" t="str">
        <f>VLOOKUP($B$7:$B$5000,SUM!$L$6:$L$500,1,FALSE)</f>
        <v>#N/A</v>
      </c>
      <c r="D4590" s="190" t="s">
        <v>7518</v>
      </c>
      <c r="E4590" s="198" t="s">
        <v>58</v>
      </c>
      <c r="F4590" s="199" t="s">
        <v>593</v>
      </c>
      <c r="G4590" s="191" t="s">
        <v>7542</v>
      </c>
      <c r="H4590" s="199" t="s">
        <v>7621</v>
      </c>
      <c r="I4590" s="220" t="s">
        <v>7502</v>
      </c>
      <c r="J4590" s="103"/>
      <c r="K4590" s="103"/>
      <c r="L4590" s="148" t="s">
        <v>65</v>
      </c>
      <c r="M4590" s="148" t="s">
        <v>185</v>
      </c>
      <c r="N4590" s="255">
        <v>46197.0</v>
      </c>
      <c r="O4590" s="148" t="s">
        <v>67</v>
      </c>
      <c r="P4590" s="148" t="s">
        <v>68</v>
      </c>
      <c r="Q4590" s="103"/>
      <c r="R4590" s="103"/>
      <c r="S4590" s="103"/>
      <c r="T4590" s="103"/>
      <c r="U4590" s="148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1">
        <v>4585.0</v>
      </c>
      <c r="B4591" s="90" t="s">
        <v>7622</v>
      </c>
      <c r="C4591" s="82" t="str">
        <f>VLOOKUP($B$7:$B$5000,SUM!$L$6:$L$500,1,FALSE)</f>
        <v>#N/A</v>
      </c>
      <c r="D4591" s="190" t="s">
        <v>7518</v>
      </c>
      <c r="E4591" s="198" t="s">
        <v>58</v>
      </c>
      <c r="F4591" s="199" t="s">
        <v>593</v>
      </c>
      <c r="G4591" s="191" t="s">
        <v>7542</v>
      </c>
      <c r="H4591" s="199" t="s">
        <v>4640</v>
      </c>
      <c r="I4591" s="220" t="s">
        <v>7502</v>
      </c>
      <c r="J4591" s="103"/>
      <c r="K4591" s="103"/>
      <c r="L4591" s="148" t="s">
        <v>65</v>
      </c>
      <c r="M4591" s="148" t="s">
        <v>185</v>
      </c>
      <c r="N4591" s="255">
        <v>46197.0</v>
      </c>
      <c r="O4591" s="148" t="s">
        <v>67</v>
      </c>
      <c r="P4591" s="148" t="s">
        <v>68</v>
      </c>
      <c r="Q4591" s="103"/>
      <c r="R4591" s="103"/>
      <c r="S4591" s="103"/>
      <c r="T4591" s="103"/>
      <c r="U4591" s="148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1">
        <v>4586.0</v>
      </c>
      <c r="B4592" s="90" t="s">
        <v>7623</v>
      </c>
      <c r="C4592" s="82" t="str">
        <f>VLOOKUP($B$7:$B$5000,SUM!$L$6:$L$500,1,FALSE)</f>
        <v>#N/A</v>
      </c>
      <c r="D4592" s="190" t="s">
        <v>7518</v>
      </c>
      <c r="E4592" s="198" t="s">
        <v>58</v>
      </c>
      <c r="F4592" s="199" t="s">
        <v>593</v>
      </c>
      <c r="G4592" s="191" t="s">
        <v>7542</v>
      </c>
      <c r="H4592" s="199" t="s">
        <v>4642</v>
      </c>
      <c r="I4592" s="220" t="s">
        <v>7502</v>
      </c>
      <c r="J4592" s="103"/>
      <c r="K4592" s="103"/>
      <c r="L4592" s="148" t="s">
        <v>65</v>
      </c>
      <c r="M4592" s="148" t="s">
        <v>185</v>
      </c>
      <c r="N4592" s="255">
        <v>46197.0</v>
      </c>
      <c r="O4592" s="148" t="s">
        <v>67</v>
      </c>
      <c r="P4592" s="148" t="s">
        <v>68</v>
      </c>
      <c r="Q4592" s="103"/>
      <c r="R4592" s="103"/>
      <c r="S4592" s="103"/>
      <c r="T4592" s="103"/>
      <c r="U4592" s="148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1">
        <v>4587.0</v>
      </c>
      <c r="B4593" s="90" t="s">
        <v>7624</v>
      </c>
      <c r="C4593" s="82" t="str">
        <f>VLOOKUP($B$7:$B$5000,SUM!$L$6:$L$500,1,FALSE)</f>
        <v>#N/A</v>
      </c>
      <c r="D4593" s="190" t="s">
        <v>7518</v>
      </c>
      <c r="E4593" s="198" t="s">
        <v>58</v>
      </c>
      <c r="F4593" s="199" t="s">
        <v>593</v>
      </c>
      <c r="G4593" s="191" t="s">
        <v>7542</v>
      </c>
      <c r="H4593" s="199" t="s">
        <v>4644</v>
      </c>
      <c r="I4593" s="220" t="s">
        <v>7502</v>
      </c>
      <c r="J4593" s="103"/>
      <c r="K4593" s="103"/>
      <c r="L4593" s="148" t="s">
        <v>65</v>
      </c>
      <c r="M4593" s="148" t="s">
        <v>185</v>
      </c>
      <c r="N4593" s="255">
        <v>46197.0</v>
      </c>
      <c r="O4593" s="148" t="s">
        <v>67</v>
      </c>
      <c r="P4593" s="148" t="s">
        <v>68</v>
      </c>
      <c r="Q4593" s="103"/>
      <c r="R4593" s="103"/>
      <c r="S4593" s="103"/>
      <c r="T4593" s="103"/>
      <c r="U4593" s="148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1">
        <v>4588.0</v>
      </c>
      <c r="B4594" s="90" t="s">
        <v>7625</v>
      </c>
      <c r="C4594" s="82" t="str">
        <f>VLOOKUP($B$7:$B$5000,SUM!$L$6:$L$500,1,FALSE)</f>
        <v>#N/A</v>
      </c>
      <c r="D4594" s="190" t="s">
        <v>7170</v>
      </c>
      <c r="E4594" s="198" t="s">
        <v>58</v>
      </c>
      <c r="F4594" s="199" t="s">
        <v>4099</v>
      </c>
      <c r="G4594" s="191" t="s">
        <v>3272</v>
      </c>
      <c r="H4594" s="199" t="s">
        <v>7626</v>
      </c>
      <c r="I4594" s="197" t="s">
        <v>7172</v>
      </c>
      <c r="J4594" s="148" t="s">
        <v>63</v>
      </c>
      <c r="K4594" s="148" t="s">
        <v>64</v>
      </c>
      <c r="L4594" s="148" t="s">
        <v>65</v>
      </c>
      <c r="M4594" s="148" t="s">
        <v>66</v>
      </c>
      <c r="N4594" s="212">
        <v>46194.0</v>
      </c>
      <c r="O4594" s="148" t="s">
        <v>67</v>
      </c>
      <c r="P4594" s="148" t="s">
        <v>68</v>
      </c>
      <c r="Q4594" s="103"/>
      <c r="R4594" s="103"/>
      <c r="S4594" s="103"/>
      <c r="T4594" s="103"/>
      <c r="U4594" s="148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1">
        <v>4589.0</v>
      </c>
      <c r="B4595" s="90" t="s">
        <v>7627</v>
      </c>
      <c r="C4595" s="82" t="str">
        <f>VLOOKUP($B$7:$B$5000,SUM!$L$6:$L$500,1,FALSE)</f>
        <v>#N/A</v>
      </c>
      <c r="D4595" s="190" t="s">
        <v>7170</v>
      </c>
      <c r="E4595" s="198" t="s">
        <v>58</v>
      </c>
      <c r="F4595" s="199" t="s">
        <v>4099</v>
      </c>
      <c r="G4595" s="191" t="s">
        <v>3272</v>
      </c>
      <c r="H4595" s="199" t="s">
        <v>7628</v>
      </c>
      <c r="I4595" s="197" t="s">
        <v>7172</v>
      </c>
      <c r="J4595" s="148" t="s">
        <v>63</v>
      </c>
      <c r="K4595" s="148" t="s">
        <v>64</v>
      </c>
      <c r="L4595" s="148" t="s">
        <v>65</v>
      </c>
      <c r="M4595" s="148" t="s">
        <v>66</v>
      </c>
      <c r="N4595" s="212">
        <v>46194.0</v>
      </c>
      <c r="O4595" s="148" t="s">
        <v>67</v>
      </c>
      <c r="P4595" s="148" t="s">
        <v>68</v>
      </c>
      <c r="Q4595" s="103"/>
      <c r="R4595" s="103"/>
      <c r="S4595" s="103"/>
      <c r="T4595" s="103"/>
      <c r="U4595" s="148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1">
        <v>4590.0</v>
      </c>
      <c r="B4596" s="90" t="s">
        <v>7629</v>
      </c>
      <c r="C4596" s="82" t="str">
        <f>VLOOKUP($B$7:$B$5000,SUM!$L$6:$L$500,1,FALSE)</f>
        <v>#N/A</v>
      </c>
      <c r="D4596" s="190" t="s">
        <v>7170</v>
      </c>
      <c r="E4596" s="198" t="s">
        <v>58</v>
      </c>
      <c r="F4596" s="199" t="s">
        <v>4099</v>
      </c>
      <c r="G4596" s="191" t="s">
        <v>3272</v>
      </c>
      <c r="H4596" s="199" t="s">
        <v>7630</v>
      </c>
      <c r="I4596" s="197" t="s">
        <v>7172</v>
      </c>
      <c r="J4596" s="148" t="s">
        <v>63</v>
      </c>
      <c r="K4596" s="148" t="s">
        <v>64</v>
      </c>
      <c r="L4596" s="148" t="s">
        <v>65</v>
      </c>
      <c r="M4596" s="148" t="s">
        <v>66</v>
      </c>
      <c r="N4596" s="212">
        <v>46194.0</v>
      </c>
      <c r="O4596" s="148" t="s">
        <v>67</v>
      </c>
      <c r="P4596" s="148" t="s">
        <v>68</v>
      </c>
      <c r="Q4596" s="103"/>
      <c r="R4596" s="103"/>
      <c r="S4596" s="103"/>
      <c r="T4596" s="103"/>
      <c r="U4596" s="148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1">
        <v>4591.0</v>
      </c>
      <c r="B4597" s="90" t="s">
        <v>7631</v>
      </c>
      <c r="C4597" s="82" t="str">
        <f>VLOOKUP($B$7:$B$5000,SUM!$L$6:$L$500,1,FALSE)</f>
        <v>#N/A</v>
      </c>
      <c r="D4597" s="190" t="s">
        <v>7170</v>
      </c>
      <c r="E4597" s="198" t="s">
        <v>58</v>
      </c>
      <c r="F4597" s="199" t="s">
        <v>4099</v>
      </c>
      <c r="G4597" s="191" t="s">
        <v>3272</v>
      </c>
      <c r="H4597" s="199" t="s">
        <v>7632</v>
      </c>
      <c r="I4597" s="197" t="s">
        <v>7172</v>
      </c>
      <c r="J4597" s="148" t="s">
        <v>63</v>
      </c>
      <c r="K4597" s="148" t="s">
        <v>64</v>
      </c>
      <c r="L4597" s="148" t="s">
        <v>65</v>
      </c>
      <c r="M4597" s="148" t="s">
        <v>66</v>
      </c>
      <c r="N4597" s="212">
        <v>46194.0</v>
      </c>
      <c r="O4597" s="148" t="s">
        <v>67</v>
      </c>
      <c r="P4597" s="148" t="s">
        <v>68</v>
      </c>
      <c r="Q4597" s="103"/>
      <c r="R4597" s="103"/>
      <c r="S4597" s="103"/>
      <c r="T4597" s="103"/>
      <c r="U4597" s="148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1">
        <v>4592.0</v>
      </c>
      <c r="B4598" s="90" t="s">
        <v>7633</v>
      </c>
      <c r="C4598" s="82" t="str">
        <f>VLOOKUP($B$7:$B$5000,SUM!$L$6:$L$500,1,FALSE)</f>
        <v>#N/A</v>
      </c>
      <c r="D4598" s="190" t="s">
        <v>7170</v>
      </c>
      <c r="E4598" s="198" t="s">
        <v>58</v>
      </c>
      <c r="F4598" s="199" t="s">
        <v>4099</v>
      </c>
      <c r="G4598" s="191" t="s">
        <v>3272</v>
      </c>
      <c r="H4598" s="199" t="s">
        <v>7634</v>
      </c>
      <c r="I4598" s="197" t="s">
        <v>7172</v>
      </c>
      <c r="J4598" s="148" t="s">
        <v>63</v>
      </c>
      <c r="K4598" s="148" t="s">
        <v>64</v>
      </c>
      <c r="L4598" s="148" t="s">
        <v>65</v>
      </c>
      <c r="M4598" s="148" t="s">
        <v>66</v>
      </c>
      <c r="N4598" s="212">
        <v>46194.0</v>
      </c>
      <c r="O4598" s="148" t="s">
        <v>67</v>
      </c>
      <c r="P4598" s="148" t="s">
        <v>68</v>
      </c>
      <c r="Q4598" s="103"/>
      <c r="R4598" s="103"/>
      <c r="S4598" s="103"/>
      <c r="T4598" s="103"/>
      <c r="U4598" s="148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1">
        <v>4593.0</v>
      </c>
      <c r="B4599" s="90" t="s">
        <v>7635</v>
      </c>
      <c r="C4599" s="82" t="str">
        <f>VLOOKUP($B$7:$B$5000,SUM!$L$6:$L$500,1,FALSE)</f>
        <v>#N/A</v>
      </c>
      <c r="D4599" s="190" t="s">
        <v>7170</v>
      </c>
      <c r="E4599" s="198" t="s">
        <v>58</v>
      </c>
      <c r="F4599" s="199" t="s">
        <v>4099</v>
      </c>
      <c r="G4599" s="191" t="s">
        <v>3272</v>
      </c>
      <c r="H4599" s="199" t="s">
        <v>7636</v>
      </c>
      <c r="I4599" s="197" t="s">
        <v>7172</v>
      </c>
      <c r="J4599" s="148" t="s">
        <v>63</v>
      </c>
      <c r="K4599" s="148" t="s">
        <v>64</v>
      </c>
      <c r="L4599" s="148" t="s">
        <v>65</v>
      </c>
      <c r="M4599" s="148" t="s">
        <v>66</v>
      </c>
      <c r="N4599" s="212">
        <v>46194.0</v>
      </c>
      <c r="O4599" s="148" t="s">
        <v>67</v>
      </c>
      <c r="P4599" s="148" t="s">
        <v>68</v>
      </c>
      <c r="Q4599" s="103"/>
      <c r="R4599" s="103"/>
      <c r="S4599" s="103"/>
      <c r="T4599" s="103"/>
      <c r="U4599" s="148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1">
        <v>4594.0</v>
      </c>
      <c r="B4600" s="90" t="s">
        <v>7637</v>
      </c>
      <c r="C4600" s="82" t="str">
        <f>VLOOKUP($B$7:$B$5000,SUM!$L$6:$L$500,1,FALSE)</f>
        <v>#N/A</v>
      </c>
      <c r="D4600" s="190" t="s">
        <v>7518</v>
      </c>
      <c r="E4600" s="198" t="s">
        <v>58</v>
      </c>
      <c r="F4600" s="199" t="s">
        <v>593</v>
      </c>
      <c r="G4600" s="191" t="s">
        <v>7542</v>
      </c>
      <c r="H4600" s="199" t="s">
        <v>7638</v>
      </c>
      <c r="I4600" s="220" t="s">
        <v>7502</v>
      </c>
      <c r="J4600" s="103"/>
      <c r="K4600" s="103"/>
      <c r="L4600" s="148" t="s">
        <v>65</v>
      </c>
      <c r="M4600" s="148" t="s">
        <v>185</v>
      </c>
      <c r="N4600" s="255">
        <v>46197.0</v>
      </c>
      <c r="O4600" s="148" t="s">
        <v>67</v>
      </c>
      <c r="P4600" s="148" t="s">
        <v>68</v>
      </c>
      <c r="Q4600" s="103"/>
      <c r="R4600" s="103"/>
      <c r="S4600" s="103"/>
      <c r="T4600" s="103"/>
      <c r="U4600" s="148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1">
        <v>4595.0</v>
      </c>
      <c r="B4601" s="90" t="s">
        <v>7639</v>
      </c>
      <c r="C4601" s="82" t="str">
        <f>VLOOKUP($B$7:$B$5000,SUM!$L$6:$L$500,1,FALSE)</f>
        <v>#N/A</v>
      </c>
      <c r="D4601" s="190" t="s">
        <v>7518</v>
      </c>
      <c r="E4601" s="198" t="s">
        <v>58</v>
      </c>
      <c r="F4601" s="199" t="s">
        <v>593</v>
      </c>
      <c r="G4601" s="191" t="s">
        <v>7542</v>
      </c>
      <c r="H4601" s="199" t="s">
        <v>7640</v>
      </c>
      <c r="I4601" s="220" t="s">
        <v>7502</v>
      </c>
      <c r="J4601" s="103"/>
      <c r="K4601" s="103"/>
      <c r="L4601" s="148" t="s">
        <v>65</v>
      </c>
      <c r="M4601" s="148" t="s">
        <v>185</v>
      </c>
      <c r="N4601" s="255">
        <v>46197.0</v>
      </c>
      <c r="O4601" s="148" t="s">
        <v>67</v>
      </c>
      <c r="P4601" s="148" t="s">
        <v>68</v>
      </c>
      <c r="Q4601" s="103"/>
      <c r="R4601" s="103"/>
      <c r="S4601" s="103"/>
      <c r="T4601" s="103"/>
      <c r="U4601" s="148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1">
        <v>4596.0</v>
      </c>
      <c r="B4602" s="90" t="s">
        <v>7641</v>
      </c>
      <c r="C4602" s="82" t="str">
        <f>VLOOKUP($B$7:$B$5000,SUM!$L$6:$L$500,1,FALSE)</f>
        <v>#N/A</v>
      </c>
      <c r="D4602" s="190" t="s">
        <v>7518</v>
      </c>
      <c r="E4602" s="198" t="s">
        <v>58</v>
      </c>
      <c r="F4602" s="199" t="s">
        <v>593</v>
      </c>
      <c r="G4602" s="191" t="s">
        <v>7542</v>
      </c>
      <c r="H4602" s="199" t="s">
        <v>5868</v>
      </c>
      <c r="I4602" s="220" t="s">
        <v>7502</v>
      </c>
      <c r="J4602" s="103"/>
      <c r="K4602" s="103"/>
      <c r="L4602" s="148" t="s">
        <v>65</v>
      </c>
      <c r="M4602" s="148" t="s">
        <v>185</v>
      </c>
      <c r="N4602" s="255">
        <v>46197.0</v>
      </c>
      <c r="O4602" s="148" t="s">
        <v>67</v>
      </c>
      <c r="P4602" s="148" t="s">
        <v>68</v>
      </c>
      <c r="Q4602" s="103"/>
      <c r="R4602" s="103"/>
      <c r="S4602" s="103"/>
      <c r="T4602" s="103"/>
      <c r="U4602" s="148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1">
        <v>4597.0</v>
      </c>
      <c r="B4603" s="90" t="s">
        <v>7642</v>
      </c>
      <c r="C4603" s="82" t="str">
        <f>VLOOKUP($B$7:$B$5000,SUM!$L$6:$L$500,1,FALSE)</f>
        <v>#N/A</v>
      </c>
      <c r="D4603" s="190" t="s">
        <v>7518</v>
      </c>
      <c r="E4603" s="198" t="s">
        <v>58</v>
      </c>
      <c r="F4603" s="199" t="s">
        <v>593</v>
      </c>
      <c r="G4603" s="191" t="s">
        <v>7542</v>
      </c>
      <c r="H4603" s="199" t="s">
        <v>5870</v>
      </c>
      <c r="I4603" s="220" t="s">
        <v>7502</v>
      </c>
      <c r="J4603" s="103"/>
      <c r="K4603" s="103"/>
      <c r="L4603" s="148" t="s">
        <v>65</v>
      </c>
      <c r="M4603" s="148" t="s">
        <v>185</v>
      </c>
      <c r="N4603" s="255">
        <v>46197.0</v>
      </c>
      <c r="O4603" s="148" t="s">
        <v>67</v>
      </c>
      <c r="P4603" s="148" t="s">
        <v>68</v>
      </c>
      <c r="Q4603" s="103"/>
      <c r="R4603" s="103"/>
      <c r="S4603" s="103"/>
      <c r="T4603" s="103"/>
      <c r="U4603" s="148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1">
        <v>4598.0</v>
      </c>
      <c r="B4604" s="90" t="s">
        <v>7643</v>
      </c>
      <c r="C4604" s="82" t="str">
        <f>VLOOKUP($B$7:$B$5000,SUM!$L$6:$L$500,1,FALSE)</f>
        <v>#N/A</v>
      </c>
      <c r="D4604" s="190" t="s">
        <v>7518</v>
      </c>
      <c r="E4604" s="198" t="s">
        <v>58</v>
      </c>
      <c r="F4604" s="199" t="s">
        <v>593</v>
      </c>
      <c r="G4604" s="191" t="s">
        <v>7542</v>
      </c>
      <c r="H4604" s="199" t="s">
        <v>5872</v>
      </c>
      <c r="I4604" s="220" t="s">
        <v>7502</v>
      </c>
      <c r="J4604" s="103"/>
      <c r="K4604" s="103"/>
      <c r="L4604" s="148" t="s">
        <v>65</v>
      </c>
      <c r="M4604" s="148" t="s">
        <v>185</v>
      </c>
      <c r="N4604" s="255">
        <v>46197.0</v>
      </c>
      <c r="O4604" s="148" t="s">
        <v>67</v>
      </c>
      <c r="P4604" s="148" t="s">
        <v>68</v>
      </c>
      <c r="Q4604" s="103"/>
      <c r="R4604" s="103"/>
      <c r="S4604" s="103"/>
      <c r="T4604" s="103"/>
      <c r="U4604" s="148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1">
        <v>4599.0</v>
      </c>
      <c r="B4605" s="90" t="s">
        <v>7644</v>
      </c>
      <c r="C4605" s="82" t="str">
        <f>VLOOKUP($B$7:$B$5000,SUM!$L$6:$L$500,1,FALSE)</f>
        <v>#N/A</v>
      </c>
      <c r="D4605" s="190" t="s">
        <v>7518</v>
      </c>
      <c r="E4605" s="198" t="s">
        <v>58</v>
      </c>
      <c r="F4605" s="199" t="s">
        <v>593</v>
      </c>
      <c r="G4605" s="191" t="s">
        <v>7542</v>
      </c>
      <c r="H4605" s="199" t="s">
        <v>5874</v>
      </c>
      <c r="I4605" s="220" t="s">
        <v>7502</v>
      </c>
      <c r="J4605" s="103"/>
      <c r="K4605" s="103"/>
      <c r="L4605" s="148" t="s">
        <v>65</v>
      </c>
      <c r="M4605" s="148" t="s">
        <v>185</v>
      </c>
      <c r="N4605" s="255">
        <v>46197.0</v>
      </c>
      <c r="O4605" s="148" t="s">
        <v>67</v>
      </c>
      <c r="P4605" s="148" t="s">
        <v>68</v>
      </c>
      <c r="Q4605" s="103"/>
      <c r="R4605" s="103"/>
      <c r="S4605" s="103"/>
      <c r="T4605" s="103"/>
      <c r="U4605" s="148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1">
        <v>4600.0</v>
      </c>
      <c r="B4606" s="90" t="s">
        <v>7645</v>
      </c>
      <c r="C4606" s="82" t="str">
        <f>VLOOKUP($B$7:$B$5000,SUM!$L$6:$L$500,1,FALSE)</f>
        <v>#N/A</v>
      </c>
      <c r="D4606" s="190" t="s">
        <v>7518</v>
      </c>
      <c r="E4606" s="198" t="s">
        <v>58</v>
      </c>
      <c r="F4606" s="199" t="s">
        <v>593</v>
      </c>
      <c r="G4606" s="191" t="s">
        <v>7542</v>
      </c>
      <c r="H4606" s="199" t="s">
        <v>5876</v>
      </c>
      <c r="I4606" s="220" t="s">
        <v>7502</v>
      </c>
      <c r="J4606" s="103"/>
      <c r="K4606" s="103"/>
      <c r="L4606" s="148" t="s">
        <v>65</v>
      </c>
      <c r="M4606" s="148" t="s">
        <v>185</v>
      </c>
      <c r="N4606" s="255">
        <v>46197.0</v>
      </c>
      <c r="O4606" s="148" t="s">
        <v>67</v>
      </c>
      <c r="P4606" s="148" t="s">
        <v>68</v>
      </c>
      <c r="Q4606" s="103"/>
      <c r="R4606" s="103"/>
      <c r="S4606" s="103"/>
      <c r="T4606" s="103"/>
      <c r="U4606" s="148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1">
        <v>4601.0</v>
      </c>
      <c r="B4607" s="90" t="s">
        <v>7646</v>
      </c>
      <c r="C4607" s="82" t="str">
        <f>VLOOKUP($B$7:$B$5000,SUM!$L$6:$L$500,1,FALSE)</f>
        <v>#N/A</v>
      </c>
      <c r="D4607" s="190" t="s">
        <v>7518</v>
      </c>
      <c r="E4607" s="198" t="s">
        <v>58</v>
      </c>
      <c r="F4607" s="199" t="s">
        <v>593</v>
      </c>
      <c r="G4607" s="191" t="s">
        <v>7542</v>
      </c>
      <c r="H4607" s="199" t="s">
        <v>7647</v>
      </c>
      <c r="I4607" s="220" t="s">
        <v>7502</v>
      </c>
      <c r="J4607" s="103"/>
      <c r="K4607" s="103"/>
      <c r="L4607" s="148" t="s">
        <v>65</v>
      </c>
      <c r="M4607" s="148" t="s">
        <v>185</v>
      </c>
      <c r="N4607" s="255">
        <v>46197.0</v>
      </c>
      <c r="O4607" s="148" t="s">
        <v>67</v>
      </c>
      <c r="P4607" s="148" t="s">
        <v>68</v>
      </c>
      <c r="Q4607" s="103"/>
      <c r="R4607" s="103"/>
      <c r="S4607" s="103"/>
      <c r="T4607" s="103"/>
      <c r="U4607" s="148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1">
        <v>4602.0</v>
      </c>
      <c r="B4608" s="90" t="s">
        <v>7648</v>
      </c>
      <c r="C4608" s="82" t="str">
        <f>VLOOKUP($B$7:$B$5000,SUM!$L$6:$L$500,1,FALSE)</f>
        <v>#N/A</v>
      </c>
      <c r="D4608" s="190" t="s">
        <v>7518</v>
      </c>
      <c r="E4608" s="198" t="s">
        <v>58</v>
      </c>
      <c r="F4608" s="199" t="s">
        <v>593</v>
      </c>
      <c r="G4608" s="191" t="s">
        <v>7542</v>
      </c>
      <c r="H4608" s="199" t="s">
        <v>5878</v>
      </c>
      <c r="I4608" s="220" t="s">
        <v>7502</v>
      </c>
      <c r="J4608" s="103"/>
      <c r="K4608" s="103"/>
      <c r="L4608" s="148" t="s">
        <v>65</v>
      </c>
      <c r="M4608" s="148" t="s">
        <v>185</v>
      </c>
      <c r="N4608" s="255">
        <v>46197.0</v>
      </c>
      <c r="O4608" s="148" t="s">
        <v>67</v>
      </c>
      <c r="P4608" s="148" t="s">
        <v>68</v>
      </c>
      <c r="Q4608" s="103"/>
      <c r="R4608" s="103"/>
      <c r="S4608" s="103"/>
      <c r="T4608" s="103"/>
      <c r="U4608" s="148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1">
        <v>4603.0</v>
      </c>
      <c r="B4609" s="90" t="s">
        <v>7649</v>
      </c>
      <c r="C4609" s="82" t="str">
        <f>VLOOKUP($B$7:$B$5000,SUM!$L$6:$L$500,1,FALSE)</f>
        <v>#N/A</v>
      </c>
      <c r="D4609" s="190" t="s">
        <v>7518</v>
      </c>
      <c r="E4609" s="198" t="s">
        <v>58</v>
      </c>
      <c r="F4609" s="199" t="s">
        <v>593</v>
      </c>
      <c r="G4609" s="191" t="s">
        <v>7542</v>
      </c>
      <c r="H4609" s="199" t="s">
        <v>5880</v>
      </c>
      <c r="I4609" s="220" t="s">
        <v>7502</v>
      </c>
      <c r="J4609" s="103"/>
      <c r="K4609" s="103"/>
      <c r="L4609" s="148" t="s">
        <v>65</v>
      </c>
      <c r="M4609" s="148" t="s">
        <v>185</v>
      </c>
      <c r="N4609" s="255">
        <v>46197.0</v>
      </c>
      <c r="O4609" s="148" t="s">
        <v>67</v>
      </c>
      <c r="P4609" s="148" t="s">
        <v>68</v>
      </c>
      <c r="Q4609" s="103"/>
      <c r="R4609" s="103"/>
      <c r="S4609" s="103"/>
      <c r="T4609" s="103"/>
      <c r="U4609" s="148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1">
        <v>4604.0</v>
      </c>
      <c r="B4610" s="90" t="s">
        <v>7650</v>
      </c>
      <c r="C4610" s="82" t="str">
        <f>VLOOKUP($B$7:$B$5000,SUM!$L$6:$L$500,1,FALSE)</f>
        <v>#N/A</v>
      </c>
      <c r="D4610" s="190" t="s">
        <v>7518</v>
      </c>
      <c r="E4610" s="198" t="s">
        <v>58</v>
      </c>
      <c r="F4610" s="199" t="s">
        <v>593</v>
      </c>
      <c r="G4610" s="191" t="s">
        <v>7542</v>
      </c>
      <c r="H4610" s="199" t="s">
        <v>7651</v>
      </c>
      <c r="I4610" s="220" t="s">
        <v>7502</v>
      </c>
      <c r="J4610" s="103"/>
      <c r="K4610" s="103"/>
      <c r="L4610" s="148" t="s">
        <v>65</v>
      </c>
      <c r="M4610" s="148" t="s">
        <v>185</v>
      </c>
      <c r="N4610" s="255">
        <v>46197.0</v>
      </c>
      <c r="O4610" s="148" t="s">
        <v>67</v>
      </c>
      <c r="P4610" s="148" t="s">
        <v>68</v>
      </c>
      <c r="Q4610" s="103"/>
      <c r="R4610" s="103"/>
      <c r="S4610" s="103"/>
      <c r="T4610" s="103"/>
      <c r="U4610" s="148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1">
        <v>4605.0</v>
      </c>
      <c r="B4611" s="90" t="s">
        <v>7652</v>
      </c>
      <c r="C4611" s="82" t="str">
        <f>VLOOKUP($B$7:$B$5000,SUM!$L$6:$L$500,1,FALSE)</f>
        <v>#N/A</v>
      </c>
      <c r="D4611" s="190" t="s">
        <v>7518</v>
      </c>
      <c r="E4611" s="198" t="s">
        <v>58</v>
      </c>
      <c r="F4611" s="199" t="s">
        <v>593</v>
      </c>
      <c r="G4611" s="191" t="s">
        <v>7542</v>
      </c>
      <c r="H4611" s="199" t="s">
        <v>7653</v>
      </c>
      <c r="I4611" s="220" t="s">
        <v>7502</v>
      </c>
      <c r="J4611" s="103"/>
      <c r="K4611" s="103"/>
      <c r="L4611" s="148" t="s">
        <v>65</v>
      </c>
      <c r="M4611" s="148" t="s">
        <v>185</v>
      </c>
      <c r="N4611" s="255">
        <v>46197.0</v>
      </c>
      <c r="O4611" s="148" t="s">
        <v>67</v>
      </c>
      <c r="P4611" s="148" t="s">
        <v>68</v>
      </c>
      <c r="Q4611" s="103"/>
      <c r="R4611" s="103"/>
      <c r="S4611" s="103"/>
      <c r="T4611" s="103"/>
      <c r="U4611" s="148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1">
        <v>4606.0</v>
      </c>
      <c r="B4612" s="90" t="s">
        <v>7654</v>
      </c>
      <c r="C4612" s="82" t="str">
        <f>VLOOKUP($B$7:$B$5000,SUM!$L$6:$L$500,1,FALSE)</f>
        <v>#N/A</v>
      </c>
      <c r="D4612" s="190" t="s">
        <v>7518</v>
      </c>
      <c r="E4612" s="198" t="s">
        <v>58</v>
      </c>
      <c r="F4612" s="199" t="s">
        <v>593</v>
      </c>
      <c r="G4612" s="191" t="s">
        <v>7542</v>
      </c>
      <c r="H4612" s="199" t="s">
        <v>7655</v>
      </c>
      <c r="I4612" s="220" t="s">
        <v>7502</v>
      </c>
      <c r="J4612" s="103"/>
      <c r="K4612" s="103"/>
      <c r="L4612" s="148" t="s">
        <v>65</v>
      </c>
      <c r="M4612" s="148" t="s">
        <v>185</v>
      </c>
      <c r="N4612" s="255">
        <v>46197.0</v>
      </c>
      <c r="O4612" s="148" t="s">
        <v>67</v>
      </c>
      <c r="P4612" s="148" t="s">
        <v>68</v>
      </c>
      <c r="Q4612" s="103"/>
      <c r="R4612" s="103"/>
      <c r="S4612" s="103"/>
      <c r="T4612" s="103"/>
      <c r="U4612" s="148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1">
        <v>4607.0</v>
      </c>
      <c r="B4613" s="90" t="s">
        <v>7656</v>
      </c>
      <c r="C4613" s="82" t="str">
        <f>VLOOKUP($B$7:$B$5000,SUM!$L$6:$L$500,1,FALSE)</f>
        <v>#N/A</v>
      </c>
      <c r="D4613" s="190" t="s">
        <v>7518</v>
      </c>
      <c r="E4613" s="198" t="s">
        <v>58</v>
      </c>
      <c r="F4613" s="199" t="s">
        <v>593</v>
      </c>
      <c r="G4613" s="191" t="s">
        <v>7542</v>
      </c>
      <c r="H4613" s="199" t="s">
        <v>7657</v>
      </c>
      <c r="I4613" s="220" t="s">
        <v>7502</v>
      </c>
      <c r="J4613" s="103"/>
      <c r="K4613" s="103"/>
      <c r="L4613" s="148" t="s">
        <v>65</v>
      </c>
      <c r="M4613" s="148" t="s">
        <v>185</v>
      </c>
      <c r="N4613" s="255">
        <v>46197.0</v>
      </c>
      <c r="O4613" s="148" t="s">
        <v>67</v>
      </c>
      <c r="P4613" s="148" t="s">
        <v>68</v>
      </c>
      <c r="Q4613" s="103"/>
      <c r="R4613" s="103"/>
      <c r="S4613" s="103"/>
      <c r="T4613" s="103"/>
      <c r="U4613" s="148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1">
        <v>4608.0</v>
      </c>
      <c r="B4614" s="90" t="s">
        <v>7658</v>
      </c>
      <c r="C4614" s="82" t="str">
        <f>VLOOKUP($B$7:$B$5000,SUM!$L$6:$L$500,1,FALSE)</f>
        <v>#N/A</v>
      </c>
      <c r="D4614" s="190" t="s">
        <v>7518</v>
      </c>
      <c r="E4614" s="198" t="s">
        <v>58</v>
      </c>
      <c r="F4614" s="199" t="s">
        <v>593</v>
      </c>
      <c r="G4614" s="191" t="s">
        <v>7542</v>
      </c>
      <c r="H4614" s="199" t="s">
        <v>7659</v>
      </c>
      <c r="I4614" s="220" t="s">
        <v>7502</v>
      </c>
      <c r="J4614" s="103"/>
      <c r="K4614" s="103"/>
      <c r="L4614" s="148" t="s">
        <v>65</v>
      </c>
      <c r="M4614" s="148" t="s">
        <v>185</v>
      </c>
      <c r="N4614" s="255">
        <v>46197.0</v>
      </c>
      <c r="O4614" s="148" t="s">
        <v>67</v>
      </c>
      <c r="P4614" s="148" t="s">
        <v>68</v>
      </c>
      <c r="Q4614" s="103"/>
      <c r="R4614" s="103"/>
      <c r="S4614" s="103"/>
      <c r="T4614" s="103"/>
      <c r="U4614" s="148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1">
        <v>4609.0</v>
      </c>
      <c r="B4615" s="90" t="s">
        <v>7660</v>
      </c>
      <c r="C4615" s="82" t="str">
        <f>VLOOKUP($B$7:$B$5000,SUM!$L$6:$L$500,1,FALSE)</f>
        <v>#N/A</v>
      </c>
      <c r="D4615" s="190" t="s">
        <v>7518</v>
      </c>
      <c r="E4615" s="198" t="s">
        <v>58</v>
      </c>
      <c r="F4615" s="199" t="s">
        <v>593</v>
      </c>
      <c r="G4615" s="191" t="s">
        <v>7542</v>
      </c>
      <c r="H4615" s="199" t="s">
        <v>5883</v>
      </c>
      <c r="I4615" s="220" t="s">
        <v>7502</v>
      </c>
      <c r="J4615" s="103"/>
      <c r="K4615" s="103"/>
      <c r="L4615" s="148" t="s">
        <v>65</v>
      </c>
      <c r="M4615" s="148" t="s">
        <v>185</v>
      </c>
      <c r="N4615" s="255">
        <v>46197.0</v>
      </c>
      <c r="O4615" s="148" t="s">
        <v>67</v>
      </c>
      <c r="P4615" s="148" t="s">
        <v>68</v>
      </c>
      <c r="Q4615" s="103"/>
      <c r="R4615" s="103"/>
      <c r="S4615" s="103"/>
      <c r="T4615" s="103"/>
      <c r="U4615" s="148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1">
        <v>4610.0</v>
      </c>
      <c r="B4616" s="90" t="s">
        <v>7661</v>
      </c>
      <c r="C4616" s="82" t="str">
        <f>VLOOKUP($B$7:$B$5000,SUM!$L$6:$L$500,1,FALSE)</f>
        <v>#N/A</v>
      </c>
      <c r="D4616" s="190" t="s">
        <v>7518</v>
      </c>
      <c r="E4616" s="198" t="s">
        <v>58</v>
      </c>
      <c r="F4616" s="199" t="s">
        <v>593</v>
      </c>
      <c r="G4616" s="191" t="s">
        <v>7542</v>
      </c>
      <c r="H4616" s="199" t="s">
        <v>5885</v>
      </c>
      <c r="I4616" s="220" t="s">
        <v>7502</v>
      </c>
      <c r="J4616" s="103"/>
      <c r="K4616" s="103"/>
      <c r="L4616" s="148" t="s">
        <v>65</v>
      </c>
      <c r="M4616" s="148" t="s">
        <v>185</v>
      </c>
      <c r="N4616" s="255">
        <v>46197.0</v>
      </c>
      <c r="O4616" s="148" t="s">
        <v>67</v>
      </c>
      <c r="P4616" s="148" t="s">
        <v>68</v>
      </c>
      <c r="Q4616" s="103"/>
      <c r="R4616" s="103"/>
      <c r="S4616" s="103"/>
      <c r="T4616" s="103"/>
      <c r="U4616" s="148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1">
        <v>4611.0</v>
      </c>
      <c r="B4617" s="90" t="s">
        <v>7662</v>
      </c>
      <c r="C4617" s="82" t="str">
        <f>VLOOKUP($B$7:$B$5000,SUM!$L$6:$L$500,1,FALSE)</f>
        <v>#N/A</v>
      </c>
      <c r="D4617" s="190" t="s">
        <v>7518</v>
      </c>
      <c r="E4617" s="198" t="s">
        <v>58</v>
      </c>
      <c r="F4617" s="199" t="s">
        <v>593</v>
      </c>
      <c r="G4617" s="191" t="s">
        <v>7542</v>
      </c>
      <c r="H4617" s="199" t="s">
        <v>5887</v>
      </c>
      <c r="I4617" s="220" t="s">
        <v>7502</v>
      </c>
      <c r="J4617" s="103"/>
      <c r="K4617" s="103"/>
      <c r="L4617" s="148" t="s">
        <v>65</v>
      </c>
      <c r="M4617" s="148" t="s">
        <v>185</v>
      </c>
      <c r="N4617" s="255">
        <v>46197.0</v>
      </c>
      <c r="O4617" s="148" t="s">
        <v>67</v>
      </c>
      <c r="P4617" s="148" t="s">
        <v>68</v>
      </c>
      <c r="Q4617" s="103"/>
      <c r="R4617" s="103"/>
      <c r="S4617" s="103"/>
      <c r="T4617" s="103"/>
      <c r="U4617" s="148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1">
        <v>4612.0</v>
      </c>
      <c r="B4618" s="90" t="s">
        <v>7663</v>
      </c>
      <c r="C4618" s="82" t="str">
        <f>VLOOKUP($B$7:$B$5000,SUM!$L$6:$L$500,1,FALSE)</f>
        <v>#N/A</v>
      </c>
      <c r="D4618" s="190" t="s">
        <v>7518</v>
      </c>
      <c r="E4618" s="198" t="s">
        <v>58</v>
      </c>
      <c r="F4618" s="199" t="s">
        <v>593</v>
      </c>
      <c r="G4618" s="191" t="s">
        <v>7542</v>
      </c>
      <c r="H4618" s="199" t="s">
        <v>5889</v>
      </c>
      <c r="I4618" s="220" t="s">
        <v>7502</v>
      </c>
      <c r="J4618" s="103"/>
      <c r="K4618" s="103"/>
      <c r="L4618" s="148" t="s">
        <v>65</v>
      </c>
      <c r="M4618" s="148" t="s">
        <v>185</v>
      </c>
      <c r="N4618" s="255">
        <v>46197.0</v>
      </c>
      <c r="O4618" s="148" t="s">
        <v>67</v>
      </c>
      <c r="P4618" s="148" t="s">
        <v>68</v>
      </c>
      <c r="Q4618" s="103"/>
      <c r="R4618" s="103"/>
      <c r="S4618" s="103"/>
      <c r="T4618" s="103"/>
      <c r="U4618" s="148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1">
        <v>4613.0</v>
      </c>
      <c r="B4619" s="90" t="s">
        <v>7664</v>
      </c>
      <c r="C4619" s="82" t="str">
        <f>VLOOKUP($B$7:$B$5000,SUM!$L$6:$L$500,1,FALSE)</f>
        <v>#N/A</v>
      </c>
      <c r="D4619" s="190" t="s">
        <v>7518</v>
      </c>
      <c r="E4619" s="198" t="s">
        <v>58</v>
      </c>
      <c r="F4619" s="199" t="s">
        <v>593</v>
      </c>
      <c r="G4619" s="191" t="s">
        <v>7542</v>
      </c>
      <c r="H4619" s="199" t="s">
        <v>7665</v>
      </c>
      <c r="I4619" s="220" t="s">
        <v>7502</v>
      </c>
      <c r="J4619" s="103"/>
      <c r="K4619" s="103"/>
      <c r="L4619" s="148" t="s">
        <v>65</v>
      </c>
      <c r="M4619" s="148" t="s">
        <v>185</v>
      </c>
      <c r="N4619" s="255">
        <v>46197.0</v>
      </c>
      <c r="O4619" s="148" t="s">
        <v>67</v>
      </c>
      <c r="P4619" s="148" t="s">
        <v>68</v>
      </c>
      <c r="Q4619" s="103"/>
      <c r="R4619" s="103"/>
      <c r="S4619" s="103"/>
      <c r="T4619" s="103"/>
      <c r="U4619" s="148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1">
        <v>4614.0</v>
      </c>
      <c r="B4620" s="90" t="s">
        <v>7666</v>
      </c>
      <c r="C4620" s="82" t="str">
        <f>VLOOKUP($B$7:$B$5000,SUM!$L$6:$L$500,1,FALSE)</f>
        <v>#N/A</v>
      </c>
      <c r="D4620" s="190" t="s">
        <v>7518</v>
      </c>
      <c r="E4620" s="198" t="s">
        <v>58</v>
      </c>
      <c r="F4620" s="199" t="s">
        <v>593</v>
      </c>
      <c r="G4620" s="191" t="s">
        <v>7542</v>
      </c>
      <c r="H4620" s="199" t="s">
        <v>7667</v>
      </c>
      <c r="I4620" s="220" t="s">
        <v>7502</v>
      </c>
      <c r="J4620" s="103"/>
      <c r="K4620" s="103"/>
      <c r="L4620" s="148" t="s">
        <v>65</v>
      </c>
      <c r="M4620" s="148" t="s">
        <v>185</v>
      </c>
      <c r="N4620" s="255">
        <v>46197.0</v>
      </c>
      <c r="O4620" s="148" t="s">
        <v>67</v>
      </c>
      <c r="P4620" s="148" t="s">
        <v>68</v>
      </c>
      <c r="Q4620" s="103"/>
      <c r="R4620" s="103"/>
      <c r="S4620" s="103"/>
      <c r="T4620" s="103"/>
      <c r="U4620" s="148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1">
        <v>4615.0</v>
      </c>
      <c r="B4621" s="90" t="s">
        <v>7668</v>
      </c>
      <c r="C4621" s="82" t="str">
        <f>VLOOKUP($B$7:$B$5000,SUM!$L$6:$L$500,1,FALSE)</f>
        <v>#N/A</v>
      </c>
      <c r="D4621" s="190" t="s">
        <v>7518</v>
      </c>
      <c r="E4621" s="198" t="s">
        <v>58</v>
      </c>
      <c r="F4621" s="199" t="s">
        <v>593</v>
      </c>
      <c r="G4621" s="191" t="s">
        <v>7542</v>
      </c>
      <c r="H4621" s="199" t="s">
        <v>7669</v>
      </c>
      <c r="I4621" s="220" t="s">
        <v>7502</v>
      </c>
      <c r="J4621" s="103"/>
      <c r="K4621" s="103"/>
      <c r="L4621" s="148" t="s">
        <v>65</v>
      </c>
      <c r="M4621" s="148" t="s">
        <v>185</v>
      </c>
      <c r="N4621" s="255">
        <v>46197.0</v>
      </c>
      <c r="O4621" s="148" t="s">
        <v>67</v>
      </c>
      <c r="P4621" s="148" t="s">
        <v>68</v>
      </c>
      <c r="Q4621" s="103"/>
      <c r="R4621" s="103"/>
      <c r="S4621" s="103"/>
      <c r="T4621" s="103"/>
      <c r="U4621" s="148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1">
        <v>4616.0</v>
      </c>
      <c r="B4622" s="90" t="s">
        <v>7670</v>
      </c>
      <c r="C4622" s="82" t="str">
        <f>VLOOKUP($B$7:$B$5000,SUM!$L$6:$L$500,1,FALSE)</f>
        <v>#N/A</v>
      </c>
      <c r="D4622" s="190" t="s">
        <v>7518</v>
      </c>
      <c r="E4622" s="198" t="s">
        <v>58</v>
      </c>
      <c r="F4622" s="199" t="s">
        <v>593</v>
      </c>
      <c r="G4622" s="191" t="s">
        <v>7542</v>
      </c>
      <c r="H4622" s="199" t="s">
        <v>7671</v>
      </c>
      <c r="I4622" s="220" t="s">
        <v>7502</v>
      </c>
      <c r="J4622" s="103"/>
      <c r="K4622" s="103"/>
      <c r="L4622" s="148" t="s">
        <v>65</v>
      </c>
      <c r="M4622" s="148" t="s">
        <v>185</v>
      </c>
      <c r="N4622" s="255">
        <v>46197.0</v>
      </c>
      <c r="O4622" s="148" t="s">
        <v>67</v>
      </c>
      <c r="P4622" s="148" t="s">
        <v>68</v>
      </c>
      <c r="Q4622" s="103"/>
      <c r="R4622" s="103"/>
      <c r="S4622" s="103"/>
      <c r="T4622" s="103"/>
      <c r="U4622" s="148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1">
        <v>4617.0</v>
      </c>
      <c r="B4623" s="90" t="s">
        <v>7672</v>
      </c>
      <c r="C4623" s="82" t="str">
        <f>VLOOKUP($B$7:$B$5000,SUM!$L$6:$L$500,1,FALSE)</f>
        <v>#N/A</v>
      </c>
      <c r="D4623" s="190" t="s">
        <v>7518</v>
      </c>
      <c r="E4623" s="198" t="s">
        <v>58</v>
      </c>
      <c r="F4623" s="199" t="s">
        <v>593</v>
      </c>
      <c r="G4623" s="191" t="s">
        <v>7542</v>
      </c>
      <c r="H4623" s="199" t="s">
        <v>7673</v>
      </c>
      <c r="I4623" s="220" t="s">
        <v>7502</v>
      </c>
      <c r="J4623" s="103"/>
      <c r="K4623" s="103"/>
      <c r="L4623" s="148" t="s">
        <v>65</v>
      </c>
      <c r="M4623" s="148" t="s">
        <v>185</v>
      </c>
      <c r="N4623" s="255">
        <v>46197.0</v>
      </c>
      <c r="O4623" s="148" t="s">
        <v>67</v>
      </c>
      <c r="P4623" s="148" t="s">
        <v>68</v>
      </c>
      <c r="Q4623" s="103"/>
      <c r="R4623" s="103"/>
      <c r="S4623" s="103"/>
      <c r="T4623" s="103"/>
      <c r="U4623" s="148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1">
        <v>4618.0</v>
      </c>
      <c r="B4624" s="90" t="s">
        <v>7674</v>
      </c>
      <c r="C4624" s="82" t="str">
        <f>VLOOKUP($B$7:$B$5000,SUM!$L$6:$L$500,1,FALSE)</f>
        <v>#N/A</v>
      </c>
      <c r="D4624" s="190" t="s">
        <v>7518</v>
      </c>
      <c r="E4624" s="198" t="s">
        <v>58</v>
      </c>
      <c r="F4624" s="199" t="s">
        <v>593</v>
      </c>
      <c r="G4624" s="191" t="s">
        <v>7542</v>
      </c>
      <c r="H4624" s="199" t="s">
        <v>7675</v>
      </c>
      <c r="I4624" s="220" t="s">
        <v>7502</v>
      </c>
      <c r="J4624" s="103"/>
      <c r="K4624" s="103"/>
      <c r="L4624" s="148" t="s">
        <v>65</v>
      </c>
      <c r="M4624" s="148" t="s">
        <v>185</v>
      </c>
      <c r="N4624" s="255">
        <v>46197.0</v>
      </c>
      <c r="O4624" s="148" t="s">
        <v>67</v>
      </c>
      <c r="P4624" s="148" t="s">
        <v>68</v>
      </c>
      <c r="Q4624" s="103"/>
      <c r="R4624" s="103"/>
      <c r="S4624" s="103"/>
      <c r="T4624" s="103"/>
      <c r="U4624" s="148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1">
        <v>4619.0</v>
      </c>
      <c r="B4625" s="90" t="s">
        <v>7676</v>
      </c>
      <c r="C4625" s="82" t="str">
        <f>VLOOKUP($B$7:$B$5000,SUM!$L$6:$L$500,1,FALSE)</f>
        <v>#N/A</v>
      </c>
      <c r="D4625" s="190" t="s">
        <v>7518</v>
      </c>
      <c r="E4625" s="198" t="s">
        <v>58</v>
      </c>
      <c r="F4625" s="199" t="s">
        <v>593</v>
      </c>
      <c r="G4625" s="191" t="s">
        <v>7542</v>
      </c>
      <c r="H4625" s="199" t="s">
        <v>7677</v>
      </c>
      <c r="I4625" s="220" t="s">
        <v>7502</v>
      </c>
      <c r="J4625" s="103"/>
      <c r="K4625" s="103"/>
      <c r="L4625" s="148" t="s">
        <v>65</v>
      </c>
      <c r="M4625" s="148" t="s">
        <v>185</v>
      </c>
      <c r="N4625" s="255">
        <v>46197.0</v>
      </c>
      <c r="O4625" s="148" t="s">
        <v>67</v>
      </c>
      <c r="P4625" s="148" t="s">
        <v>68</v>
      </c>
      <c r="Q4625" s="103"/>
      <c r="R4625" s="103"/>
      <c r="S4625" s="103"/>
      <c r="T4625" s="103"/>
      <c r="U4625" s="148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1">
        <v>4620.0</v>
      </c>
      <c r="B4626" s="90" t="s">
        <v>7678</v>
      </c>
      <c r="C4626" s="82" t="str">
        <f>VLOOKUP($B$7:$B$5000,SUM!$L$6:$L$500,1,FALSE)</f>
        <v>#N/A</v>
      </c>
      <c r="D4626" s="190" t="s">
        <v>7518</v>
      </c>
      <c r="E4626" s="198" t="s">
        <v>58</v>
      </c>
      <c r="F4626" s="199" t="s">
        <v>593</v>
      </c>
      <c r="G4626" s="191" t="s">
        <v>7542</v>
      </c>
      <c r="H4626" s="199" t="s">
        <v>7679</v>
      </c>
      <c r="I4626" s="220" t="s">
        <v>7502</v>
      </c>
      <c r="J4626" s="103"/>
      <c r="K4626" s="103"/>
      <c r="L4626" s="148" t="s">
        <v>65</v>
      </c>
      <c r="M4626" s="148" t="s">
        <v>185</v>
      </c>
      <c r="N4626" s="255">
        <v>46197.0</v>
      </c>
      <c r="O4626" s="148" t="s">
        <v>67</v>
      </c>
      <c r="P4626" s="148" t="s">
        <v>68</v>
      </c>
      <c r="Q4626" s="103"/>
      <c r="R4626" s="103"/>
      <c r="S4626" s="103"/>
      <c r="T4626" s="103"/>
      <c r="U4626" s="148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1">
        <v>4621.0</v>
      </c>
      <c r="B4627" s="90" t="s">
        <v>7680</v>
      </c>
      <c r="C4627" s="82" t="str">
        <f>VLOOKUP($B$7:$B$5000,SUM!$L$6:$L$500,1,FALSE)</f>
        <v>#N/A</v>
      </c>
      <c r="D4627" s="190" t="s">
        <v>7518</v>
      </c>
      <c r="E4627" s="198" t="s">
        <v>58</v>
      </c>
      <c r="F4627" s="199" t="s">
        <v>593</v>
      </c>
      <c r="G4627" s="191" t="s">
        <v>7542</v>
      </c>
      <c r="H4627" s="199" t="s">
        <v>7681</v>
      </c>
      <c r="I4627" s="220" t="s">
        <v>7502</v>
      </c>
      <c r="J4627" s="103"/>
      <c r="K4627" s="103"/>
      <c r="L4627" s="148" t="s">
        <v>65</v>
      </c>
      <c r="M4627" s="148" t="s">
        <v>185</v>
      </c>
      <c r="N4627" s="255">
        <v>46197.0</v>
      </c>
      <c r="O4627" s="148" t="s">
        <v>67</v>
      </c>
      <c r="P4627" s="148" t="s">
        <v>68</v>
      </c>
      <c r="Q4627" s="103"/>
      <c r="R4627" s="103"/>
      <c r="S4627" s="103"/>
      <c r="T4627" s="103"/>
      <c r="U4627" s="148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1">
        <v>4622.0</v>
      </c>
      <c r="B4628" s="90" t="s">
        <v>7682</v>
      </c>
      <c r="C4628" s="82" t="str">
        <f>VLOOKUP($B$7:$B$5000,SUM!$L$6:$L$500,1,FALSE)</f>
        <v>#N/A</v>
      </c>
      <c r="D4628" s="190" t="s">
        <v>7518</v>
      </c>
      <c r="E4628" s="198" t="s">
        <v>58</v>
      </c>
      <c r="F4628" s="199" t="s">
        <v>593</v>
      </c>
      <c r="G4628" s="191" t="s">
        <v>7542</v>
      </c>
      <c r="H4628" s="199" t="s">
        <v>7683</v>
      </c>
      <c r="I4628" s="220" t="s">
        <v>7502</v>
      </c>
      <c r="J4628" s="103"/>
      <c r="K4628" s="103"/>
      <c r="L4628" s="148" t="s">
        <v>65</v>
      </c>
      <c r="M4628" s="148" t="s">
        <v>185</v>
      </c>
      <c r="N4628" s="255">
        <v>46197.0</v>
      </c>
      <c r="O4628" s="148" t="s">
        <v>67</v>
      </c>
      <c r="P4628" s="148" t="s">
        <v>68</v>
      </c>
      <c r="Q4628" s="103"/>
      <c r="R4628" s="103"/>
      <c r="S4628" s="103"/>
      <c r="T4628" s="103"/>
      <c r="U4628" s="148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1">
        <v>4623.0</v>
      </c>
      <c r="B4629" s="90" t="s">
        <v>7684</v>
      </c>
      <c r="C4629" s="82" t="str">
        <f>VLOOKUP($B$7:$B$5000,SUM!$L$6:$L$500,1,FALSE)</f>
        <v>#N/A</v>
      </c>
      <c r="D4629" s="190" t="s">
        <v>7518</v>
      </c>
      <c r="E4629" s="198" t="s">
        <v>58</v>
      </c>
      <c r="F4629" s="199" t="s">
        <v>593</v>
      </c>
      <c r="G4629" s="191" t="s">
        <v>7542</v>
      </c>
      <c r="H4629" s="199" t="s">
        <v>4668</v>
      </c>
      <c r="I4629" s="220" t="s">
        <v>7502</v>
      </c>
      <c r="J4629" s="103"/>
      <c r="K4629" s="103"/>
      <c r="L4629" s="148" t="s">
        <v>65</v>
      </c>
      <c r="M4629" s="148" t="s">
        <v>185</v>
      </c>
      <c r="N4629" s="255">
        <v>46197.0</v>
      </c>
      <c r="O4629" s="148" t="s">
        <v>67</v>
      </c>
      <c r="P4629" s="148" t="s">
        <v>68</v>
      </c>
      <c r="Q4629" s="103"/>
      <c r="R4629" s="103"/>
      <c r="S4629" s="103"/>
      <c r="T4629" s="103"/>
      <c r="U4629" s="148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1">
        <v>4624.0</v>
      </c>
      <c r="B4630" s="90" t="s">
        <v>7685</v>
      </c>
      <c r="C4630" s="82" t="str">
        <f>VLOOKUP($B$7:$B$5000,SUM!$L$6:$L$500,1,FALSE)</f>
        <v>#N/A</v>
      </c>
      <c r="D4630" s="190" t="s">
        <v>7518</v>
      </c>
      <c r="E4630" s="198" t="s">
        <v>58</v>
      </c>
      <c r="F4630" s="199" t="s">
        <v>593</v>
      </c>
      <c r="G4630" s="191" t="s">
        <v>7542</v>
      </c>
      <c r="H4630" s="199" t="s">
        <v>4670</v>
      </c>
      <c r="I4630" s="220" t="s">
        <v>7502</v>
      </c>
      <c r="J4630" s="103"/>
      <c r="K4630" s="103"/>
      <c r="L4630" s="148" t="s">
        <v>65</v>
      </c>
      <c r="M4630" s="148" t="s">
        <v>185</v>
      </c>
      <c r="N4630" s="255">
        <v>46197.0</v>
      </c>
      <c r="O4630" s="148" t="s">
        <v>67</v>
      </c>
      <c r="P4630" s="148" t="s">
        <v>68</v>
      </c>
      <c r="Q4630" s="103"/>
      <c r="R4630" s="103"/>
      <c r="S4630" s="103"/>
      <c r="T4630" s="103"/>
      <c r="U4630" s="148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1">
        <v>4625.0</v>
      </c>
      <c r="B4631" s="90" t="s">
        <v>7686</v>
      </c>
      <c r="C4631" s="82" t="str">
        <f>VLOOKUP($B$7:$B$5000,SUM!$L$6:$L$500,1,FALSE)</f>
        <v>#N/A</v>
      </c>
      <c r="D4631" s="190" t="s">
        <v>7518</v>
      </c>
      <c r="E4631" s="198" t="s">
        <v>58</v>
      </c>
      <c r="F4631" s="199" t="s">
        <v>593</v>
      </c>
      <c r="G4631" s="191" t="s">
        <v>7542</v>
      </c>
      <c r="H4631" s="199" t="s">
        <v>7687</v>
      </c>
      <c r="I4631" s="220" t="s">
        <v>7502</v>
      </c>
      <c r="J4631" s="103"/>
      <c r="K4631" s="103"/>
      <c r="L4631" s="148" t="s">
        <v>65</v>
      </c>
      <c r="M4631" s="148" t="s">
        <v>185</v>
      </c>
      <c r="N4631" s="255">
        <v>46197.0</v>
      </c>
      <c r="O4631" s="148" t="s">
        <v>67</v>
      </c>
      <c r="P4631" s="148" t="s">
        <v>68</v>
      </c>
      <c r="Q4631" s="103"/>
      <c r="R4631" s="103"/>
      <c r="S4631" s="103"/>
      <c r="T4631" s="103"/>
      <c r="U4631" s="148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1">
        <v>4626.0</v>
      </c>
      <c r="B4632" s="90" t="s">
        <v>7688</v>
      </c>
      <c r="C4632" s="82" t="str">
        <f>VLOOKUP($B$7:$B$5000,SUM!$L$6:$L$500,1,FALSE)</f>
        <v>#N/A</v>
      </c>
      <c r="D4632" s="190" t="s">
        <v>7518</v>
      </c>
      <c r="E4632" s="198" t="s">
        <v>58</v>
      </c>
      <c r="F4632" s="199" t="s">
        <v>593</v>
      </c>
      <c r="G4632" s="191" t="s">
        <v>7542</v>
      </c>
      <c r="H4632" s="199" t="s">
        <v>7689</v>
      </c>
      <c r="I4632" s="220" t="s">
        <v>7502</v>
      </c>
      <c r="J4632" s="103"/>
      <c r="K4632" s="103"/>
      <c r="L4632" s="148" t="s">
        <v>65</v>
      </c>
      <c r="M4632" s="148" t="s">
        <v>185</v>
      </c>
      <c r="N4632" s="255">
        <v>46197.0</v>
      </c>
      <c r="O4632" s="148" t="s">
        <v>67</v>
      </c>
      <c r="P4632" s="148" t="s">
        <v>68</v>
      </c>
      <c r="Q4632" s="103"/>
      <c r="R4632" s="103"/>
      <c r="S4632" s="103"/>
      <c r="T4632" s="103"/>
      <c r="U4632" s="148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1">
        <v>4627.0</v>
      </c>
      <c r="B4633" s="90" t="s">
        <v>7690</v>
      </c>
      <c r="C4633" s="82" t="str">
        <f>VLOOKUP($B$7:$B$5000,SUM!$L$6:$L$500,1,FALSE)</f>
        <v>#N/A</v>
      </c>
      <c r="D4633" s="190" t="s">
        <v>7518</v>
      </c>
      <c r="E4633" s="198" t="s">
        <v>58</v>
      </c>
      <c r="F4633" s="199" t="s">
        <v>593</v>
      </c>
      <c r="G4633" s="191" t="s">
        <v>7542</v>
      </c>
      <c r="H4633" s="199" t="s">
        <v>7691</v>
      </c>
      <c r="I4633" s="220" t="s">
        <v>7502</v>
      </c>
      <c r="J4633" s="103"/>
      <c r="K4633" s="103"/>
      <c r="L4633" s="148" t="s">
        <v>65</v>
      </c>
      <c r="M4633" s="148" t="s">
        <v>185</v>
      </c>
      <c r="N4633" s="255">
        <v>46197.0</v>
      </c>
      <c r="O4633" s="148" t="s">
        <v>67</v>
      </c>
      <c r="P4633" s="148" t="s">
        <v>68</v>
      </c>
      <c r="Q4633" s="103"/>
      <c r="R4633" s="103"/>
      <c r="S4633" s="103"/>
      <c r="T4633" s="103"/>
      <c r="U4633" s="148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1">
        <v>4628.0</v>
      </c>
      <c r="B4634" s="90" t="s">
        <v>7692</v>
      </c>
      <c r="C4634" s="82" t="str">
        <f>VLOOKUP($B$7:$B$5000,SUM!$L$6:$L$500,1,FALSE)</f>
        <v>#N/A</v>
      </c>
      <c r="D4634" s="190" t="s">
        <v>7518</v>
      </c>
      <c r="E4634" s="198" t="s">
        <v>58</v>
      </c>
      <c r="F4634" s="199" t="s">
        <v>593</v>
      </c>
      <c r="G4634" s="191" t="s">
        <v>7542</v>
      </c>
      <c r="H4634" s="199" t="s">
        <v>7693</v>
      </c>
      <c r="I4634" s="220" t="s">
        <v>7502</v>
      </c>
      <c r="J4634" s="103"/>
      <c r="K4634" s="103"/>
      <c r="L4634" s="148" t="s">
        <v>65</v>
      </c>
      <c r="M4634" s="148" t="s">
        <v>185</v>
      </c>
      <c r="N4634" s="255">
        <v>46197.0</v>
      </c>
      <c r="O4634" s="148" t="s">
        <v>67</v>
      </c>
      <c r="P4634" s="148" t="s">
        <v>68</v>
      </c>
      <c r="Q4634" s="103"/>
      <c r="R4634" s="103"/>
      <c r="S4634" s="103"/>
      <c r="T4634" s="103"/>
      <c r="U4634" s="148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1">
        <v>4629.0</v>
      </c>
      <c r="B4635" s="90" t="s">
        <v>7694</v>
      </c>
      <c r="C4635" s="82" t="str">
        <f>VLOOKUP($B$7:$B$5000,SUM!$L$6:$L$500,1,FALSE)</f>
        <v>#N/A</v>
      </c>
      <c r="D4635" s="190" t="s">
        <v>7518</v>
      </c>
      <c r="E4635" s="198" t="s">
        <v>58</v>
      </c>
      <c r="F4635" s="199" t="s">
        <v>593</v>
      </c>
      <c r="G4635" s="191" t="s">
        <v>7542</v>
      </c>
      <c r="H4635" s="199" t="s">
        <v>7695</v>
      </c>
      <c r="I4635" s="220" t="s">
        <v>7502</v>
      </c>
      <c r="J4635" s="103"/>
      <c r="K4635" s="103"/>
      <c r="L4635" s="148" t="s">
        <v>65</v>
      </c>
      <c r="M4635" s="148" t="s">
        <v>185</v>
      </c>
      <c r="N4635" s="255">
        <v>46197.0</v>
      </c>
      <c r="O4635" s="148" t="s">
        <v>67</v>
      </c>
      <c r="P4635" s="148" t="s">
        <v>68</v>
      </c>
      <c r="Q4635" s="103"/>
      <c r="R4635" s="103"/>
      <c r="S4635" s="103"/>
      <c r="T4635" s="103"/>
      <c r="U4635" s="148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1">
        <v>4630.0</v>
      </c>
      <c r="B4636" s="90" t="s">
        <v>7696</v>
      </c>
      <c r="C4636" s="82" t="str">
        <f>VLOOKUP($B$7:$B$5000,SUM!$L$6:$L$500,1,FALSE)</f>
        <v>#N/A</v>
      </c>
      <c r="D4636" s="190" t="s">
        <v>7518</v>
      </c>
      <c r="E4636" s="198" t="s">
        <v>58</v>
      </c>
      <c r="F4636" s="199" t="s">
        <v>593</v>
      </c>
      <c r="G4636" s="191" t="s">
        <v>7542</v>
      </c>
      <c r="H4636" s="199" t="s">
        <v>7697</v>
      </c>
      <c r="I4636" s="220" t="s">
        <v>7502</v>
      </c>
      <c r="J4636" s="103"/>
      <c r="K4636" s="103"/>
      <c r="L4636" s="148" t="s">
        <v>65</v>
      </c>
      <c r="M4636" s="148" t="s">
        <v>185</v>
      </c>
      <c r="N4636" s="255">
        <v>46197.0</v>
      </c>
      <c r="O4636" s="148" t="s">
        <v>67</v>
      </c>
      <c r="P4636" s="148" t="s">
        <v>68</v>
      </c>
      <c r="Q4636" s="103"/>
      <c r="R4636" s="103"/>
      <c r="S4636" s="103"/>
      <c r="T4636" s="103"/>
      <c r="U4636" s="148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1">
        <v>4631.0</v>
      </c>
      <c r="B4637" s="90" t="s">
        <v>7698</v>
      </c>
      <c r="C4637" s="82" t="str">
        <f>VLOOKUP($B$7:$B$5000,SUM!$L$6:$L$500,1,FALSE)</f>
        <v>#N/A</v>
      </c>
      <c r="D4637" s="190" t="s">
        <v>7518</v>
      </c>
      <c r="E4637" s="198" t="s">
        <v>58</v>
      </c>
      <c r="F4637" s="199" t="s">
        <v>593</v>
      </c>
      <c r="G4637" s="191" t="s">
        <v>7542</v>
      </c>
      <c r="H4637" s="199" t="s">
        <v>7699</v>
      </c>
      <c r="I4637" s="220" t="s">
        <v>7502</v>
      </c>
      <c r="J4637" s="103"/>
      <c r="K4637" s="103"/>
      <c r="L4637" s="148" t="s">
        <v>65</v>
      </c>
      <c r="M4637" s="148" t="s">
        <v>185</v>
      </c>
      <c r="N4637" s="255">
        <v>46197.0</v>
      </c>
      <c r="O4637" s="148" t="s">
        <v>67</v>
      </c>
      <c r="P4637" s="148" t="s">
        <v>68</v>
      </c>
      <c r="Q4637" s="103"/>
      <c r="R4637" s="103"/>
      <c r="S4637" s="103"/>
      <c r="T4637" s="103"/>
      <c r="U4637" s="148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1">
        <v>4632.0</v>
      </c>
      <c r="B4638" s="90" t="s">
        <v>7700</v>
      </c>
      <c r="C4638" s="82" t="str">
        <f>VLOOKUP($B$7:$B$5000,SUM!$L$6:$L$500,1,FALSE)</f>
        <v>#N/A</v>
      </c>
      <c r="D4638" s="190" t="s">
        <v>7518</v>
      </c>
      <c r="E4638" s="198" t="s">
        <v>58</v>
      </c>
      <c r="F4638" s="199" t="s">
        <v>593</v>
      </c>
      <c r="G4638" s="191" t="s">
        <v>7542</v>
      </c>
      <c r="H4638" s="199" t="s">
        <v>7701</v>
      </c>
      <c r="I4638" s="220" t="s">
        <v>7502</v>
      </c>
      <c r="J4638" s="103"/>
      <c r="K4638" s="103"/>
      <c r="L4638" s="148" t="s">
        <v>65</v>
      </c>
      <c r="M4638" s="148" t="s">
        <v>185</v>
      </c>
      <c r="N4638" s="255">
        <v>46197.0</v>
      </c>
      <c r="O4638" s="148" t="s">
        <v>67</v>
      </c>
      <c r="P4638" s="148" t="s">
        <v>68</v>
      </c>
      <c r="Q4638" s="103"/>
      <c r="R4638" s="103"/>
      <c r="S4638" s="103"/>
      <c r="T4638" s="103"/>
      <c r="U4638" s="148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1">
        <v>4633.0</v>
      </c>
      <c r="B4639" s="90" t="s">
        <v>7702</v>
      </c>
      <c r="C4639" s="82" t="str">
        <f>VLOOKUP($B$7:$B$5000,SUM!$L$6:$L$500,1,FALSE)</f>
        <v>#N/A</v>
      </c>
      <c r="D4639" s="190" t="s">
        <v>7518</v>
      </c>
      <c r="E4639" s="198" t="s">
        <v>58</v>
      </c>
      <c r="F4639" s="199" t="s">
        <v>593</v>
      </c>
      <c r="G4639" s="191" t="s">
        <v>7542</v>
      </c>
      <c r="H4639" s="199" t="s">
        <v>7703</v>
      </c>
      <c r="I4639" s="220" t="s">
        <v>7502</v>
      </c>
      <c r="J4639" s="103"/>
      <c r="K4639" s="103"/>
      <c r="L4639" s="148" t="s">
        <v>65</v>
      </c>
      <c r="M4639" s="148" t="s">
        <v>185</v>
      </c>
      <c r="N4639" s="255">
        <v>46197.0</v>
      </c>
      <c r="O4639" s="148" t="s">
        <v>67</v>
      </c>
      <c r="P4639" s="148" t="s">
        <v>68</v>
      </c>
      <c r="Q4639" s="103"/>
      <c r="R4639" s="103"/>
      <c r="S4639" s="103"/>
      <c r="T4639" s="103"/>
      <c r="U4639" s="148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1">
        <v>4634.0</v>
      </c>
      <c r="B4640" s="90" t="s">
        <v>7704</v>
      </c>
      <c r="C4640" s="82" t="str">
        <f>VLOOKUP($B$7:$B$5000,SUM!$L$6:$L$500,1,FALSE)</f>
        <v>#N/A</v>
      </c>
      <c r="D4640" s="190" t="s">
        <v>7518</v>
      </c>
      <c r="E4640" s="198" t="s">
        <v>58</v>
      </c>
      <c r="F4640" s="199" t="s">
        <v>593</v>
      </c>
      <c r="G4640" s="191" t="s">
        <v>7542</v>
      </c>
      <c r="H4640" s="199" t="s">
        <v>7705</v>
      </c>
      <c r="I4640" s="220" t="s">
        <v>7502</v>
      </c>
      <c r="J4640" s="103"/>
      <c r="K4640" s="103"/>
      <c r="L4640" s="148" t="s">
        <v>65</v>
      </c>
      <c r="M4640" s="148" t="s">
        <v>185</v>
      </c>
      <c r="N4640" s="255">
        <v>46197.0</v>
      </c>
      <c r="O4640" s="148" t="s">
        <v>67</v>
      </c>
      <c r="P4640" s="148" t="s">
        <v>68</v>
      </c>
      <c r="Q4640" s="103"/>
      <c r="R4640" s="103"/>
      <c r="S4640" s="103"/>
      <c r="T4640" s="103"/>
      <c r="U4640" s="148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1">
        <v>4635.0</v>
      </c>
      <c r="B4641" s="90" t="s">
        <v>7706</v>
      </c>
      <c r="C4641" s="82" t="str">
        <f>VLOOKUP($B$7:$B$5000,SUM!$L$6:$L$500,1,FALSE)</f>
        <v>#N/A</v>
      </c>
      <c r="D4641" s="190" t="s">
        <v>7518</v>
      </c>
      <c r="E4641" s="198" t="s">
        <v>58</v>
      </c>
      <c r="F4641" s="199" t="s">
        <v>593</v>
      </c>
      <c r="G4641" s="191" t="s">
        <v>7542</v>
      </c>
      <c r="H4641" s="199" t="s">
        <v>7707</v>
      </c>
      <c r="I4641" s="220" t="s">
        <v>7502</v>
      </c>
      <c r="J4641" s="103"/>
      <c r="K4641" s="103"/>
      <c r="L4641" s="148" t="s">
        <v>65</v>
      </c>
      <c r="M4641" s="148" t="s">
        <v>185</v>
      </c>
      <c r="N4641" s="255">
        <v>46197.0</v>
      </c>
      <c r="O4641" s="148" t="s">
        <v>67</v>
      </c>
      <c r="P4641" s="148" t="s">
        <v>68</v>
      </c>
      <c r="Q4641" s="103"/>
      <c r="R4641" s="103"/>
      <c r="S4641" s="103"/>
      <c r="T4641" s="103"/>
      <c r="U4641" s="148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1">
        <v>4636.0</v>
      </c>
      <c r="B4642" s="90" t="s">
        <v>7708</v>
      </c>
      <c r="C4642" s="82" t="str">
        <f>VLOOKUP($B$7:$B$5000,SUM!$L$6:$L$500,1,FALSE)</f>
        <v>#N/A</v>
      </c>
      <c r="D4642" s="190" t="s">
        <v>7518</v>
      </c>
      <c r="E4642" s="198" t="s">
        <v>58</v>
      </c>
      <c r="F4642" s="199" t="s">
        <v>593</v>
      </c>
      <c r="G4642" s="191" t="s">
        <v>7542</v>
      </c>
      <c r="H4642" s="199" t="s">
        <v>7709</v>
      </c>
      <c r="I4642" s="220" t="s">
        <v>7502</v>
      </c>
      <c r="J4642" s="103"/>
      <c r="K4642" s="103"/>
      <c r="L4642" s="148" t="s">
        <v>65</v>
      </c>
      <c r="M4642" s="148" t="s">
        <v>185</v>
      </c>
      <c r="N4642" s="255">
        <v>46197.0</v>
      </c>
      <c r="O4642" s="148" t="s">
        <v>67</v>
      </c>
      <c r="P4642" s="148" t="s">
        <v>68</v>
      </c>
      <c r="Q4642" s="103"/>
      <c r="R4642" s="103"/>
      <c r="S4642" s="103"/>
      <c r="T4642" s="103"/>
      <c r="U4642" s="148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1">
        <v>4637.0</v>
      </c>
      <c r="B4643" s="90" t="s">
        <v>7710</v>
      </c>
      <c r="C4643" s="82" t="str">
        <f>VLOOKUP($B$7:$B$5000,SUM!$L$6:$L$500,1,FALSE)</f>
        <v>#N/A</v>
      </c>
      <c r="D4643" s="190" t="s">
        <v>7518</v>
      </c>
      <c r="E4643" s="198" t="s">
        <v>58</v>
      </c>
      <c r="F4643" s="199" t="s">
        <v>593</v>
      </c>
      <c r="G4643" s="191" t="s">
        <v>7542</v>
      </c>
      <c r="H4643" s="199" t="s">
        <v>7711</v>
      </c>
      <c r="I4643" s="220" t="s">
        <v>7502</v>
      </c>
      <c r="J4643" s="103"/>
      <c r="K4643" s="103"/>
      <c r="L4643" s="148" t="s">
        <v>65</v>
      </c>
      <c r="M4643" s="148" t="s">
        <v>185</v>
      </c>
      <c r="N4643" s="255">
        <v>46197.0</v>
      </c>
      <c r="O4643" s="148" t="s">
        <v>67</v>
      </c>
      <c r="P4643" s="148" t="s">
        <v>68</v>
      </c>
      <c r="Q4643" s="103"/>
      <c r="R4643" s="103"/>
      <c r="S4643" s="103"/>
      <c r="T4643" s="103"/>
      <c r="U4643" s="148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1">
        <v>4638.0</v>
      </c>
      <c r="B4644" s="90" t="s">
        <v>7712</v>
      </c>
      <c r="C4644" s="82" t="str">
        <f>VLOOKUP($B$7:$B$5000,SUM!$L$6:$L$500,1,FALSE)</f>
        <v>#N/A</v>
      </c>
      <c r="D4644" s="190" t="s">
        <v>7518</v>
      </c>
      <c r="E4644" s="198" t="s">
        <v>58</v>
      </c>
      <c r="F4644" s="199" t="s">
        <v>593</v>
      </c>
      <c r="G4644" s="191" t="s">
        <v>7542</v>
      </c>
      <c r="H4644" s="199" t="s">
        <v>7713</v>
      </c>
      <c r="I4644" s="220" t="s">
        <v>7502</v>
      </c>
      <c r="J4644" s="103"/>
      <c r="K4644" s="103"/>
      <c r="L4644" s="148" t="s">
        <v>65</v>
      </c>
      <c r="M4644" s="148" t="s">
        <v>185</v>
      </c>
      <c r="N4644" s="255">
        <v>46197.0</v>
      </c>
      <c r="O4644" s="148" t="s">
        <v>67</v>
      </c>
      <c r="P4644" s="148" t="s">
        <v>68</v>
      </c>
      <c r="Q4644" s="103"/>
      <c r="R4644" s="103"/>
      <c r="S4644" s="103"/>
      <c r="T4644" s="103"/>
      <c r="U4644" s="148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1">
        <v>4639.0</v>
      </c>
      <c r="B4645" s="90" t="s">
        <v>7714</v>
      </c>
      <c r="C4645" s="82" t="str">
        <f>VLOOKUP($B$7:$B$5000,SUM!$L$6:$L$500,1,FALSE)</f>
        <v>#N/A</v>
      </c>
      <c r="D4645" s="190" t="s">
        <v>7518</v>
      </c>
      <c r="E4645" s="198" t="s">
        <v>58</v>
      </c>
      <c r="F4645" s="199" t="s">
        <v>593</v>
      </c>
      <c r="G4645" s="191" t="s">
        <v>7542</v>
      </c>
      <c r="H4645" s="199" t="s">
        <v>7715</v>
      </c>
      <c r="I4645" s="220" t="s">
        <v>7502</v>
      </c>
      <c r="J4645" s="103"/>
      <c r="K4645" s="103"/>
      <c r="L4645" s="148" t="s">
        <v>65</v>
      </c>
      <c r="M4645" s="148" t="s">
        <v>185</v>
      </c>
      <c r="N4645" s="255">
        <v>46197.0</v>
      </c>
      <c r="O4645" s="148" t="s">
        <v>67</v>
      </c>
      <c r="P4645" s="148" t="s">
        <v>68</v>
      </c>
      <c r="Q4645" s="103"/>
      <c r="R4645" s="103"/>
      <c r="S4645" s="103"/>
      <c r="T4645" s="103"/>
      <c r="U4645" s="148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1">
        <v>4640.0</v>
      </c>
      <c r="B4646" s="90" t="s">
        <v>7716</v>
      </c>
      <c r="C4646" s="82" t="str">
        <f>VLOOKUP($B$7:$B$5000,SUM!$L$6:$L$500,1,FALSE)</f>
        <v>#N/A</v>
      </c>
      <c r="D4646" s="190" t="s">
        <v>7518</v>
      </c>
      <c r="E4646" s="198" t="s">
        <v>58</v>
      </c>
      <c r="F4646" s="199" t="s">
        <v>593</v>
      </c>
      <c r="G4646" s="191" t="s">
        <v>7542</v>
      </c>
      <c r="H4646" s="199" t="s">
        <v>7717</v>
      </c>
      <c r="I4646" s="220" t="s">
        <v>7502</v>
      </c>
      <c r="J4646" s="103"/>
      <c r="K4646" s="103"/>
      <c r="L4646" s="148" t="s">
        <v>65</v>
      </c>
      <c r="M4646" s="148" t="s">
        <v>185</v>
      </c>
      <c r="N4646" s="255">
        <v>46197.0</v>
      </c>
      <c r="O4646" s="148" t="s">
        <v>67</v>
      </c>
      <c r="P4646" s="148" t="s">
        <v>68</v>
      </c>
      <c r="Q4646" s="103"/>
      <c r="R4646" s="103"/>
      <c r="S4646" s="103"/>
      <c r="T4646" s="103"/>
      <c r="U4646" s="148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1">
        <v>4641.0</v>
      </c>
      <c r="B4647" s="90" t="s">
        <v>7718</v>
      </c>
      <c r="C4647" s="82" t="str">
        <f>VLOOKUP($B$7:$B$5000,SUM!$L$6:$L$500,1,FALSE)</f>
        <v>#N/A</v>
      </c>
      <c r="D4647" s="190" t="s">
        <v>7518</v>
      </c>
      <c r="E4647" s="198" t="s">
        <v>58</v>
      </c>
      <c r="F4647" s="199" t="s">
        <v>593</v>
      </c>
      <c r="G4647" s="191" t="s">
        <v>7542</v>
      </c>
      <c r="H4647" s="199" t="s">
        <v>5771</v>
      </c>
      <c r="I4647" s="93" t="s">
        <v>4433</v>
      </c>
      <c r="J4647" s="103"/>
      <c r="K4647" s="103"/>
      <c r="L4647" s="148" t="s">
        <v>65</v>
      </c>
      <c r="M4647" s="148" t="s">
        <v>185</v>
      </c>
      <c r="N4647" s="255">
        <v>46197.0</v>
      </c>
      <c r="O4647" s="148" t="s">
        <v>67</v>
      </c>
      <c r="P4647" s="148" t="s">
        <v>68</v>
      </c>
      <c r="Q4647" s="103"/>
      <c r="R4647" s="103"/>
      <c r="S4647" s="103"/>
      <c r="T4647" s="103"/>
      <c r="U4647" s="148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1">
        <v>4642.0</v>
      </c>
      <c r="B4648" s="90" t="s">
        <v>7719</v>
      </c>
      <c r="C4648" s="82" t="str">
        <f>VLOOKUP($B$7:$B$5000,SUM!$L$6:$L$500,1,FALSE)</f>
        <v>#N/A</v>
      </c>
      <c r="D4648" s="190" t="s">
        <v>7518</v>
      </c>
      <c r="E4648" s="198" t="s">
        <v>58</v>
      </c>
      <c r="F4648" s="199" t="s">
        <v>593</v>
      </c>
      <c r="G4648" s="191" t="s">
        <v>7542</v>
      </c>
      <c r="H4648" s="199" t="s">
        <v>7544</v>
      </c>
      <c r="I4648" s="93" t="s">
        <v>4433</v>
      </c>
      <c r="J4648" s="103"/>
      <c r="K4648" s="103"/>
      <c r="L4648" s="148" t="s">
        <v>65</v>
      </c>
      <c r="M4648" s="148" t="s">
        <v>185</v>
      </c>
      <c r="N4648" s="255">
        <v>46197.0</v>
      </c>
      <c r="O4648" s="148" t="s">
        <v>67</v>
      </c>
      <c r="P4648" s="148" t="s">
        <v>68</v>
      </c>
      <c r="Q4648" s="103"/>
      <c r="R4648" s="103"/>
      <c r="S4648" s="103"/>
      <c r="T4648" s="103"/>
      <c r="U4648" s="148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1">
        <v>4643.0</v>
      </c>
      <c r="B4649" s="90" t="s">
        <v>7720</v>
      </c>
      <c r="C4649" s="82" t="str">
        <f>VLOOKUP($B$7:$B$5000,SUM!$L$6:$L$500,1,FALSE)</f>
        <v>#N/A</v>
      </c>
      <c r="D4649" s="190" t="s">
        <v>7518</v>
      </c>
      <c r="E4649" s="198" t="s">
        <v>58</v>
      </c>
      <c r="F4649" s="199" t="s">
        <v>593</v>
      </c>
      <c r="G4649" s="191" t="s">
        <v>7542</v>
      </c>
      <c r="H4649" s="199" t="s">
        <v>7546</v>
      </c>
      <c r="I4649" s="93" t="s">
        <v>4433</v>
      </c>
      <c r="J4649" s="103"/>
      <c r="K4649" s="103"/>
      <c r="L4649" s="148" t="s">
        <v>65</v>
      </c>
      <c r="M4649" s="148" t="s">
        <v>185</v>
      </c>
      <c r="N4649" s="255">
        <v>46197.0</v>
      </c>
      <c r="O4649" s="148" t="s">
        <v>67</v>
      </c>
      <c r="P4649" s="148" t="s">
        <v>68</v>
      </c>
      <c r="Q4649" s="103"/>
      <c r="R4649" s="103"/>
      <c r="S4649" s="103"/>
      <c r="T4649" s="103"/>
      <c r="U4649" s="148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1">
        <v>4644.0</v>
      </c>
      <c r="B4650" s="90" t="s">
        <v>7721</v>
      </c>
      <c r="C4650" s="82" t="str">
        <f>VLOOKUP($B$7:$B$5000,SUM!$L$6:$L$500,1,FALSE)</f>
        <v>#N/A</v>
      </c>
      <c r="D4650" s="190" t="s">
        <v>7518</v>
      </c>
      <c r="E4650" s="198" t="s">
        <v>58</v>
      </c>
      <c r="F4650" s="199" t="s">
        <v>593</v>
      </c>
      <c r="G4650" s="191" t="s">
        <v>7542</v>
      </c>
      <c r="H4650" s="199" t="s">
        <v>7548</v>
      </c>
      <c r="I4650" s="93" t="s">
        <v>4433</v>
      </c>
      <c r="J4650" s="103"/>
      <c r="K4650" s="103"/>
      <c r="L4650" s="148" t="s">
        <v>65</v>
      </c>
      <c r="M4650" s="148" t="s">
        <v>185</v>
      </c>
      <c r="N4650" s="255">
        <v>46197.0</v>
      </c>
      <c r="O4650" s="148" t="s">
        <v>67</v>
      </c>
      <c r="P4650" s="148" t="s">
        <v>68</v>
      </c>
      <c r="Q4650" s="103"/>
      <c r="R4650" s="103"/>
      <c r="S4650" s="103"/>
      <c r="T4650" s="103"/>
      <c r="U4650" s="148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1">
        <v>4645.0</v>
      </c>
      <c r="B4651" s="90" t="s">
        <v>7722</v>
      </c>
      <c r="C4651" s="82" t="str">
        <f>VLOOKUP($B$7:$B$5000,SUM!$L$6:$L$500,1,FALSE)</f>
        <v>#N/A</v>
      </c>
      <c r="D4651" s="190" t="s">
        <v>7518</v>
      </c>
      <c r="E4651" s="198" t="s">
        <v>58</v>
      </c>
      <c r="F4651" s="199" t="s">
        <v>593</v>
      </c>
      <c r="G4651" s="191" t="s">
        <v>7542</v>
      </c>
      <c r="H4651" s="199" t="s">
        <v>5773</v>
      </c>
      <c r="I4651" s="93" t="s">
        <v>4433</v>
      </c>
      <c r="J4651" s="103"/>
      <c r="K4651" s="103"/>
      <c r="L4651" s="148" t="s">
        <v>65</v>
      </c>
      <c r="M4651" s="148" t="s">
        <v>185</v>
      </c>
      <c r="N4651" s="255">
        <v>46197.0</v>
      </c>
      <c r="O4651" s="148" t="s">
        <v>67</v>
      </c>
      <c r="P4651" s="148" t="s">
        <v>68</v>
      </c>
      <c r="Q4651" s="103"/>
      <c r="R4651" s="103"/>
      <c r="S4651" s="103"/>
      <c r="T4651" s="103"/>
      <c r="U4651" s="148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1">
        <v>4646.0</v>
      </c>
      <c r="B4652" s="90" t="s">
        <v>7723</v>
      </c>
      <c r="C4652" s="82" t="str">
        <f>VLOOKUP($B$7:$B$5000,SUM!$L$6:$L$500,1,FALSE)</f>
        <v>#N/A</v>
      </c>
      <c r="D4652" s="190" t="s">
        <v>7518</v>
      </c>
      <c r="E4652" s="198" t="s">
        <v>58</v>
      </c>
      <c r="F4652" s="199" t="s">
        <v>593</v>
      </c>
      <c r="G4652" s="191" t="s">
        <v>7542</v>
      </c>
      <c r="H4652" s="199" t="s">
        <v>5775</v>
      </c>
      <c r="I4652" s="93" t="s">
        <v>4433</v>
      </c>
      <c r="J4652" s="103"/>
      <c r="K4652" s="103"/>
      <c r="L4652" s="148" t="s">
        <v>65</v>
      </c>
      <c r="M4652" s="148" t="s">
        <v>185</v>
      </c>
      <c r="N4652" s="255">
        <v>46197.0</v>
      </c>
      <c r="O4652" s="148" t="s">
        <v>67</v>
      </c>
      <c r="P4652" s="148" t="s">
        <v>68</v>
      </c>
      <c r="Q4652" s="103"/>
      <c r="R4652" s="103"/>
      <c r="S4652" s="103"/>
      <c r="T4652" s="103"/>
      <c r="U4652" s="148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1">
        <v>4647.0</v>
      </c>
      <c r="B4653" s="90" t="s">
        <v>7724</v>
      </c>
      <c r="C4653" s="82" t="str">
        <f>VLOOKUP($B$7:$B$5000,SUM!$L$6:$L$500,1,FALSE)</f>
        <v>#N/A</v>
      </c>
      <c r="D4653" s="190" t="s">
        <v>7518</v>
      </c>
      <c r="E4653" s="198" t="s">
        <v>58</v>
      </c>
      <c r="F4653" s="199" t="s">
        <v>593</v>
      </c>
      <c r="G4653" s="191" t="s">
        <v>7542</v>
      </c>
      <c r="H4653" s="199" t="s">
        <v>5777</v>
      </c>
      <c r="I4653" s="93" t="s">
        <v>4433</v>
      </c>
      <c r="J4653" s="103"/>
      <c r="K4653" s="103"/>
      <c r="L4653" s="148" t="s">
        <v>65</v>
      </c>
      <c r="M4653" s="148" t="s">
        <v>185</v>
      </c>
      <c r="N4653" s="255">
        <v>46197.0</v>
      </c>
      <c r="O4653" s="148" t="s">
        <v>67</v>
      </c>
      <c r="P4653" s="148" t="s">
        <v>68</v>
      </c>
      <c r="Q4653" s="103"/>
      <c r="R4653" s="103"/>
      <c r="S4653" s="103"/>
      <c r="T4653" s="103"/>
      <c r="U4653" s="148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1">
        <v>4648.0</v>
      </c>
      <c r="B4654" s="90" t="s">
        <v>7725</v>
      </c>
      <c r="C4654" s="82" t="str">
        <f>VLOOKUP($B$7:$B$5000,SUM!$L$6:$L$500,1,FALSE)</f>
        <v>#N/A</v>
      </c>
      <c r="D4654" s="190" t="s">
        <v>7518</v>
      </c>
      <c r="E4654" s="198" t="s">
        <v>58</v>
      </c>
      <c r="F4654" s="199" t="s">
        <v>593</v>
      </c>
      <c r="G4654" s="191" t="s">
        <v>7542</v>
      </c>
      <c r="H4654" s="199" t="s">
        <v>5779</v>
      </c>
      <c r="I4654" s="93" t="s">
        <v>4433</v>
      </c>
      <c r="J4654" s="103"/>
      <c r="K4654" s="103"/>
      <c r="L4654" s="148" t="s">
        <v>65</v>
      </c>
      <c r="M4654" s="148" t="s">
        <v>185</v>
      </c>
      <c r="N4654" s="255">
        <v>46197.0</v>
      </c>
      <c r="O4654" s="148" t="s">
        <v>67</v>
      </c>
      <c r="P4654" s="148" t="s">
        <v>68</v>
      </c>
      <c r="Q4654" s="103"/>
      <c r="R4654" s="103"/>
      <c r="S4654" s="103"/>
      <c r="T4654" s="103"/>
      <c r="U4654" s="148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1">
        <v>4649.0</v>
      </c>
      <c r="B4655" s="90" t="s">
        <v>7726</v>
      </c>
      <c r="C4655" s="82" t="str">
        <f>VLOOKUP($B$7:$B$5000,SUM!$L$6:$L$500,1,FALSE)</f>
        <v>#N/A</v>
      </c>
      <c r="D4655" s="190" t="s">
        <v>7518</v>
      </c>
      <c r="E4655" s="198" t="s">
        <v>58</v>
      </c>
      <c r="F4655" s="199" t="s">
        <v>593</v>
      </c>
      <c r="G4655" s="191" t="s">
        <v>7542</v>
      </c>
      <c r="H4655" s="199" t="s">
        <v>5781</v>
      </c>
      <c r="I4655" s="93" t="s">
        <v>4433</v>
      </c>
      <c r="J4655" s="103"/>
      <c r="K4655" s="103"/>
      <c r="L4655" s="148" t="s">
        <v>65</v>
      </c>
      <c r="M4655" s="148" t="s">
        <v>185</v>
      </c>
      <c r="N4655" s="255">
        <v>46197.0</v>
      </c>
      <c r="O4655" s="148" t="s">
        <v>67</v>
      </c>
      <c r="P4655" s="148" t="s">
        <v>68</v>
      </c>
      <c r="Q4655" s="103"/>
      <c r="R4655" s="103"/>
      <c r="S4655" s="103"/>
      <c r="T4655" s="103"/>
      <c r="U4655" s="148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1">
        <v>4650.0</v>
      </c>
      <c r="B4656" s="90" t="s">
        <v>7727</v>
      </c>
      <c r="C4656" s="82" t="str">
        <f>VLOOKUP($B$7:$B$5000,SUM!$L$6:$L$500,1,FALSE)</f>
        <v>#N/A</v>
      </c>
      <c r="D4656" s="190" t="s">
        <v>7518</v>
      </c>
      <c r="E4656" s="198" t="s">
        <v>58</v>
      </c>
      <c r="F4656" s="199" t="s">
        <v>593</v>
      </c>
      <c r="G4656" s="191" t="s">
        <v>7542</v>
      </c>
      <c r="H4656" s="199" t="s">
        <v>7555</v>
      </c>
      <c r="I4656" s="93" t="s">
        <v>4433</v>
      </c>
      <c r="J4656" s="103"/>
      <c r="K4656" s="103"/>
      <c r="L4656" s="148" t="s">
        <v>65</v>
      </c>
      <c r="M4656" s="148" t="s">
        <v>185</v>
      </c>
      <c r="N4656" s="255">
        <v>46197.0</v>
      </c>
      <c r="O4656" s="148" t="s">
        <v>67</v>
      </c>
      <c r="P4656" s="148" t="s">
        <v>68</v>
      </c>
      <c r="Q4656" s="103"/>
      <c r="R4656" s="103"/>
      <c r="S4656" s="103"/>
      <c r="T4656" s="103"/>
      <c r="U4656" s="148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1">
        <v>4651.0</v>
      </c>
      <c r="B4657" s="90" t="s">
        <v>7728</v>
      </c>
      <c r="C4657" s="82" t="str">
        <f>VLOOKUP($B$7:$B$5000,SUM!$L$6:$L$500,1,FALSE)</f>
        <v>#N/A</v>
      </c>
      <c r="D4657" s="190" t="s">
        <v>7518</v>
      </c>
      <c r="E4657" s="198" t="s">
        <v>58</v>
      </c>
      <c r="F4657" s="199" t="s">
        <v>593</v>
      </c>
      <c r="G4657" s="191" t="s">
        <v>7542</v>
      </c>
      <c r="H4657" s="199" t="s">
        <v>7557</v>
      </c>
      <c r="I4657" s="93" t="s">
        <v>4433</v>
      </c>
      <c r="J4657" s="103"/>
      <c r="K4657" s="103"/>
      <c r="L4657" s="148" t="s">
        <v>65</v>
      </c>
      <c r="M4657" s="148" t="s">
        <v>185</v>
      </c>
      <c r="N4657" s="255">
        <v>46197.0</v>
      </c>
      <c r="O4657" s="148" t="s">
        <v>67</v>
      </c>
      <c r="P4657" s="148" t="s">
        <v>68</v>
      </c>
      <c r="Q4657" s="103"/>
      <c r="R4657" s="103"/>
      <c r="S4657" s="103"/>
      <c r="T4657" s="103"/>
      <c r="U4657" s="148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1">
        <v>4652.0</v>
      </c>
      <c r="B4658" s="90" t="s">
        <v>7729</v>
      </c>
      <c r="C4658" s="82" t="str">
        <f>VLOOKUP($B$7:$B$5000,SUM!$L$6:$L$500,1,FALSE)</f>
        <v>#N/A</v>
      </c>
      <c r="D4658" s="190" t="s">
        <v>7518</v>
      </c>
      <c r="E4658" s="198" t="s">
        <v>58</v>
      </c>
      <c r="F4658" s="199" t="s">
        <v>593</v>
      </c>
      <c r="G4658" s="191" t="s">
        <v>7542</v>
      </c>
      <c r="H4658" s="199" t="s">
        <v>7559</v>
      </c>
      <c r="I4658" s="93" t="s">
        <v>4433</v>
      </c>
      <c r="J4658" s="103"/>
      <c r="K4658" s="103"/>
      <c r="L4658" s="148" t="s">
        <v>65</v>
      </c>
      <c r="M4658" s="148" t="s">
        <v>185</v>
      </c>
      <c r="N4658" s="255">
        <v>46197.0</v>
      </c>
      <c r="O4658" s="148" t="s">
        <v>67</v>
      </c>
      <c r="P4658" s="148" t="s">
        <v>68</v>
      </c>
      <c r="Q4658" s="103"/>
      <c r="R4658" s="103"/>
      <c r="S4658" s="103"/>
      <c r="T4658" s="103"/>
      <c r="U4658" s="148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1">
        <v>4653.0</v>
      </c>
      <c r="B4659" s="90" t="s">
        <v>7730</v>
      </c>
      <c r="C4659" s="82" t="str">
        <f>VLOOKUP($B$7:$B$5000,SUM!$L$6:$L$500,1,FALSE)</f>
        <v>#N/A</v>
      </c>
      <c r="D4659" s="190" t="s">
        <v>7518</v>
      </c>
      <c r="E4659" s="198" t="s">
        <v>58</v>
      </c>
      <c r="F4659" s="199" t="s">
        <v>593</v>
      </c>
      <c r="G4659" s="191" t="s">
        <v>7542</v>
      </c>
      <c r="H4659" s="199" t="s">
        <v>7561</v>
      </c>
      <c r="I4659" s="93" t="s">
        <v>4433</v>
      </c>
      <c r="J4659" s="103"/>
      <c r="K4659" s="103"/>
      <c r="L4659" s="148" t="s">
        <v>65</v>
      </c>
      <c r="M4659" s="148" t="s">
        <v>185</v>
      </c>
      <c r="N4659" s="255">
        <v>46197.0</v>
      </c>
      <c r="O4659" s="148" t="s">
        <v>67</v>
      </c>
      <c r="P4659" s="148" t="s">
        <v>68</v>
      </c>
      <c r="Q4659" s="103"/>
      <c r="R4659" s="103"/>
      <c r="S4659" s="103"/>
      <c r="T4659" s="103"/>
      <c r="U4659" s="148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1">
        <v>4654.0</v>
      </c>
      <c r="B4660" s="90" t="s">
        <v>7731</v>
      </c>
      <c r="C4660" s="82" t="str">
        <f>VLOOKUP($B$7:$B$5000,SUM!$L$6:$L$500,1,FALSE)</f>
        <v>#N/A</v>
      </c>
      <c r="D4660" s="190" t="s">
        <v>7518</v>
      </c>
      <c r="E4660" s="198" t="s">
        <v>58</v>
      </c>
      <c r="F4660" s="199" t="s">
        <v>593</v>
      </c>
      <c r="G4660" s="191" t="s">
        <v>7542</v>
      </c>
      <c r="H4660" s="199" t="s">
        <v>7563</v>
      </c>
      <c r="I4660" s="93" t="s">
        <v>4433</v>
      </c>
      <c r="J4660" s="103"/>
      <c r="K4660" s="103"/>
      <c r="L4660" s="148" t="s">
        <v>65</v>
      </c>
      <c r="M4660" s="148" t="s">
        <v>185</v>
      </c>
      <c r="N4660" s="255">
        <v>46197.0</v>
      </c>
      <c r="O4660" s="148" t="s">
        <v>67</v>
      </c>
      <c r="P4660" s="148" t="s">
        <v>68</v>
      </c>
      <c r="Q4660" s="103"/>
      <c r="R4660" s="103"/>
      <c r="S4660" s="103"/>
      <c r="T4660" s="103"/>
      <c r="U4660" s="148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1">
        <v>4655.0</v>
      </c>
      <c r="B4661" s="90" t="s">
        <v>7732</v>
      </c>
      <c r="C4661" s="82" t="str">
        <f>VLOOKUP($B$7:$B$5000,SUM!$L$6:$L$500,1,FALSE)</f>
        <v>#N/A</v>
      </c>
      <c r="D4661" s="190" t="s">
        <v>7518</v>
      </c>
      <c r="E4661" s="198" t="s">
        <v>58</v>
      </c>
      <c r="F4661" s="199" t="s">
        <v>593</v>
      </c>
      <c r="G4661" s="191" t="s">
        <v>7542</v>
      </c>
      <c r="H4661" s="199" t="s">
        <v>7565</v>
      </c>
      <c r="I4661" s="93" t="s">
        <v>4433</v>
      </c>
      <c r="J4661" s="103"/>
      <c r="K4661" s="103"/>
      <c r="L4661" s="148" t="s">
        <v>65</v>
      </c>
      <c r="M4661" s="148" t="s">
        <v>185</v>
      </c>
      <c r="N4661" s="255">
        <v>46197.0</v>
      </c>
      <c r="O4661" s="148" t="s">
        <v>67</v>
      </c>
      <c r="P4661" s="148" t="s">
        <v>68</v>
      </c>
      <c r="Q4661" s="103"/>
      <c r="R4661" s="103"/>
      <c r="S4661" s="103"/>
      <c r="T4661" s="103"/>
      <c r="U4661" s="148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1">
        <v>4656.0</v>
      </c>
      <c r="B4662" s="90" t="s">
        <v>7733</v>
      </c>
      <c r="C4662" s="82" t="str">
        <f>VLOOKUP($B$7:$B$5000,SUM!$L$6:$L$500,1,FALSE)</f>
        <v>#N/A</v>
      </c>
      <c r="D4662" s="190" t="s">
        <v>7518</v>
      </c>
      <c r="E4662" s="198" t="s">
        <v>58</v>
      </c>
      <c r="F4662" s="199" t="s">
        <v>593</v>
      </c>
      <c r="G4662" s="191" t="s">
        <v>7542</v>
      </c>
      <c r="H4662" s="199" t="s">
        <v>5784</v>
      </c>
      <c r="I4662" s="93" t="s">
        <v>4433</v>
      </c>
      <c r="J4662" s="103"/>
      <c r="K4662" s="103"/>
      <c r="L4662" s="148" t="s">
        <v>65</v>
      </c>
      <c r="M4662" s="148" t="s">
        <v>185</v>
      </c>
      <c r="N4662" s="255">
        <v>46197.0</v>
      </c>
      <c r="O4662" s="148" t="s">
        <v>67</v>
      </c>
      <c r="P4662" s="148" t="s">
        <v>68</v>
      </c>
      <c r="Q4662" s="103"/>
      <c r="R4662" s="103"/>
      <c r="S4662" s="103"/>
      <c r="T4662" s="103"/>
      <c r="U4662" s="148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1">
        <v>4657.0</v>
      </c>
      <c r="B4663" s="90" t="s">
        <v>7734</v>
      </c>
      <c r="C4663" s="82" t="str">
        <f>VLOOKUP($B$7:$B$5000,SUM!$L$6:$L$500,1,FALSE)</f>
        <v>#N/A</v>
      </c>
      <c r="D4663" s="190" t="s">
        <v>7518</v>
      </c>
      <c r="E4663" s="198" t="s">
        <v>58</v>
      </c>
      <c r="F4663" s="199" t="s">
        <v>593</v>
      </c>
      <c r="G4663" s="191" t="s">
        <v>7542</v>
      </c>
      <c r="H4663" s="199" t="s">
        <v>5786</v>
      </c>
      <c r="I4663" s="93" t="s">
        <v>4433</v>
      </c>
      <c r="J4663" s="103"/>
      <c r="K4663" s="103"/>
      <c r="L4663" s="148" t="s">
        <v>65</v>
      </c>
      <c r="M4663" s="148" t="s">
        <v>185</v>
      </c>
      <c r="N4663" s="255">
        <v>46197.0</v>
      </c>
      <c r="O4663" s="148" t="s">
        <v>67</v>
      </c>
      <c r="P4663" s="148" t="s">
        <v>68</v>
      </c>
      <c r="Q4663" s="103"/>
      <c r="R4663" s="103"/>
      <c r="S4663" s="103"/>
      <c r="T4663" s="103"/>
      <c r="U4663" s="148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1">
        <v>4658.0</v>
      </c>
      <c r="B4664" s="90" t="s">
        <v>7735</v>
      </c>
      <c r="C4664" s="82" t="str">
        <f>VLOOKUP($B$7:$B$5000,SUM!$L$6:$L$500,1,FALSE)</f>
        <v>#N/A</v>
      </c>
      <c r="D4664" s="190" t="s">
        <v>7518</v>
      </c>
      <c r="E4664" s="198" t="s">
        <v>58</v>
      </c>
      <c r="F4664" s="199" t="s">
        <v>593</v>
      </c>
      <c r="G4664" s="191" t="s">
        <v>7542</v>
      </c>
      <c r="H4664" s="199" t="s">
        <v>7569</v>
      </c>
      <c r="I4664" s="93" t="s">
        <v>4433</v>
      </c>
      <c r="J4664" s="103"/>
      <c r="K4664" s="103"/>
      <c r="L4664" s="148" t="s">
        <v>65</v>
      </c>
      <c r="M4664" s="148" t="s">
        <v>185</v>
      </c>
      <c r="N4664" s="255">
        <v>46197.0</v>
      </c>
      <c r="O4664" s="148" t="s">
        <v>67</v>
      </c>
      <c r="P4664" s="148" t="s">
        <v>68</v>
      </c>
      <c r="Q4664" s="103"/>
      <c r="R4664" s="103"/>
      <c r="S4664" s="103"/>
      <c r="T4664" s="103"/>
      <c r="U4664" s="148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1">
        <v>4659.0</v>
      </c>
      <c r="B4665" s="90" t="s">
        <v>7736</v>
      </c>
      <c r="C4665" s="82" t="str">
        <f>VLOOKUP($B$7:$B$5000,SUM!$L$6:$L$500,1,FALSE)</f>
        <v>#N/A</v>
      </c>
      <c r="D4665" s="190" t="s">
        <v>7518</v>
      </c>
      <c r="E4665" s="198" t="s">
        <v>58</v>
      </c>
      <c r="F4665" s="199" t="s">
        <v>593</v>
      </c>
      <c r="G4665" s="191" t="s">
        <v>7542</v>
      </c>
      <c r="H4665" s="199" t="s">
        <v>7571</v>
      </c>
      <c r="I4665" s="93" t="s">
        <v>4433</v>
      </c>
      <c r="J4665" s="103"/>
      <c r="K4665" s="103"/>
      <c r="L4665" s="148" t="s">
        <v>65</v>
      </c>
      <c r="M4665" s="148" t="s">
        <v>185</v>
      </c>
      <c r="N4665" s="255">
        <v>46197.0</v>
      </c>
      <c r="O4665" s="148" t="s">
        <v>67</v>
      </c>
      <c r="P4665" s="148" t="s">
        <v>68</v>
      </c>
      <c r="Q4665" s="103"/>
      <c r="R4665" s="103"/>
      <c r="S4665" s="103"/>
      <c r="T4665" s="103"/>
      <c r="U4665" s="148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1">
        <v>4660.0</v>
      </c>
      <c r="B4666" s="90" t="s">
        <v>7737</v>
      </c>
      <c r="C4666" s="82" t="str">
        <f>VLOOKUP($B$7:$B$5000,SUM!$L$6:$L$500,1,FALSE)</f>
        <v>#N/A</v>
      </c>
      <c r="D4666" s="190" t="s">
        <v>7518</v>
      </c>
      <c r="E4666" s="198" t="s">
        <v>58</v>
      </c>
      <c r="F4666" s="199" t="s">
        <v>593</v>
      </c>
      <c r="G4666" s="191" t="s">
        <v>7542</v>
      </c>
      <c r="H4666" s="199" t="s">
        <v>7573</v>
      </c>
      <c r="I4666" s="93" t="s">
        <v>4433</v>
      </c>
      <c r="J4666" s="103"/>
      <c r="K4666" s="103"/>
      <c r="L4666" s="148" t="s">
        <v>65</v>
      </c>
      <c r="M4666" s="148" t="s">
        <v>185</v>
      </c>
      <c r="N4666" s="255">
        <v>46197.0</v>
      </c>
      <c r="O4666" s="148" t="s">
        <v>67</v>
      </c>
      <c r="P4666" s="148" t="s">
        <v>68</v>
      </c>
      <c r="Q4666" s="103"/>
      <c r="R4666" s="103"/>
      <c r="S4666" s="103"/>
      <c r="T4666" s="103"/>
      <c r="U4666" s="148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1">
        <v>4661.0</v>
      </c>
      <c r="B4667" s="90" t="s">
        <v>7738</v>
      </c>
      <c r="C4667" s="82" t="str">
        <f>VLOOKUP($B$7:$B$5000,SUM!$L$6:$L$500,1,FALSE)</f>
        <v>#N/A</v>
      </c>
      <c r="D4667" s="190" t="s">
        <v>7518</v>
      </c>
      <c r="E4667" s="198" t="s">
        <v>58</v>
      </c>
      <c r="F4667" s="199" t="s">
        <v>593</v>
      </c>
      <c r="G4667" s="191" t="s">
        <v>7542</v>
      </c>
      <c r="H4667" s="199" t="s">
        <v>7575</v>
      </c>
      <c r="I4667" s="93" t="s">
        <v>4433</v>
      </c>
      <c r="J4667" s="103"/>
      <c r="K4667" s="103"/>
      <c r="L4667" s="148" t="s">
        <v>65</v>
      </c>
      <c r="M4667" s="148" t="s">
        <v>185</v>
      </c>
      <c r="N4667" s="255">
        <v>46197.0</v>
      </c>
      <c r="O4667" s="148" t="s">
        <v>67</v>
      </c>
      <c r="P4667" s="148" t="s">
        <v>68</v>
      </c>
      <c r="Q4667" s="103"/>
      <c r="R4667" s="103"/>
      <c r="S4667" s="103"/>
      <c r="T4667" s="103"/>
      <c r="U4667" s="148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1">
        <v>4662.0</v>
      </c>
      <c r="B4668" s="90" t="s">
        <v>7739</v>
      </c>
      <c r="C4668" s="82" t="str">
        <f>VLOOKUP($B$7:$B$5000,SUM!$L$6:$L$500,1,FALSE)</f>
        <v>#N/A</v>
      </c>
      <c r="D4668" s="190" t="s">
        <v>7518</v>
      </c>
      <c r="E4668" s="198" t="s">
        <v>58</v>
      </c>
      <c r="F4668" s="199" t="s">
        <v>593</v>
      </c>
      <c r="G4668" s="191" t="s">
        <v>7542</v>
      </c>
      <c r="H4668" s="199" t="s">
        <v>7577</v>
      </c>
      <c r="I4668" s="93" t="s">
        <v>4433</v>
      </c>
      <c r="J4668" s="103"/>
      <c r="K4668" s="103"/>
      <c r="L4668" s="148" t="s">
        <v>65</v>
      </c>
      <c r="M4668" s="148" t="s">
        <v>185</v>
      </c>
      <c r="N4668" s="255">
        <v>46197.0</v>
      </c>
      <c r="O4668" s="148" t="s">
        <v>67</v>
      </c>
      <c r="P4668" s="148" t="s">
        <v>68</v>
      </c>
      <c r="Q4668" s="103"/>
      <c r="R4668" s="103"/>
      <c r="S4668" s="103"/>
      <c r="T4668" s="103"/>
      <c r="U4668" s="148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1">
        <v>4663.0</v>
      </c>
      <c r="B4669" s="90" t="s">
        <v>7740</v>
      </c>
      <c r="C4669" s="82" t="str">
        <f>VLOOKUP($B$7:$B$5000,SUM!$L$6:$L$500,1,FALSE)</f>
        <v>#N/A</v>
      </c>
      <c r="D4669" s="190" t="s">
        <v>7518</v>
      </c>
      <c r="E4669" s="198" t="s">
        <v>58</v>
      </c>
      <c r="F4669" s="199" t="s">
        <v>593</v>
      </c>
      <c r="G4669" s="191" t="s">
        <v>7542</v>
      </c>
      <c r="H4669" s="199" t="s">
        <v>7579</v>
      </c>
      <c r="I4669" s="93" t="s">
        <v>4433</v>
      </c>
      <c r="J4669" s="103"/>
      <c r="K4669" s="103"/>
      <c r="L4669" s="148" t="s">
        <v>65</v>
      </c>
      <c r="M4669" s="148" t="s">
        <v>185</v>
      </c>
      <c r="N4669" s="255">
        <v>46197.0</v>
      </c>
      <c r="O4669" s="148" t="s">
        <v>67</v>
      </c>
      <c r="P4669" s="148" t="s">
        <v>68</v>
      </c>
      <c r="Q4669" s="103"/>
      <c r="R4669" s="103"/>
      <c r="S4669" s="103"/>
      <c r="T4669" s="103"/>
      <c r="U4669" s="148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1">
        <v>4664.0</v>
      </c>
      <c r="B4670" s="90" t="s">
        <v>7741</v>
      </c>
      <c r="C4670" s="82" t="str">
        <f>VLOOKUP($B$7:$B$5000,SUM!$L$6:$L$500,1,FALSE)</f>
        <v>#N/A</v>
      </c>
      <c r="D4670" s="190" t="s">
        <v>7518</v>
      </c>
      <c r="E4670" s="198" t="s">
        <v>58</v>
      </c>
      <c r="F4670" s="199" t="s">
        <v>593</v>
      </c>
      <c r="G4670" s="191" t="s">
        <v>7542</v>
      </c>
      <c r="H4670" s="199" t="s">
        <v>7581</v>
      </c>
      <c r="I4670" s="93" t="s">
        <v>4433</v>
      </c>
      <c r="J4670" s="103"/>
      <c r="K4670" s="103"/>
      <c r="L4670" s="148" t="s">
        <v>65</v>
      </c>
      <c r="M4670" s="148" t="s">
        <v>185</v>
      </c>
      <c r="N4670" s="255">
        <v>46197.0</v>
      </c>
      <c r="O4670" s="148" t="s">
        <v>67</v>
      </c>
      <c r="P4670" s="148" t="s">
        <v>68</v>
      </c>
      <c r="Q4670" s="103"/>
      <c r="R4670" s="103"/>
      <c r="S4670" s="103"/>
      <c r="T4670" s="103"/>
      <c r="U4670" s="148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1">
        <v>4665.0</v>
      </c>
      <c r="B4671" s="90" t="s">
        <v>7742</v>
      </c>
      <c r="C4671" s="82" t="str">
        <f>VLOOKUP($B$7:$B$5000,SUM!$L$6:$L$500,1,FALSE)</f>
        <v>#N/A</v>
      </c>
      <c r="D4671" s="190" t="s">
        <v>7518</v>
      </c>
      <c r="E4671" s="198" t="s">
        <v>58</v>
      </c>
      <c r="F4671" s="199" t="s">
        <v>593</v>
      </c>
      <c r="G4671" s="191" t="s">
        <v>7542</v>
      </c>
      <c r="H4671" s="199" t="s">
        <v>7583</v>
      </c>
      <c r="I4671" s="93" t="s">
        <v>4433</v>
      </c>
      <c r="J4671" s="103"/>
      <c r="K4671" s="103"/>
      <c r="L4671" s="148" t="s">
        <v>65</v>
      </c>
      <c r="M4671" s="148" t="s">
        <v>185</v>
      </c>
      <c r="N4671" s="255">
        <v>46197.0</v>
      </c>
      <c r="O4671" s="148" t="s">
        <v>67</v>
      </c>
      <c r="P4671" s="148" t="s">
        <v>68</v>
      </c>
      <c r="Q4671" s="103"/>
      <c r="R4671" s="103"/>
      <c r="S4671" s="103"/>
      <c r="T4671" s="103"/>
      <c r="U4671" s="148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1">
        <v>4666.0</v>
      </c>
      <c r="B4672" s="90" t="s">
        <v>7743</v>
      </c>
      <c r="C4672" s="82" t="str">
        <f>VLOOKUP($B$7:$B$5000,SUM!$L$6:$L$500,1,FALSE)</f>
        <v>#N/A</v>
      </c>
      <c r="D4672" s="190" t="s">
        <v>7518</v>
      </c>
      <c r="E4672" s="198" t="s">
        <v>58</v>
      </c>
      <c r="F4672" s="199" t="s">
        <v>593</v>
      </c>
      <c r="G4672" s="191" t="s">
        <v>7542</v>
      </c>
      <c r="H4672" s="199" t="s">
        <v>7585</v>
      </c>
      <c r="I4672" s="93" t="s">
        <v>4433</v>
      </c>
      <c r="J4672" s="103"/>
      <c r="K4672" s="103"/>
      <c r="L4672" s="148" t="s">
        <v>65</v>
      </c>
      <c r="M4672" s="148" t="s">
        <v>185</v>
      </c>
      <c r="N4672" s="255">
        <v>46197.0</v>
      </c>
      <c r="O4672" s="148" t="s">
        <v>67</v>
      </c>
      <c r="P4672" s="148" t="s">
        <v>68</v>
      </c>
      <c r="Q4672" s="103"/>
      <c r="R4672" s="103"/>
      <c r="S4672" s="103"/>
      <c r="T4672" s="103"/>
      <c r="U4672" s="148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1">
        <v>4667.0</v>
      </c>
      <c r="B4673" s="90" t="s">
        <v>7744</v>
      </c>
      <c r="C4673" s="82" t="str">
        <f>VLOOKUP($B$7:$B$5000,SUM!$L$6:$L$500,1,FALSE)</f>
        <v>#N/A</v>
      </c>
      <c r="D4673" s="190" t="s">
        <v>7518</v>
      </c>
      <c r="E4673" s="198" t="s">
        <v>58</v>
      </c>
      <c r="F4673" s="199" t="s">
        <v>593</v>
      </c>
      <c r="G4673" s="191" t="s">
        <v>7542</v>
      </c>
      <c r="H4673" s="199" t="s">
        <v>7587</v>
      </c>
      <c r="I4673" s="93" t="s">
        <v>4433</v>
      </c>
      <c r="J4673" s="103"/>
      <c r="K4673" s="103"/>
      <c r="L4673" s="148" t="s">
        <v>65</v>
      </c>
      <c r="M4673" s="148" t="s">
        <v>185</v>
      </c>
      <c r="N4673" s="255">
        <v>46197.0</v>
      </c>
      <c r="O4673" s="148" t="s">
        <v>67</v>
      </c>
      <c r="P4673" s="148" t="s">
        <v>68</v>
      </c>
      <c r="Q4673" s="103"/>
      <c r="R4673" s="103"/>
      <c r="S4673" s="103"/>
      <c r="T4673" s="103"/>
      <c r="U4673" s="148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1">
        <v>4668.0</v>
      </c>
      <c r="B4674" s="90" t="s">
        <v>7745</v>
      </c>
      <c r="C4674" s="82" t="str">
        <f>VLOOKUP($B$7:$B$5000,SUM!$L$6:$L$500,1,FALSE)</f>
        <v>#N/A</v>
      </c>
      <c r="D4674" s="190" t="s">
        <v>7518</v>
      </c>
      <c r="E4674" s="198" t="s">
        <v>58</v>
      </c>
      <c r="F4674" s="199" t="s">
        <v>593</v>
      </c>
      <c r="G4674" s="191" t="s">
        <v>7542</v>
      </c>
      <c r="H4674" s="199" t="s">
        <v>7589</v>
      </c>
      <c r="I4674" s="93" t="s">
        <v>4433</v>
      </c>
      <c r="J4674" s="103"/>
      <c r="K4674" s="103"/>
      <c r="L4674" s="148" t="s">
        <v>65</v>
      </c>
      <c r="M4674" s="148" t="s">
        <v>185</v>
      </c>
      <c r="N4674" s="255">
        <v>46197.0</v>
      </c>
      <c r="O4674" s="148" t="s">
        <v>67</v>
      </c>
      <c r="P4674" s="148" t="s">
        <v>68</v>
      </c>
      <c r="Q4674" s="103"/>
      <c r="R4674" s="103"/>
      <c r="S4674" s="103"/>
      <c r="T4674" s="103"/>
      <c r="U4674" s="148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1">
        <v>4669.0</v>
      </c>
      <c r="B4675" s="90" t="s">
        <v>7746</v>
      </c>
      <c r="C4675" s="82" t="str">
        <f>VLOOKUP($B$7:$B$5000,SUM!$L$6:$L$500,1,FALSE)</f>
        <v>#N/A</v>
      </c>
      <c r="D4675" s="190" t="s">
        <v>7518</v>
      </c>
      <c r="E4675" s="198" t="s">
        <v>58</v>
      </c>
      <c r="F4675" s="199" t="s">
        <v>593</v>
      </c>
      <c r="G4675" s="191" t="s">
        <v>7542</v>
      </c>
      <c r="H4675" s="199" t="s">
        <v>7591</v>
      </c>
      <c r="I4675" s="93" t="s">
        <v>4433</v>
      </c>
      <c r="J4675" s="103"/>
      <c r="K4675" s="103"/>
      <c r="L4675" s="148" t="s">
        <v>65</v>
      </c>
      <c r="M4675" s="148" t="s">
        <v>185</v>
      </c>
      <c r="N4675" s="255">
        <v>46197.0</v>
      </c>
      <c r="O4675" s="148" t="s">
        <v>67</v>
      </c>
      <c r="P4675" s="148" t="s">
        <v>68</v>
      </c>
      <c r="Q4675" s="103"/>
      <c r="R4675" s="103"/>
      <c r="S4675" s="103"/>
      <c r="T4675" s="103"/>
      <c r="U4675" s="148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1">
        <v>4670.0</v>
      </c>
      <c r="B4676" s="90" t="s">
        <v>7747</v>
      </c>
      <c r="C4676" s="82" t="str">
        <f>VLOOKUP($B$7:$B$5000,SUM!$L$6:$L$500,1,FALSE)</f>
        <v>#N/A</v>
      </c>
      <c r="D4676" s="190" t="s">
        <v>7518</v>
      </c>
      <c r="E4676" s="198" t="s">
        <v>58</v>
      </c>
      <c r="F4676" s="199" t="s">
        <v>593</v>
      </c>
      <c r="G4676" s="191" t="s">
        <v>7542</v>
      </c>
      <c r="H4676" s="199" t="s">
        <v>7593</v>
      </c>
      <c r="I4676" s="93" t="s">
        <v>4433</v>
      </c>
      <c r="J4676" s="103"/>
      <c r="K4676" s="103"/>
      <c r="L4676" s="148" t="s">
        <v>65</v>
      </c>
      <c r="M4676" s="148" t="s">
        <v>185</v>
      </c>
      <c r="N4676" s="255">
        <v>46197.0</v>
      </c>
      <c r="O4676" s="148" t="s">
        <v>67</v>
      </c>
      <c r="P4676" s="148" t="s">
        <v>68</v>
      </c>
      <c r="Q4676" s="103"/>
      <c r="R4676" s="103"/>
      <c r="S4676" s="103"/>
      <c r="T4676" s="103"/>
      <c r="U4676" s="148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1">
        <v>4671.0</v>
      </c>
      <c r="B4677" s="90" t="s">
        <v>7748</v>
      </c>
      <c r="C4677" s="82" t="str">
        <f>VLOOKUP($B$7:$B$5000,SUM!$L$6:$L$500,1,FALSE)</f>
        <v>#N/A</v>
      </c>
      <c r="D4677" s="190" t="s">
        <v>7518</v>
      </c>
      <c r="E4677" s="198" t="s">
        <v>58</v>
      </c>
      <c r="F4677" s="199" t="s">
        <v>593</v>
      </c>
      <c r="G4677" s="191" t="s">
        <v>7542</v>
      </c>
      <c r="H4677" s="199" t="s">
        <v>5794</v>
      </c>
      <c r="I4677" s="93" t="s">
        <v>4433</v>
      </c>
      <c r="J4677" s="103"/>
      <c r="K4677" s="103"/>
      <c r="L4677" s="148" t="s">
        <v>65</v>
      </c>
      <c r="M4677" s="148" t="s">
        <v>185</v>
      </c>
      <c r="N4677" s="255">
        <v>46197.0</v>
      </c>
      <c r="O4677" s="148" t="s">
        <v>67</v>
      </c>
      <c r="P4677" s="148" t="s">
        <v>68</v>
      </c>
      <c r="Q4677" s="103"/>
      <c r="R4677" s="103"/>
      <c r="S4677" s="103"/>
      <c r="T4677" s="103"/>
      <c r="U4677" s="148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1">
        <v>4672.0</v>
      </c>
      <c r="B4678" s="90" t="s">
        <v>7749</v>
      </c>
      <c r="C4678" s="82" t="str">
        <f>VLOOKUP($B$7:$B$5000,SUM!$L$6:$L$500,1,FALSE)</f>
        <v>#N/A</v>
      </c>
      <c r="D4678" s="190" t="s">
        <v>7518</v>
      </c>
      <c r="E4678" s="198" t="s">
        <v>58</v>
      </c>
      <c r="F4678" s="199" t="s">
        <v>593</v>
      </c>
      <c r="G4678" s="191" t="s">
        <v>7542</v>
      </c>
      <c r="H4678" s="199" t="s">
        <v>5796</v>
      </c>
      <c r="I4678" s="93" t="s">
        <v>4433</v>
      </c>
      <c r="J4678" s="103"/>
      <c r="K4678" s="103"/>
      <c r="L4678" s="148" t="s">
        <v>65</v>
      </c>
      <c r="M4678" s="148" t="s">
        <v>185</v>
      </c>
      <c r="N4678" s="255">
        <v>46197.0</v>
      </c>
      <c r="O4678" s="148" t="s">
        <v>67</v>
      </c>
      <c r="P4678" s="148" t="s">
        <v>68</v>
      </c>
      <c r="Q4678" s="103"/>
      <c r="R4678" s="103"/>
      <c r="S4678" s="103"/>
      <c r="T4678" s="103"/>
      <c r="U4678" s="148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1">
        <v>4673.0</v>
      </c>
      <c r="B4679" s="90" t="s">
        <v>7750</v>
      </c>
      <c r="C4679" s="82" t="str">
        <f>VLOOKUP($B$7:$B$5000,SUM!$L$6:$L$500,1,FALSE)</f>
        <v>#N/A</v>
      </c>
      <c r="D4679" s="190" t="s">
        <v>7518</v>
      </c>
      <c r="E4679" s="198" t="s">
        <v>58</v>
      </c>
      <c r="F4679" s="199" t="s">
        <v>593</v>
      </c>
      <c r="G4679" s="191" t="s">
        <v>7542</v>
      </c>
      <c r="H4679" s="199" t="s">
        <v>7597</v>
      </c>
      <c r="I4679" s="93" t="s">
        <v>4433</v>
      </c>
      <c r="J4679" s="103"/>
      <c r="K4679" s="103"/>
      <c r="L4679" s="148" t="s">
        <v>65</v>
      </c>
      <c r="M4679" s="148" t="s">
        <v>185</v>
      </c>
      <c r="N4679" s="255">
        <v>46197.0</v>
      </c>
      <c r="O4679" s="148" t="s">
        <v>67</v>
      </c>
      <c r="P4679" s="148" t="s">
        <v>68</v>
      </c>
      <c r="Q4679" s="103"/>
      <c r="R4679" s="103"/>
      <c r="S4679" s="103"/>
      <c r="T4679" s="103"/>
      <c r="U4679" s="148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1">
        <v>4674.0</v>
      </c>
      <c r="B4680" s="90" t="s">
        <v>7751</v>
      </c>
      <c r="C4680" s="82" t="str">
        <f>VLOOKUP($B$7:$B$5000,SUM!$L$6:$L$500,1,FALSE)</f>
        <v>#N/A</v>
      </c>
      <c r="D4680" s="190" t="s">
        <v>7518</v>
      </c>
      <c r="E4680" s="198" t="s">
        <v>58</v>
      </c>
      <c r="F4680" s="199" t="s">
        <v>593</v>
      </c>
      <c r="G4680" s="191" t="s">
        <v>7542</v>
      </c>
      <c r="H4680" s="199" t="s">
        <v>7599</v>
      </c>
      <c r="I4680" s="93" t="s">
        <v>4433</v>
      </c>
      <c r="J4680" s="103"/>
      <c r="K4680" s="103"/>
      <c r="L4680" s="148" t="s">
        <v>65</v>
      </c>
      <c r="M4680" s="148" t="s">
        <v>185</v>
      </c>
      <c r="N4680" s="255">
        <v>46197.0</v>
      </c>
      <c r="O4680" s="148" t="s">
        <v>67</v>
      </c>
      <c r="P4680" s="148" t="s">
        <v>68</v>
      </c>
      <c r="Q4680" s="103"/>
      <c r="R4680" s="103"/>
      <c r="S4680" s="103"/>
      <c r="T4680" s="103"/>
      <c r="U4680" s="148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1">
        <v>4675.0</v>
      </c>
      <c r="B4681" s="90" t="s">
        <v>7752</v>
      </c>
      <c r="C4681" s="82" t="str">
        <f>VLOOKUP($B$7:$B$5000,SUM!$L$6:$L$500,1,FALSE)</f>
        <v>#N/A</v>
      </c>
      <c r="D4681" s="190" t="s">
        <v>7518</v>
      </c>
      <c r="E4681" s="198" t="s">
        <v>58</v>
      </c>
      <c r="F4681" s="199" t="s">
        <v>593</v>
      </c>
      <c r="G4681" s="191" t="s">
        <v>7542</v>
      </c>
      <c r="H4681" s="199" t="s">
        <v>7601</v>
      </c>
      <c r="I4681" s="93" t="s">
        <v>4433</v>
      </c>
      <c r="J4681" s="103"/>
      <c r="K4681" s="103"/>
      <c r="L4681" s="148" t="s">
        <v>65</v>
      </c>
      <c r="M4681" s="148" t="s">
        <v>185</v>
      </c>
      <c r="N4681" s="255">
        <v>46197.0</v>
      </c>
      <c r="O4681" s="148" t="s">
        <v>67</v>
      </c>
      <c r="P4681" s="148" t="s">
        <v>68</v>
      </c>
      <c r="Q4681" s="103"/>
      <c r="R4681" s="103"/>
      <c r="S4681" s="103"/>
      <c r="T4681" s="103"/>
      <c r="U4681" s="148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1">
        <v>4676.0</v>
      </c>
      <c r="B4682" s="90" t="s">
        <v>7753</v>
      </c>
      <c r="C4682" s="82" t="str">
        <f>VLOOKUP($B$7:$B$5000,SUM!$L$6:$L$500,1,FALSE)</f>
        <v>#N/A</v>
      </c>
      <c r="D4682" s="190" t="s">
        <v>7518</v>
      </c>
      <c r="E4682" s="198" t="s">
        <v>58</v>
      </c>
      <c r="F4682" s="199" t="s">
        <v>593</v>
      </c>
      <c r="G4682" s="191" t="s">
        <v>7542</v>
      </c>
      <c r="H4682" s="199" t="s">
        <v>5798</v>
      </c>
      <c r="I4682" s="93" t="s">
        <v>4433</v>
      </c>
      <c r="J4682" s="103"/>
      <c r="K4682" s="103"/>
      <c r="L4682" s="148" t="s">
        <v>65</v>
      </c>
      <c r="M4682" s="148" t="s">
        <v>185</v>
      </c>
      <c r="N4682" s="255">
        <v>46197.0</v>
      </c>
      <c r="O4682" s="148" t="s">
        <v>67</v>
      </c>
      <c r="P4682" s="148" t="s">
        <v>68</v>
      </c>
      <c r="Q4682" s="103"/>
      <c r="R4682" s="103"/>
      <c r="S4682" s="103"/>
      <c r="T4682" s="103"/>
      <c r="U4682" s="148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1">
        <v>4677.0</v>
      </c>
      <c r="B4683" s="90" t="s">
        <v>7754</v>
      </c>
      <c r="C4683" s="82" t="str">
        <f>VLOOKUP($B$7:$B$5000,SUM!$L$6:$L$500,1,FALSE)</f>
        <v>#N/A</v>
      </c>
      <c r="D4683" s="190" t="s">
        <v>7518</v>
      </c>
      <c r="E4683" s="198" t="s">
        <v>58</v>
      </c>
      <c r="F4683" s="199" t="s">
        <v>593</v>
      </c>
      <c r="G4683" s="191" t="s">
        <v>7542</v>
      </c>
      <c r="H4683" s="199" t="s">
        <v>5800</v>
      </c>
      <c r="I4683" s="93" t="s">
        <v>4433</v>
      </c>
      <c r="J4683" s="103"/>
      <c r="K4683" s="103"/>
      <c r="L4683" s="148" t="s">
        <v>65</v>
      </c>
      <c r="M4683" s="148" t="s">
        <v>185</v>
      </c>
      <c r="N4683" s="255">
        <v>46197.0</v>
      </c>
      <c r="O4683" s="148" t="s">
        <v>67</v>
      </c>
      <c r="P4683" s="148" t="s">
        <v>68</v>
      </c>
      <c r="Q4683" s="103"/>
      <c r="R4683" s="103"/>
      <c r="S4683" s="103"/>
      <c r="T4683" s="103"/>
      <c r="U4683" s="148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1">
        <v>4678.0</v>
      </c>
      <c r="B4684" s="90" t="s">
        <v>7755</v>
      </c>
      <c r="C4684" s="82" t="str">
        <f>VLOOKUP($B$7:$B$5000,SUM!$L$6:$L$500,1,FALSE)</f>
        <v>#N/A</v>
      </c>
      <c r="D4684" s="190" t="s">
        <v>7518</v>
      </c>
      <c r="E4684" s="198" t="s">
        <v>58</v>
      </c>
      <c r="F4684" s="199" t="s">
        <v>593</v>
      </c>
      <c r="G4684" s="191" t="s">
        <v>7542</v>
      </c>
      <c r="H4684" s="199" t="s">
        <v>5802</v>
      </c>
      <c r="I4684" s="93" t="s">
        <v>4433</v>
      </c>
      <c r="J4684" s="103"/>
      <c r="K4684" s="103"/>
      <c r="L4684" s="148" t="s">
        <v>65</v>
      </c>
      <c r="M4684" s="148" t="s">
        <v>185</v>
      </c>
      <c r="N4684" s="255">
        <v>46197.0</v>
      </c>
      <c r="O4684" s="148" t="s">
        <v>67</v>
      </c>
      <c r="P4684" s="148" t="s">
        <v>68</v>
      </c>
      <c r="Q4684" s="103"/>
      <c r="R4684" s="103"/>
      <c r="S4684" s="103"/>
      <c r="T4684" s="103"/>
      <c r="U4684" s="148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1">
        <v>4679.0</v>
      </c>
      <c r="B4685" s="90" t="s">
        <v>7756</v>
      </c>
      <c r="C4685" s="82" t="str">
        <f>VLOOKUP($B$7:$B$5000,SUM!$L$6:$L$500,1,FALSE)</f>
        <v>#N/A</v>
      </c>
      <c r="D4685" s="190" t="s">
        <v>7518</v>
      </c>
      <c r="E4685" s="198" t="s">
        <v>58</v>
      </c>
      <c r="F4685" s="199" t="s">
        <v>593</v>
      </c>
      <c r="G4685" s="191" t="s">
        <v>7542</v>
      </c>
      <c r="H4685" s="199" t="s">
        <v>5804</v>
      </c>
      <c r="I4685" s="93" t="s">
        <v>4433</v>
      </c>
      <c r="J4685" s="103"/>
      <c r="K4685" s="103"/>
      <c r="L4685" s="148" t="s">
        <v>65</v>
      </c>
      <c r="M4685" s="148" t="s">
        <v>185</v>
      </c>
      <c r="N4685" s="255">
        <v>46197.0</v>
      </c>
      <c r="O4685" s="148" t="s">
        <v>67</v>
      </c>
      <c r="P4685" s="148" t="s">
        <v>68</v>
      </c>
      <c r="Q4685" s="103"/>
      <c r="R4685" s="103"/>
      <c r="S4685" s="103"/>
      <c r="T4685" s="103"/>
      <c r="U4685" s="148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1">
        <v>4680.0</v>
      </c>
      <c r="B4686" s="90" t="s">
        <v>7757</v>
      </c>
      <c r="C4686" s="82" t="str">
        <f>VLOOKUP($B$7:$B$5000,SUM!$L$6:$L$500,1,FALSE)</f>
        <v>#N/A</v>
      </c>
      <c r="D4686" s="190" t="s">
        <v>7518</v>
      </c>
      <c r="E4686" s="198" t="s">
        <v>58</v>
      </c>
      <c r="F4686" s="199" t="s">
        <v>593</v>
      </c>
      <c r="G4686" s="191" t="s">
        <v>7542</v>
      </c>
      <c r="H4686" s="199" t="s">
        <v>5806</v>
      </c>
      <c r="I4686" s="93" t="s">
        <v>4433</v>
      </c>
      <c r="J4686" s="103"/>
      <c r="K4686" s="103"/>
      <c r="L4686" s="148" t="s">
        <v>65</v>
      </c>
      <c r="M4686" s="148" t="s">
        <v>185</v>
      </c>
      <c r="N4686" s="255">
        <v>46197.0</v>
      </c>
      <c r="O4686" s="148" t="s">
        <v>67</v>
      </c>
      <c r="P4686" s="148" t="s">
        <v>68</v>
      </c>
      <c r="Q4686" s="103"/>
      <c r="R4686" s="103"/>
      <c r="S4686" s="103"/>
      <c r="T4686" s="103"/>
      <c r="U4686" s="148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1">
        <v>4681.0</v>
      </c>
      <c r="B4687" s="90" t="s">
        <v>7758</v>
      </c>
      <c r="C4687" s="82" t="str">
        <f>VLOOKUP($B$7:$B$5000,SUM!$L$6:$L$500,1,FALSE)</f>
        <v>#N/A</v>
      </c>
      <c r="D4687" s="190" t="s">
        <v>7518</v>
      </c>
      <c r="E4687" s="198" t="s">
        <v>58</v>
      </c>
      <c r="F4687" s="199" t="s">
        <v>593</v>
      </c>
      <c r="G4687" s="191" t="s">
        <v>7542</v>
      </c>
      <c r="H4687" s="199" t="s">
        <v>5808</v>
      </c>
      <c r="I4687" s="93" t="s">
        <v>4433</v>
      </c>
      <c r="J4687" s="103"/>
      <c r="K4687" s="103"/>
      <c r="L4687" s="148" t="s">
        <v>65</v>
      </c>
      <c r="M4687" s="148" t="s">
        <v>185</v>
      </c>
      <c r="N4687" s="255">
        <v>46197.0</v>
      </c>
      <c r="O4687" s="148" t="s">
        <v>67</v>
      </c>
      <c r="P4687" s="148" t="s">
        <v>68</v>
      </c>
      <c r="Q4687" s="103"/>
      <c r="R4687" s="103"/>
      <c r="S4687" s="103"/>
      <c r="T4687" s="103"/>
      <c r="U4687" s="148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1">
        <v>4682.0</v>
      </c>
      <c r="B4688" s="90" t="s">
        <v>7759</v>
      </c>
      <c r="C4688" s="82" t="str">
        <f>VLOOKUP($B$7:$B$5000,SUM!$L$6:$L$500,1,FALSE)</f>
        <v>#N/A</v>
      </c>
      <c r="D4688" s="190" t="s">
        <v>7518</v>
      </c>
      <c r="E4688" s="198" t="s">
        <v>58</v>
      </c>
      <c r="F4688" s="199" t="s">
        <v>593</v>
      </c>
      <c r="G4688" s="191" t="s">
        <v>7542</v>
      </c>
      <c r="H4688" s="199" t="s">
        <v>4634</v>
      </c>
      <c r="I4688" s="93" t="s">
        <v>4433</v>
      </c>
      <c r="J4688" s="103"/>
      <c r="K4688" s="103"/>
      <c r="L4688" s="148" t="s">
        <v>65</v>
      </c>
      <c r="M4688" s="148" t="s">
        <v>185</v>
      </c>
      <c r="N4688" s="255">
        <v>46197.0</v>
      </c>
      <c r="O4688" s="148" t="s">
        <v>67</v>
      </c>
      <c r="P4688" s="148" t="s">
        <v>68</v>
      </c>
      <c r="Q4688" s="103"/>
      <c r="R4688" s="103"/>
      <c r="S4688" s="103"/>
      <c r="T4688" s="103"/>
      <c r="U4688" s="148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1">
        <v>4683.0</v>
      </c>
      <c r="B4689" s="90" t="s">
        <v>7760</v>
      </c>
      <c r="C4689" s="82" t="str">
        <f>VLOOKUP($B$7:$B$5000,SUM!$L$6:$L$500,1,FALSE)</f>
        <v>#N/A</v>
      </c>
      <c r="D4689" s="190" t="s">
        <v>7518</v>
      </c>
      <c r="E4689" s="198" t="s">
        <v>58</v>
      </c>
      <c r="F4689" s="199" t="s">
        <v>593</v>
      </c>
      <c r="G4689" s="191" t="s">
        <v>7542</v>
      </c>
      <c r="H4689" s="199" t="s">
        <v>4636</v>
      </c>
      <c r="I4689" s="93" t="s">
        <v>4433</v>
      </c>
      <c r="J4689" s="103"/>
      <c r="K4689" s="103"/>
      <c r="L4689" s="148" t="s">
        <v>65</v>
      </c>
      <c r="M4689" s="148" t="s">
        <v>185</v>
      </c>
      <c r="N4689" s="255">
        <v>46197.0</v>
      </c>
      <c r="O4689" s="148" t="s">
        <v>67</v>
      </c>
      <c r="P4689" s="148" t="s">
        <v>68</v>
      </c>
      <c r="Q4689" s="103"/>
      <c r="R4689" s="103"/>
      <c r="S4689" s="103"/>
      <c r="T4689" s="103"/>
      <c r="U4689" s="148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1">
        <v>4684.0</v>
      </c>
      <c r="B4690" s="90" t="s">
        <v>7761</v>
      </c>
      <c r="C4690" s="82" t="str">
        <f>VLOOKUP($B$7:$B$5000,SUM!$L$6:$L$500,1,FALSE)</f>
        <v>#N/A</v>
      </c>
      <c r="D4690" s="190" t="s">
        <v>7518</v>
      </c>
      <c r="E4690" s="198" t="s">
        <v>58</v>
      </c>
      <c r="F4690" s="199" t="s">
        <v>593</v>
      </c>
      <c r="G4690" s="191" t="s">
        <v>7542</v>
      </c>
      <c r="H4690" s="199" t="s">
        <v>4638</v>
      </c>
      <c r="I4690" s="93" t="s">
        <v>4433</v>
      </c>
      <c r="J4690" s="103"/>
      <c r="K4690" s="103"/>
      <c r="L4690" s="148" t="s">
        <v>65</v>
      </c>
      <c r="M4690" s="148" t="s">
        <v>185</v>
      </c>
      <c r="N4690" s="255">
        <v>46197.0</v>
      </c>
      <c r="O4690" s="148" t="s">
        <v>67</v>
      </c>
      <c r="P4690" s="148" t="s">
        <v>68</v>
      </c>
      <c r="Q4690" s="103"/>
      <c r="R4690" s="103"/>
      <c r="S4690" s="103"/>
      <c r="T4690" s="103"/>
      <c r="U4690" s="148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1">
        <v>4685.0</v>
      </c>
      <c r="B4691" s="90" t="s">
        <v>7762</v>
      </c>
      <c r="C4691" s="82" t="str">
        <f>VLOOKUP($B$7:$B$5000,SUM!$L$6:$L$500,1,FALSE)</f>
        <v>#N/A</v>
      </c>
      <c r="D4691" s="190" t="s">
        <v>7518</v>
      </c>
      <c r="E4691" s="198" t="s">
        <v>58</v>
      </c>
      <c r="F4691" s="199" t="s">
        <v>593</v>
      </c>
      <c r="G4691" s="191" t="s">
        <v>7542</v>
      </c>
      <c r="H4691" s="199" t="s">
        <v>7612</v>
      </c>
      <c r="I4691" s="93" t="s">
        <v>4433</v>
      </c>
      <c r="J4691" s="103"/>
      <c r="K4691" s="103"/>
      <c r="L4691" s="148" t="s">
        <v>65</v>
      </c>
      <c r="M4691" s="148" t="s">
        <v>185</v>
      </c>
      <c r="N4691" s="255">
        <v>46197.0</v>
      </c>
      <c r="O4691" s="148" t="s">
        <v>67</v>
      </c>
      <c r="P4691" s="148" t="s">
        <v>68</v>
      </c>
      <c r="Q4691" s="103"/>
      <c r="R4691" s="103"/>
      <c r="S4691" s="103"/>
      <c r="T4691" s="103"/>
      <c r="U4691" s="148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1">
        <v>4686.0</v>
      </c>
      <c r="B4692" s="90" t="s">
        <v>7763</v>
      </c>
      <c r="C4692" s="82" t="str">
        <f>VLOOKUP($B$7:$B$5000,SUM!$L$6:$L$500,1,FALSE)</f>
        <v>#N/A</v>
      </c>
      <c r="D4692" s="190" t="s">
        <v>7518</v>
      </c>
      <c r="E4692" s="198" t="s">
        <v>58</v>
      </c>
      <c r="F4692" s="199" t="s">
        <v>593</v>
      </c>
      <c r="G4692" s="191" t="s">
        <v>7542</v>
      </c>
      <c r="H4692" s="199" t="s">
        <v>7614</v>
      </c>
      <c r="I4692" s="93" t="s">
        <v>4433</v>
      </c>
      <c r="J4692" s="103"/>
      <c r="K4692" s="103"/>
      <c r="L4692" s="148" t="s">
        <v>65</v>
      </c>
      <c r="M4692" s="148" t="s">
        <v>185</v>
      </c>
      <c r="N4692" s="255">
        <v>46197.0</v>
      </c>
      <c r="O4692" s="148" t="s">
        <v>67</v>
      </c>
      <c r="P4692" s="148" t="s">
        <v>68</v>
      </c>
      <c r="Q4692" s="103"/>
      <c r="R4692" s="103"/>
      <c r="S4692" s="103"/>
      <c r="T4692" s="103"/>
      <c r="U4692" s="148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1">
        <v>4687.0</v>
      </c>
      <c r="B4693" s="90" t="s">
        <v>7764</v>
      </c>
      <c r="C4693" s="82" t="str">
        <f>VLOOKUP($B$7:$B$5000,SUM!$L$6:$L$500,1,FALSE)</f>
        <v>#N/A</v>
      </c>
      <c r="D4693" s="190" t="s">
        <v>7518</v>
      </c>
      <c r="E4693" s="198" t="s">
        <v>58</v>
      </c>
      <c r="F4693" s="199" t="s">
        <v>593</v>
      </c>
      <c r="G4693" s="191" t="s">
        <v>7542</v>
      </c>
      <c r="H4693" s="199" t="s">
        <v>5850</v>
      </c>
      <c r="I4693" s="93" t="s">
        <v>4433</v>
      </c>
      <c r="J4693" s="103"/>
      <c r="K4693" s="103"/>
      <c r="L4693" s="148" t="s">
        <v>65</v>
      </c>
      <c r="M4693" s="148" t="s">
        <v>185</v>
      </c>
      <c r="N4693" s="255">
        <v>46197.0</v>
      </c>
      <c r="O4693" s="148" t="s">
        <v>67</v>
      </c>
      <c r="P4693" s="148" t="s">
        <v>68</v>
      </c>
      <c r="Q4693" s="103"/>
      <c r="R4693" s="103"/>
      <c r="S4693" s="103"/>
      <c r="T4693" s="103"/>
      <c r="U4693" s="148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1">
        <v>4688.0</v>
      </c>
      <c r="B4694" s="90" t="s">
        <v>7765</v>
      </c>
      <c r="C4694" s="82" t="str">
        <f>VLOOKUP($B$7:$B$5000,SUM!$L$6:$L$500,1,FALSE)</f>
        <v>#N/A</v>
      </c>
      <c r="D4694" s="190" t="s">
        <v>7518</v>
      </c>
      <c r="E4694" s="198" t="s">
        <v>58</v>
      </c>
      <c r="F4694" s="199" t="s">
        <v>593</v>
      </c>
      <c r="G4694" s="191" t="s">
        <v>7542</v>
      </c>
      <c r="H4694" s="199" t="s">
        <v>7617</v>
      </c>
      <c r="I4694" s="93" t="s">
        <v>4433</v>
      </c>
      <c r="J4694" s="103"/>
      <c r="K4694" s="103"/>
      <c r="L4694" s="148" t="s">
        <v>65</v>
      </c>
      <c r="M4694" s="148" t="s">
        <v>185</v>
      </c>
      <c r="N4694" s="255">
        <v>46197.0</v>
      </c>
      <c r="O4694" s="148" t="s">
        <v>67</v>
      </c>
      <c r="P4694" s="148" t="s">
        <v>68</v>
      </c>
      <c r="Q4694" s="103"/>
      <c r="R4694" s="103"/>
      <c r="S4694" s="103"/>
      <c r="T4694" s="103"/>
      <c r="U4694" s="148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1">
        <v>4689.0</v>
      </c>
      <c r="B4695" s="90" t="s">
        <v>7766</v>
      </c>
      <c r="C4695" s="82" t="str">
        <f>VLOOKUP($B$7:$B$5000,SUM!$L$6:$L$500,1,FALSE)</f>
        <v>#N/A</v>
      </c>
      <c r="D4695" s="190" t="s">
        <v>7518</v>
      </c>
      <c r="E4695" s="198" t="s">
        <v>58</v>
      </c>
      <c r="F4695" s="199" t="s">
        <v>593</v>
      </c>
      <c r="G4695" s="191" t="s">
        <v>7542</v>
      </c>
      <c r="H4695" s="199" t="s">
        <v>7619</v>
      </c>
      <c r="I4695" s="93" t="s">
        <v>4433</v>
      </c>
      <c r="J4695" s="103"/>
      <c r="K4695" s="103"/>
      <c r="L4695" s="148" t="s">
        <v>65</v>
      </c>
      <c r="M4695" s="148" t="s">
        <v>185</v>
      </c>
      <c r="N4695" s="255">
        <v>46197.0</v>
      </c>
      <c r="O4695" s="148" t="s">
        <v>67</v>
      </c>
      <c r="P4695" s="148" t="s">
        <v>68</v>
      </c>
      <c r="Q4695" s="103"/>
      <c r="R4695" s="103"/>
      <c r="S4695" s="103"/>
      <c r="T4695" s="103"/>
      <c r="U4695" s="148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1">
        <v>4690.0</v>
      </c>
      <c r="B4696" s="90" t="s">
        <v>7767</v>
      </c>
      <c r="C4696" s="82" t="str">
        <f>VLOOKUP($B$7:$B$5000,SUM!$L$6:$L$500,1,FALSE)</f>
        <v>#N/A</v>
      </c>
      <c r="D4696" s="190" t="s">
        <v>7518</v>
      </c>
      <c r="E4696" s="198" t="s">
        <v>58</v>
      </c>
      <c r="F4696" s="199" t="s">
        <v>593</v>
      </c>
      <c r="G4696" s="191" t="s">
        <v>7542</v>
      </c>
      <c r="H4696" s="199" t="s">
        <v>7621</v>
      </c>
      <c r="I4696" s="93" t="s">
        <v>4433</v>
      </c>
      <c r="J4696" s="103"/>
      <c r="K4696" s="103"/>
      <c r="L4696" s="148" t="s">
        <v>65</v>
      </c>
      <c r="M4696" s="148" t="s">
        <v>185</v>
      </c>
      <c r="N4696" s="255">
        <v>46197.0</v>
      </c>
      <c r="O4696" s="148" t="s">
        <v>67</v>
      </c>
      <c r="P4696" s="148" t="s">
        <v>68</v>
      </c>
      <c r="Q4696" s="103"/>
      <c r="R4696" s="103"/>
      <c r="S4696" s="103"/>
      <c r="T4696" s="103"/>
      <c r="U4696" s="148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1">
        <v>4691.0</v>
      </c>
      <c r="B4697" s="90" t="s">
        <v>7768</v>
      </c>
      <c r="C4697" s="82" t="str">
        <f>VLOOKUP($B$7:$B$5000,SUM!$L$6:$L$500,1,FALSE)</f>
        <v>#N/A</v>
      </c>
      <c r="D4697" s="190" t="s">
        <v>7518</v>
      </c>
      <c r="E4697" s="198" t="s">
        <v>58</v>
      </c>
      <c r="F4697" s="199" t="s">
        <v>593</v>
      </c>
      <c r="G4697" s="191" t="s">
        <v>7542</v>
      </c>
      <c r="H4697" s="199" t="s">
        <v>4640</v>
      </c>
      <c r="I4697" s="93" t="s">
        <v>4433</v>
      </c>
      <c r="J4697" s="103"/>
      <c r="K4697" s="103"/>
      <c r="L4697" s="148" t="s">
        <v>65</v>
      </c>
      <c r="M4697" s="148" t="s">
        <v>185</v>
      </c>
      <c r="N4697" s="255">
        <v>46197.0</v>
      </c>
      <c r="O4697" s="148" t="s">
        <v>67</v>
      </c>
      <c r="P4697" s="148" t="s">
        <v>68</v>
      </c>
      <c r="Q4697" s="103"/>
      <c r="R4697" s="103"/>
      <c r="S4697" s="103"/>
      <c r="T4697" s="103"/>
      <c r="U4697" s="148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1">
        <v>4692.0</v>
      </c>
      <c r="B4698" s="90" t="s">
        <v>7769</v>
      </c>
      <c r="C4698" s="82" t="str">
        <f>VLOOKUP($B$7:$B$5000,SUM!$L$6:$L$500,1,FALSE)</f>
        <v>#N/A</v>
      </c>
      <c r="D4698" s="190" t="s">
        <v>7518</v>
      </c>
      <c r="E4698" s="198" t="s">
        <v>58</v>
      </c>
      <c r="F4698" s="199" t="s">
        <v>593</v>
      </c>
      <c r="G4698" s="191" t="s">
        <v>7542</v>
      </c>
      <c r="H4698" s="199" t="s">
        <v>4642</v>
      </c>
      <c r="I4698" s="93" t="s">
        <v>4433</v>
      </c>
      <c r="J4698" s="103"/>
      <c r="K4698" s="103"/>
      <c r="L4698" s="148" t="s">
        <v>65</v>
      </c>
      <c r="M4698" s="148" t="s">
        <v>185</v>
      </c>
      <c r="N4698" s="255">
        <v>46197.0</v>
      </c>
      <c r="O4698" s="148" t="s">
        <v>67</v>
      </c>
      <c r="P4698" s="148" t="s">
        <v>68</v>
      </c>
      <c r="Q4698" s="103"/>
      <c r="R4698" s="103"/>
      <c r="S4698" s="103"/>
      <c r="T4698" s="103"/>
      <c r="U4698" s="148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1">
        <v>4693.0</v>
      </c>
      <c r="B4699" s="90" t="s">
        <v>7770</v>
      </c>
      <c r="C4699" s="82" t="str">
        <f>VLOOKUP($B$7:$B$5000,SUM!$L$6:$L$500,1,FALSE)</f>
        <v>#N/A</v>
      </c>
      <c r="D4699" s="190" t="s">
        <v>7518</v>
      </c>
      <c r="E4699" s="198" t="s">
        <v>58</v>
      </c>
      <c r="F4699" s="199" t="s">
        <v>593</v>
      </c>
      <c r="G4699" s="191" t="s">
        <v>7542</v>
      </c>
      <c r="H4699" s="199" t="s">
        <v>4644</v>
      </c>
      <c r="I4699" s="93" t="s">
        <v>4433</v>
      </c>
      <c r="J4699" s="103"/>
      <c r="K4699" s="103"/>
      <c r="L4699" s="148" t="s">
        <v>65</v>
      </c>
      <c r="M4699" s="148" t="s">
        <v>185</v>
      </c>
      <c r="N4699" s="255">
        <v>46197.0</v>
      </c>
      <c r="O4699" s="148" t="s">
        <v>67</v>
      </c>
      <c r="P4699" s="148" t="s">
        <v>68</v>
      </c>
      <c r="Q4699" s="103"/>
      <c r="R4699" s="103"/>
      <c r="S4699" s="103"/>
      <c r="T4699" s="103"/>
      <c r="U4699" s="148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1">
        <v>4694.0</v>
      </c>
      <c r="B4700" s="90" t="s">
        <v>7771</v>
      </c>
      <c r="C4700" s="82" t="str">
        <f>VLOOKUP($B$7:$B$5000,SUM!$L$6:$L$500,1,FALSE)</f>
        <v>#N/A</v>
      </c>
      <c r="D4700" s="190" t="s">
        <v>7518</v>
      </c>
      <c r="E4700" s="198" t="s">
        <v>58</v>
      </c>
      <c r="F4700" s="199" t="s">
        <v>593</v>
      </c>
      <c r="G4700" s="191" t="s">
        <v>7542</v>
      </c>
      <c r="H4700" s="199" t="s">
        <v>4646</v>
      </c>
      <c r="I4700" s="93" t="s">
        <v>4433</v>
      </c>
      <c r="J4700" s="103"/>
      <c r="K4700" s="103"/>
      <c r="L4700" s="148" t="s">
        <v>65</v>
      </c>
      <c r="M4700" s="148" t="s">
        <v>185</v>
      </c>
      <c r="N4700" s="255">
        <v>46197.0</v>
      </c>
      <c r="O4700" s="148" t="s">
        <v>67</v>
      </c>
      <c r="P4700" s="148" t="s">
        <v>68</v>
      </c>
      <c r="Q4700" s="103"/>
      <c r="R4700" s="103"/>
      <c r="S4700" s="103"/>
      <c r="T4700" s="103"/>
      <c r="U4700" s="148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1">
        <v>4695.0</v>
      </c>
      <c r="B4701" s="90" t="s">
        <v>7772</v>
      </c>
      <c r="C4701" s="82" t="str">
        <f>VLOOKUP($B$7:$B$5000,SUM!$L$6:$L$500,1,FALSE)</f>
        <v>#N/A</v>
      </c>
      <c r="D4701" s="190" t="s">
        <v>7518</v>
      </c>
      <c r="E4701" s="198" t="s">
        <v>58</v>
      </c>
      <c r="F4701" s="199" t="s">
        <v>593</v>
      </c>
      <c r="G4701" s="191" t="s">
        <v>7542</v>
      </c>
      <c r="H4701" s="199" t="s">
        <v>7773</v>
      </c>
      <c r="I4701" s="93" t="s">
        <v>4433</v>
      </c>
      <c r="J4701" s="103"/>
      <c r="K4701" s="103"/>
      <c r="L4701" s="148" t="s">
        <v>65</v>
      </c>
      <c r="M4701" s="148" t="s">
        <v>185</v>
      </c>
      <c r="N4701" s="255">
        <v>46197.0</v>
      </c>
      <c r="O4701" s="148" t="s">
        <v>67</v>
      </c>
      <c r="P4701" s="148" t="s">
        <v>68</v>
      </c>
      <c r="Q4701" s="103"/>
      <c r="R4701" s="103"/>
      <c r="S4701" s="103"/>
      <c r="T4701" s="103"/>
      <c r="U4701" s="148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1">
        <v>4696.0</v>
      </c>
      <c r="B4702" s="90" t="s">
        <v>7774</v>
      </c>
      <c r="C4702" s="82" t="str">
        <f>VLOOKUP($B$7:$B$5000,SUM!$L$6:$L$500,1,FALSE)</f>
        <v>#N/A</v>
      </c>
      <c r="D4702" s="190" t="s">
        <v>7518</v>
      </c>
      <c r="E4702" s="198" t="s">
        <v>58</v>
      </c>
      <c r="F4702" s="199" t="s">
        <v>593</v>
      </c>
      <c r="G4702" s="191" t="s">
        <v>7542</v>
      </c>
      <c r="H4702" s="199" t="s">
        <v>7775</v>
      </c>
      <c r="I4702" s="93" t="s">
        <v>4433</v>
      </c>
      <c r="J4702" s="103"/>
      <c r="K4702" s="103"/>
      <c r="L4702" s="148" t="s">
        <v>65</v>
      </c>
      <c r="M4702" s="148" t="s">
        <v>185</v>
      </c>
      <c r="N4702" s="255">
        <v>46197.0</v>
      </c>
      <c r="O4702" s="148" t="s">
        <v>67</v>
      </c>
      <c r="P4702" s="148" t="s">
        <v>68</v>
      </c>
      <c r="Q4702" s="103"/>
      <c r="R4702" s="103"/>
      <c r="S4702" s="103"/>
      <c r="T4702" s="103"/>
      <c r="U4702" s="148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1">
        <v>4697.0</v>
      </c>
      <c r="B4703" s="90" t="s">
        <v>7776</v>
      </c>
      <c r="C4703" s="82" t="str">
        <f>VLOOKUP($B$7:$B$5000,SUM!$L$6:$L$500,1,FALSE)</f>
        <v>#N/A</v>
      </c>
      <c r="D4703" s="190" t="s">
        <v>7518</v>
      </c>
      <c r="E4703" s="198" t="s">
        <v>58</v>
      </c>
      <c r="F4703" s="199" t="s">
        <v>593</v>
      </c>
      <c r="G4703" s="191" t="s">
        <v>7542</v>
      </c>
      <c r="H4703" s="199" t="s">
        <v>7777</v>
      </c>
      <c r="I4703" s="93" t="s">
        <v>4433</v>
      </c>
      <c r="J4703" s="103"/>
      <c r="K4703" s="103"/>
      <c r="L4703" s="148" t="s">
        <v>65</v>
      </c>
      <c r="M4703" s="148" t="s">
        <v>185</v>
      </c>
      <c r="N4703" s="255">
        <v>46197.0</v>
      </c>
      <c r="O4703" s="148" t="s">
        <v>67</v>
      </c>
      <c r="P4703" s="148" t="s">
        <v>68</v>
      </c>
      <c r="Q4703" s="103"/>
      <c r="R4703" s="103"/>
      <c r="S4703" s="103"/>
      <c r="T4703" s="103"/>
      <c r="U4703" s="148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1">
        <v>4698.0</v>
      </c>
      <c r="B4704" s="90" t="s">
        <v>7778</v>
      </c>
      <c r="C4704" s="82" t="str">
        <f>VLOOKUP($B$7:$B$5000,SUM!$L$6:$L$500,1,FALSE)</f>
        <v>#N/A</v>
      </c>
      <c r="D4704" s="190" t="s">
        <v>7518</v>
      </c>
      <c r="E4704" s="198" t="s">
        <v>58</v>
      </c>
      <c r="F4704" s="199" t="s">
        <v>593</v>
      </c>
      <c r="G4704" s="191" t="s">
        <v>7542</v>
      </c>
      <c r="H4704" s="199" t="s">
        <v>7779</v>
      </c>
      <c r="I4704" s="93" t="s">
        <v>4433</v>
      </c>
      <c r="J4704" s="103"/>
      <c r="K4704" s="103"/>
      <c r="L4704" s="148" t="s">
        <v>65</v>
      </c>
      <c r="M4704" s="148" t="s">
        <v>185</v>
      </c>
      <c r="N4704" s="255">
        <v>46197.0</v>
      </c>
      <c r="O4704" s="148" t="s">
        <v>67</v>
      </c>
      <c r="P4704" s="148" t="s">
        <v>68</v>
      </c>
      <c r="Q4704" s="103"/>
      <c r="R4704" s="103"/>
      <c r="S4704" s="103"/>
      <c r="T4704" s="103"/>
      <c r="U4704" s="148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1">
        <v>4699.0</v>
      </c>
      <c r="B4705" s="90" t="s">
        <v>7780</v>
      </c>
      <c r="C4705" s="82" t="str">
        <f>VLOOKUP($B$7:$B$5000,SUM!$L$6:$L$500,1,FALSE)</f>
        <v>#N/A</v>
      </c>
      <c r="D4705" s="190" t="s">
        <v>7518</v>
      </c>
      <c r="E4705" s="198" t="s">
        <v>58</v>
      </c>
      <c r="F4705" s="199" t="s">
        <v>593</v>
      </c>
      <c r="G4705" s="191" t="s">
        <v>7542</v>
      </c>
      <c r="H4705" s="199" t="s">
        <v>7781</v>
      </c>
      <c r="I4705" s="93" t="s">
        <v>4433</v>
      </c>
      <c r="J4705" s="103"/>
      <c r="K4705" s="103"/>
      <c r="L4705" s="148" t="s">
        <v>65</v>
      </c>
      <c r="M4705" s="148" t="s">
        <v>185</v>
      </c>
      <c r="N4705" s="255">
        <v>46197.0</v>
      </c>
      <c r="O4705" s="148" t="s">
        <v>67</v>
      </c>
      <c r="P4705" s="148" t="s">
        <v>68</v>
      </c>
      <c r="Q4705" s="103"/>
      <c r="R4705" s="103"/>
      <c r="S4705" s="103"/>
      <c r="T4705" s="103"/>
      <c r="U4705" s="148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1">
        <v>4700.0</v>
      </c>
      <c r="B4706" s="90" t="s">
        <v>7782</v>
      </c>
      <c r="C4706" s="82" t="str">
        <f>VLOOKUP($B$7:$B$5000,SUM!$L$6:$L$500,1,FALSE)</f>
        <v>#N/A</v>
      </c>
      <c r="D4706" s="190" t="s">
        <v>7518</v>
      </c>
      <c r="E4706" s="198" t="s">
        <v>58</v>
      </c>
      <c r="F4706" s="199" t="s">
        <v>593</v>
      </c>
      <c r="G4706" s="191" t="s">
        <v>7542</v>
      </c>
      <c r="H4706" s="199" t="s">
        <v>7638</v>
      </c>
      <c r="I4706" s="93" t="s">
        <v>4433</v>
      </c>
      <c r="J4706" s="103"/>
      <c r="K4706" s="103"/>
      <c r="L4706" s="148" t="s">
        <v>65</v>
      </c>
      <c r="M4706" s="148" t="s">
        <v>185</v>
      </c>
      <c r="N4706" s="255">
        <v>46197.0</v>
      </c>
      <c r="O4706" s="148" t="s">
        <v>67</v>
      </c>
      <c r="P4706" s="148" t="s">
        <v>68</v>
      </c>
      <c r="Q4706" s="103"/>
      <c r="R4706" s="103"/>
      <c r="S4706" s="103"/>
      <c r="T4706" s="103"/>
      <c r="U4706" s="148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1">
        <v>4701.0</v>
      </c>
      <c r="B4707" s="90" t="s">
        <v>7783</v>
      </c>
      <c r="C4707" s="82" t="str">
        <f>VLOOKUP($B$7:$B$5000,SUM!$L$6:$L$500,1,FALSE)</f>
        <v>#N/A</v>
      </c>
      <c r="D4707" s="190" t="s">
        <v>7518</v>
      </c>
      <c r="E4707" s="198" t="s">
        <v>58</v>
      </c>
      <c r="F4707" s="199" t="s">
        <v>593</v>
      </c>
      <c r="G4707" s="191" t="s">
        <v>7542</v>
      </c>
      <c r="H4707" s="199" t="s">
        <v>7640</v>
      </c>
      <c r="I4707" s="93" t="s">
        <v>4433</v>
      </c>
      <c r="J4707" s="103"/>
      <c r="K4707" s="103"/>
      <c r="L4707" s="148" t="s">
        <v>65</v>
      </c>
      <c r="M4707" s="148" t="s">
        <v>185</v>
      </c>
      <c r="N4707" s="255">
        <v>46197.0</v>
      </c>
      <c r="O4707" s="148" t="s">
        <v>67</v>
      </c>
      <c r="P4707" s="148" t="s">
        <v>68</v>
      </c>
      <c r="Q4707" s="103"/>
      <c r="R4707" s="103"/>
      <c r="S4707" s="103"/>
      <c r="T4707" s="103"/>
      <c r="U4707" s="148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1">
        <v>4702.0</v>
      </c>
      <c r="B4708" s="90" t="s">
        <v>7784</v>
      </c>
      <c r="C4708" s="82" t="str">
        <f>VLOOKUP($B$7:$B$5000,SUM!$L$6:$L$500,1,FALSE)</f>
        <v>#N/A</v>
      </c>
      <c r="D4708" s="190" t="s">
        <v>7518</v>
      </c>
      <c r="E4708" s="198" t="s">
        <v>58</v>
      </c>
      <c r="F4708" s="199" t="s">
        <v>593</v>
      </c>
      <c r="G4708" s="191" t="s">
        <v>7542</v>
      </c>
      <c r="H4708" s="199" t="s">
        <v>5868</v>
      </c>
      <c r="I4708" s="93" t="s">
        <v>4433</v>
      </c>
      <c r="J4708" s="103"/>
      <c r="K4708" s="103"/>
      <c r="L4708" s="148" t="s">
        <v>65</v>
      </c>
      <c r="M4708" s="148" t="s">
        <v>185</v>
      </c>
      <c r="N4708" s="255">
        <v>46197.0</v>
      </c>
      <c r="O4708" s="148" t="s">
        <v>67</v>
      </c>
      <c r="P4708" s="148" t="s">
        <v>68</v>
      </c>
      <c r="Q4708" s="103"/>
      <c r="R4708" s="103"/>
      <c r="S4708" s="103"/>
      <c r="T4708" s="103"/>
      <c r="U4708" s="148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1">
        <v>4703.0</v>
      </c>
      <c r="B4709" s="90" t="s">
        <v>7785</v>
      </c>
      <c r="C4709" s="82" t="str">
        <f>VLOOKUP($B$7:$B$5000,SUM!$L$6:$L$500,1,FALSE)</f>
        <v>#N/A</v>
      </c>
      <c r="D4709" s="190" t="s">
        <v>7518</v>
      </c>
      <c r="E4709" s="198" t="s">
        <v>58</v>
      </c>
      <c r="F4709" s="199" t="s">
        <v>593</v>
      </c>
      <c r="G4709" s="191" t="s">
        <v>7542</v>
      </c>
      <c r="H4709" s="199" t="s">
        <v>5870</v>
      </c>
      <c r="I4709" s="93" t="s">
        <v>4433</v>
      </c>
      <c r="J4709" s="103"/>
      <c r="K4709" s="103"/>
      <c r="L4709" s="148" t="s">
        <v>65</v>
      </c>
      <c r="M4709" s="148" t="s">
        <v>185</v>
      </c>
      <c r="N4709" s="255">
        <v>46197.0</v>
      </c>
      <c r="O4709" s="148" t="s">
        <v>67</v>
      </c>
      <c r="P4709" s="148" t="s">
        <v>68</v>
      </c>
      <c r="Q4709" s="103"/>
      <c r="R4709" s="103"/>
      <c r="S4709" s="103"/>
      <c r="T4709" s="103"/>
      <c r="U4709" s="148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1">
        <v>4704.0</v>
      </c>
      <c r="B4710" s="90" t="s">
        <v>7786</v>
      </c>
      <c r="C4710" s="82" t="str">
        <f>VLOOKUP($B$7:$B$5000,SUM!$L$6:$L$500,1,FALSE)</f>
        <v>#N/A</v>
      </c>
      <c r="D4710" s="190" t="s">
        <v>7518</v>
      </c>
      <c r="E4710" s="198" t="s">
        <v>58</v>
      </c>
      <c r="F4710" s="199" t="s">
        <v>593</v>
      </c>
      <c r="G4710" s="191" t="s">
        <v>7542</v>
      </c>
      <c r="H4710" s="199" t="s">
        <v>5872</v>
      </c>
      <c r="I4710" s="93" t="s">
        <v>4433</v>
      </c>
      <c r="J4710" s="103"/>
      <c r="K4710" s="103"/>
      <c r="L4710" s="148" t="s">
        <v>65</v>
      </c>
      <c r="M4710" s="148" t="s">
        <v>185</v>
      </c>
      <c r="N4710" s="255">
        <v>46197.0</v>
      </c>
      <c r="O4710" s="148" t="s">
        <v>67</v>
      </c>
      <c r="P4710" s="148" t="s">
        <v>68</v>
      </c>
      <c r="Q4710" s="103"/>
      <c r="R4710" s="103"/>
      <c r="S4710" s="103"/>
      <c r="T4710" s="103"/>
      <c r="U4710" s="148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1">
        <v>4705.0</v>
      </c>
      <c r="B4711" s="90" t="s">
        <v>7787</v>
      </c>
      <c r="C4711" s="82" t="str">
        <f>VLOOKUP($B$7:$B$5000,SUM!$L$6:$L$500,1,FALSE)</f>
        <v>#N/A</v>
      </c>
      <c r="D4711" s="190" t="s">
        <v>7518</v>
      </c>
      <c r="E4711" s="198" t="s">
        <v>58</v>
      </c>
      <c r="F4711" s="199" t="s">
        <v>593</v>
      </c>
      <c r="G4711" s="191" t="s">
        <v>7542</v>
      </c>
      <c r="H4711" s="199" t="s">
        <v>5874</v>
      </c>
      <c r="I4711" s="93" t="s">
        <v>4433</v>
      </c>
      <c r="J4711" s="103"/>
      <c r="K4711" s="103"/>
      <c r="L4711" s="148" t="s">
        <v>65</v>
      </c>
      <c r="M4711" s="148" t="s">
        <v>185</v>
      </c>
      <c r="N4711" s="255">
        <v>46197.0</v>
      </c>
      <c r="O4711" s="148" t="s">
        <v>67</v>
      </c>
      <c r="P4711" s="148" t="s">
        <v>68</v>
      </c>
      <c r="Q4711" s="103"/>
      <c r="R4711" s="103"/>
      <c r="S4711" s="103"/>
      <c r="T4711" s="103"/>
      <c r="U4711" s="148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1">
        <v>4706.0</v>
      </c>
      <c r="B4712" s="90" t="s">
        <v>7788</v>
      </c>
      <c r="C4712" s="82" t="str">
        <f>VLOOKUP($B$7:$B$5000,SUM!$L$6:$L$500,1,FALSE)</f>
        <v>#N/A</v>
      </c>
      <c r="D4712" s="190" t="s">
        <v>7518</v>
      </c>
      <c r="E4712" s="198" t="s">
        <v>58</v>
      </c>
      <c r="F4712" s="199" t="s">
        <v>593</v>
      </c>
      <c r="G4712" s="191" t="s">
        <v>7542</v>
      </c>
      <c r="H4712" s="199" t="s">
        <v>5876</v>
      </c>
      <c r="I4712" s="93" t="s">
        <v>4433</v>
      </c>
      <c r="J4712" s="103"/>
      <c r="K4712" s="103"/>
      <c r="L4712" s="148" t="s">
        <v>65</v>
      </c>
      <c r="M4712" s="148" t="s">
        <v>185</v>
      </c>
      <c r="N4712" s="255">
        <v>46197.0</v>
      </c>
      <c r="O4712" s="148" t="s">
        <v>67</v>
      </c>
      <c r="P4712" s="148" t="s">
        <v>68</v>
      </c>
      <c r="Q4712" s="103"/>
      <c r="R4712" s="103"/>
      <c r="S4712" s="103"/>
      <c r="T4712" s="103"/>
      <c r="U4712" s="148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1">
        <v>4707.0</v>
      </c>
      <c r="B4713" s="90" t="s">
        <v>7789</v>
      </c>
      <c r="C4713" s="82" t="str">
        <f>VLOOKUP($B$7:$B$5000,SUM!$L$6:$L$500,1,FALSE)</f>
        <v>#N/A</v>
      </c>
      <c r="D4713" s="190" t="s">
        <v>7518</v>
      </c>
      <c r="E4713" s="198" t="s">
        <v>58</v>
      </c>
      <c r="F4713" s="199" t="s">
        <v>593</v>
      </c>
      <c r="G4713" s="191" t="s">
        <v>7542</v>
      </c>
      <c r="H4713" s="199" t="s">
        <v>7647</v>
      </c>
      <c r="I4713" s="93" t="s">
        <v>4433</v>
      </c>
      <c r="J4713" s="103"/>
      <c r="K4713" s="103"/>
      <c r="L4713" s="148" t="s">
        <v>65</v>
      </c>
      <c r="M4713" s="148" t="s">
        <v>185</v>
      </c>
      <c r="N4713" s="255">
        <v>46197.0</v>
      </c>
      <c r="O4713" s="148" t="s">
        <v>67</v>
      </c>
      <c r="P4713" s="148" t="s">
        <v>68</v>
      </c>
      <c r="Q4713" s="103"/>
      <c r="R4713" s="103"/>
      <c r="S4713" s="103"/>
      <c r="T4713" s="103"/>
      <c r="U4713" s="148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1">
        <v>4708.0</v>
      </c>
      <c r="B4714" s="90" t="s">
        <v>7790</v>
      </c>
      <c r="C4714" s="82" t="str">
        <f>VLOOKUP($B$7:$B$5000,SUM!$L$6:$L$500,1,FALSE)</f>
        <v>#N/A</v>
      </c>
      <c r="D4714" s="190" t="s">
        <v>7518</v>
      </c>
      <c r="E4714" s="198" t="s">
        <v>58</v>
      </c>
      <c r="F4714" s="199" t="s">
        <v>593</v>
      </c>
      <c r="G4714" s="191" t="s">
        <v>7542</v>
      </c>
      <c r="H4714" s="199" t="s">
        <v>5878</v>
      </c>
      <c r="I4714" s="93" t="s">
        <v>4433</v>
      </c>
      <c r="J4714" s="103"/>
      <c r="K4714" s="103"/>
      <c r="L4714" s="148" t="s">
        <v>65</v>
      </c>
      <c r="M4714" s="148" t="s">
        <v>185</v>
      </c>
      <c r="N4714" s="255">
        <v>46197.0</v>
      </c>
      <c r="O4714" s="148" t="s">
        <v>67</v>
      </c>
      <c r="P4714" s="148" t="s">
        <v>68</v>
      </c>
      <c r="Q4714" s="103"/>
      <c r="R4714" s="103"/>
      <c r="S4714" s="103"/>
      <c r="T4714" s="103"/>
      <c r="U4714" s="148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1">
        <v>4709.0</v>
      </c>
      <c r="B4715" s="90" t="s">
        <v>7791</v>
      </c>
      <c r="C4715" s="82" t="str">
        <f>VLOOKUP($B$7:$B$5000,SUM!$L$6:$L$500,1,FALSE)</f>
        <v>#N/A</v>
      </c>
      <c r="D4715" s="190" t="s">
        <v>7518</v>
      </c>
      <c r="E4715" s="198" t="s">
        <v>58</v>
      </c>
      <c r="F4715" s="199" t="s">
        <v>593</v>
      </c>
      <c r="G4715" s="191" t="s">
        <v>7542</v>
      </c>
      <c r="H4715" s="199" t="s">
        <v>5880</v>
      </c>
      <c r="I4715" s="93" t="s">
        <v>4433</v>
      </c>
      <c r="J4715" s="103"/>
      <c r="K4715" s="103"/>
      <c r="L4715" s="148" t="s">
        <v>65</v>
      </c>
      <c r="M4715" s="148" t="s">
        <v>185</v>
      </c>
      <c r="N4715" s="255">
        <v>46197.0</v>
      </c>
      <c r="O4715" s="148" t="s">
        <v>67</v>
      </c>
      <c r="P4715" s="148" t="s">
        <v>68</v>
      </c>
      <c r="Q4715" s="103"/>
      <c r="R4715" s="103"/>
      <c r="S4715" s="103"/>
      <c r="T4715" s="103"/>
      <c r="U4715" s="148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1">
        <v>4710.0</v>
      </c>
      <c r="B4716" s="90" t="s">
        <v>7792</v>
      </c>
      <c r="C4716" s="82" t="str">
        <f>VLOOKUP($B$7:$B$5000,SUM!$L$6:$L$500,1,FALSE)</f>
        <v>#N/A</v>
      </c>
      <c r="D4716" s="190" t="s">
        <v>7518</v>
      </c>
      <c r="E4716" s="198" t="s">
        <v>58</v>
      </c>
      <c r="F4716" s="199" t="s">
        <v>593</v>
      </c>
      <c r="G4716" s="191" t="s">
        <v>7542</v>
      </c>
      <c r="H4716" s="199" t="s">
        <v>7651</v>
      </c>
      <c r="I4716" s="93" t="s">
        <v>4433</v>
      </c>
      <c r="J4716" s="103"/>
      <c r="K4716" s="103"/>
      <c r="L4716" s="148" t="s">
        <v>65</v>
      </c>
      <c r="M4716" s="148" t="s">
        <v>185</v>
      </c>
      <c r="N4716" s="255">
        <v>46197.0</v>
      </c>
      <c r="O4716" s="148" t="s">
        <v>67</v>
      </c>
      <c r="P4716" s="148" t="s">
        <v>68</v>
      </c>
      <c r="Q4716" s="103"/>
      <c r="R4716" s="103"/>
      <c r="S4716" s="103"/>
      <c r="T4716" s="103"/>
      <c r="U4716" s="148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1">
        <v>4711.0</v>
      </c>
      <c r="B4717" s="90" t="s">
        <v>7793</v>
      </c>
      <c r="C4717" s="82" t="str">
        <f>VLOOKUP($B$7:$B$5000,SUM!$L$6:$L$500,1,FALSE)</f>
        <v>#N/A</v>
      </c>
      <c r="D4717" s="190" t="s">
        <v>7518</v>
      </c>
      <c r="E4717" s="198" t="s">
        <v>58</v>
      </c>
      <c r="F4717" s="199" t="s">
        <v>593</v>
      </c>
      <c r="G4717" s="191" t="s">
        <v>7542</v>
      </c>
      <c r="H4717" s="199" t="s">
        <v>7653</v>
      </c>
      <c r="I4717" s="93" t="s">
        <v>4433</v>
      </c>
      <c r="J4717" s="103"/>
      <c r="K4717" s="103"/>
      <c r="L4717" s="148" t="s">
        <v>65</v>
      </c>
      <c r="M4717" s="148" t="s">
        <v>185</v>
      </c>
      <c r="N4717" s="255">
        <v>46197.0</v>
      </c>
      <c r="O4717" s="148" t="s">
        <v>67</v>
      </c>
      <c r="P4717" s="148" t="s">
        <v>68</v>
      </c>
      <c r="Q4717" s="103"/>
      <c r="R4717" s="103"/>
      <c r="S4717" s="103"/>
      <c r="T4717" s="103"/>
      <c r="U4717" s="148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1">
        <v>4712.0</v>
      </c>
      <c r="B4718" s="90" t="s">
        <v>7794</v>
      </c>
      <c r="C4718" s="82" t="str">
        <f>VLOOKUP($B$7:$B$5000,SUM!$L$6:$L$500,1,FALSE)</f>
        <v>#N/A</v>
      </c>
      <c r="D4718" s="190" t="s">
        <v>7518</v>
      </c>
      <c r="E4718" s="198" t="s">
        <v>58</v>
      </c>
      <c r="F4718" s="199" t="s">
        <v>593</v>
      </c>
      <c r="G4718" s="191" t="s">
        <v>7542</v>
      </c>
      <c r="H4718" s="199" t="s">
        <v>7655</v>
      </c>
      <c r="I4718" s="93" t="s">
        <v>4433</v>
      </c>
      <c r="J4718" s="103"/>
      <c r="K4718" s="103"/>
      <c r="L4718" s="148" t="s">
        <v>65</v>
      </c>
      <c r="M4718" s="148" t="s">
        <v>185</v>
      </c>
      <c r="N4718" s="255">
        <v>46197.0</v>
      </c>
      <c r="O4718" s="148" t="s">
        <v>67</v>
      </c>
      <c r="P4718" s="148" t="s">
        <v>68</v>
      </c>
      <c r="Q4718" s="103"/>
      <c r="R4718" s="103"/>
      <c r="S4718" s="103"/>
      <c r="T4718" s="103"/>
      <c r="U4718" s="148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1">
        <v>4713.0</v>
      </c>
      <c r="B4719" s="90" t="s">
        <v>7795</v>
      </c>
      <c r="C4719" s="82" t="str">
        <f>VLOOKUP($B$7:$B$5000,SUM!$L$6:$L$500,1,FALSE)</f>
        <v>#N/A</v>
      </c>
      <c r="D4719" s="190" t="s">
        <v>7518</v>
      </c>
      <c r="E4719" s="198" t="s">
        <v>58</v>
      </c>
      <c r="F4719" s="199" t="s">
        <v>593</v>
      </c>
      <c r="G4719" s="191" t="s">
        <v>7542</v>
      </c>
      <c r="H4719" s="199" t="s">
        <v>7657</v>
      </c>
      <c r="I4719" s="93" t="s">
        <v>4433</v>
      </c>
      <c r="J4719" s="103"/>
      <c r="K4719" s="103"/>
      <c r="L4719" s="148" t="s">
        <v>65</v>
      </c>
      <c r="M4719" s="148" t="s">
        <v>185</v>
      </c>
      <c r="N4719" s="255">
        <v>46197.0</v>
      </c>
      <c r="O4719" s="148" t="s">
        <v>67</v>
      </c>
      <c r="P4719" s="148" t="s">
        <v>68</v>
      </c>
      <c r="Q4719" s="103"/>
      <c r="R4719" s="103"/>
      <c r="S4719" s="103"/>
      <c r="T4719" s="103"/>
      <c r="U4719" s="148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1">
        <v>4714.0</v>
      </c>
      <c r="B4720" s="90" t="s">
        <v>7796</v>
      </c>
      <c r="C4720" s="82" t="str">
        <f>VLOOKUP($B$7:$B$5000,SUM!$L$6:$L$500,1,FALSE)</f>
        <v>#N/A</v>
      </c>
      <c r="D4720" s="190" t="s">
        <v>7518</v>
      </c>
      <c r="E4720" s="198" t="s">
        <v>58</v>
      </c>
      <c r="F4720" s="199" t="s">
        <v>593</v>
      </c>
      <c r="G4720" s="191" t="s">
        <v>7542</v>
      </c>
      <c r="H4720" s="199" t="s">
        <v>7659</v>
      </c>
      <c r="I4720" s="93" t="s">
        <v>4433</v>
      </c>
      <c r="J4720" s="103"/>
      <c r="K4720" s="103"/>
      <c r="L4720" s="148" t="s">
        <v>65</v>
      </c>
      <c r="M4720" s="148" t="s">
        <v>185</v>
      </c>
      <c r="N4720" s="255">
        <v>46197.0</v>
      </c>
      <c r="O4720" s="148" t="s">
        <v>67</v>
      </c>
      <c r="P4720" s="148" t="s">
        <v>68</v>
      </c>
      <c r="Q4720" s="103"/>
      <c r="R4720" s="103"/>
      <c r="S4720" s="103"/>
      <c r="T4720" s="103"/>
      <c r="U4720" s="148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1">
        <v>4715.0</v>
      </c>
      <c r="B4721" s="90" t="s">
        <v>7797</v>
      </c>
      <c r="C4721" s="82" t="str">
        <f>VLOOKUP($B$7:$B$5000,SUM!$L$6:$L$500,1,FALSE)</f>
        <v>#N/A</v>
      </c>
      <c r="D4721" s="190" t="s">
        <v>7518</v>
      </c>
      <c r="E4721" s="198" t="s">
        <v>58</v>
      </c>
      <c r="F4721" s="199" t="s">
        <v>593</v>
      </c>
      <c r="G4721" s="191" t="s">
        <v>7542</v>
      </c>
      <c r="H4721" s="199" t="s">
        <v>5883</v>
      </c>
      <c r="I4721" s="93" t="s">
        <v>4433</v>
      </c>
      <c r="J4721" s="103"/>
      <c r="K4721" s="103"/>
      <c r="L4721" s="148" t="s">
        <v>65</v>
      </c>
      <c r="M4721" s="148" t="s">
        <v>185</v>
      </c>
      <c r="N4721" s="255">
        <v>46197.0</v>
      </c>
      <c r="O4721" s="148" t="s">
        <v>67</v>
      </c>
      <c r="P4721" s="148" t="s">
        <v>68</v>
      </c>
      <c r="Q4721" s="103"/>
      <c r="R4721" s="103"/>
      <c r="S4721" s="103"/>
      <c r="T4721" s="103"/>
      <c r="U4721" s="148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1">
        <v>4716.0</v>
      </c>
      <c r="B4722" s="90" t="s">
        <v>7798</v>
      </c>
      <c r="C4722" s="82" t="str">
        <f>VLOOKUP($B$7:$B$5000,SUM!$L$6:$L$500,1,FALSE)</f>
        <v>#N/A</v>
      </c>
      <c r="D4722" s="190" t="s">
        <v>7518</v>
      </c>
      <c r="E4722" s="198" t="s">
        <v>58</v>
      </c>
      <c r="F4722" s="199" t="s">
        <v>593</v>
      </c>
      <c r="G4722" s="191" t="s">
        <v>7542</v>
      </c>
      <c r="H4722" s="199" t="s">
        <v>5885</v>
      </c>
      <c r="I4722" s="93" t="s">
        <v>4433</v>
      </c>
      <c r="J4722" s="103"/>
      <c r="K4722" s="103"/>
      <c r="L4722" s="148" t="s">
        <v>65</v>
      </c>
      <c r="M4722" s="148" t="s">
        <v>185</v>
      </c>
      <c r="N4722" s="255">
        <v>46197.0</v>
      </c>
      <c r="O4722" s="148" t="s">
        <v>67</v>
      </c>
      <c r="P4722" s="148" t="s">
        <v>68</v>
      </c>
      <c r="Q4722" s="103"/>
      <c r="R4722" s="103"/>
      <c r="S4722" s="103"/>
      <c r="T4722" s="103"/>
      <c r="U4722" s="148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1">
        <v>4717.0</v>
      </c>
      <c r="B4723" s="90" t="s">
        <v>7799</v>
      </c>
      <c r="C4723" s="82" t="str">
        <f>VLOOKUP($B$7:$B$5000,SUM!$L$6:$L$500,1,FALSE)</f>
        <v>#N/A</v>
      </c>
      <c r="D4723" s="190" t="s">
        <v>7518</v>
      </c>
      <c r="E4723" s="198" t="s">
        <v>58</v>
      </c>
      <c r="F4723" s="199" t="s">
        <v>593</v>
      </c>
      <c r="G4723" s="191" t="s">
        <v>7542</v>
      </c>
      <c r="H4723" s="199" t="s">
        <v>5887</v>
      </c>
      <c r="I4723" s="93" t="s">
        <v>4433</v>
      </c>
      <c r="J4723" s="103"/>
      <c r="K4723" s="103"/>
      <c r="L4723" s="148" t="s">
        <v>65</v>
      </c>
      <c r="M4723" s="148" t="s">
        <v>185</v>
      </c>
      <c r="N4723" s="255">
        <v>46197.0</v>
      </c>
      <c r="O4723" s="148" t="s">
        <v>67</v>
      </c>
      <c r="P4723" s="148" t="s">
        <v>68</v>
      </c>
      <c r="Q4723" s="103"/>
      <c r="R4723" s="103"/>
      <c r="S4723" s="103"/>
      <c r="T4723" s="103"/>
      <c r="U4723" s="148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1">
        <v>4718.0</v>
      </c>
      <c r="B4724" s="90" t="s">
        <v>7800</v>
      </c>
      <c r="C4724" s="82" t="str">
        <f>VLOOKUP($B$7:$B$5000,SUM!$L$6:$L$500,1,FALSE)</f>
        <v>#N/A</v>
      </c>
      <c r="D4724" s="190" t="s">
        <v>7518</v>
      </c>
      <c r="E4724" s="198" t="s">
        <v>58</v>
      </c>
      <c r="F4724" s="199" t="s">
        <v>593</v>
      </c>
      <c r="G4724" s="191" t="s">
        <v>7542</v>
      </c>
      <c r="H4724" s="199" t="s">
        <v>5889</v>
      </c>
      <c r="I4724" s="93" t="s">
        <v>4433</v>
      </c>
      <c r="J4724" s="103"/>
      <c r="K4724" s="103"/>
      <c r="L4724" s="148" t="s">
        <v>65</v>
      </c>
      <c r="M4724" s="148" t="s">
        <v>185</v>
      </c>
      <c r="N4724" s="255">
        <v>46197.0</v>
      </c>
      <c r="O4724" s="148" t="s">
        <v>67</v>
      </c>
      <c r="P4724" s="148" t="s">
        <v>68</v>
      </c>
      <c r="Q4724" s="103"/>
      <c r="R4724" s="103"/>
      <c r="S4724" s="103"/>
      <c r="T4724" s="103"/>
      <c r="U4724" s="148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1">
        <v>4719.0</v>
      </c>
      <c r="B4725" s="90" t="s">
        <v>7801</v>
      </c>
      <c r="C4725" s="82" t="str">
        <f>VLOOKUP($B$7:$B$5000,SUM!$L$6:$L$500,1,FALSE)</f>
        <v>#N/A</v>
      </c>
      <c r="D4725" s="190" t="s">
        <v>7518</v>
      </c>
      <c r="E4725" s="198" t="s">
        <v>58</v>
      </c>
      <c r="F4725" s="199" t="s">
        <v>593</v>
      </c>
      <c r="G4725" s="191" t="s">
        <v>7542</v>
      </c>
      <c r="H4725" s="199" t="s">
        <v>7665</v>
      </c>
      <c r="I4725" s="93" t="s">
        <v>4433</v>
      </c>
      <c r="J4725" s="103"/>
      <c r="K4725" s="103"/>
      <c r="L4725" s="148" t="s">
        <v>65</v>
      </c>
      <c r="M4725" s="148" t="s">
        <v>185</v>
      </c>
      <c r="N4725" s="255">
        <v>46197.0</v>
      </c>
      <c r="O4725" s="148" t="s">
        <v>67</v>
      </c>
      <c r="P4725" s="148" t="s">
        <v>68</v>
      </c>
      <c r="Q4725" s="103"/>
      <c r="R4725" s="103"/>
      <c r="S4725" s="103"/>
      <c r="T4725" s="103"/>
      <c r="U4725" s="148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1">
        <v>4720.0</v>
      </c>
      <c r="B4726" s="90" t="s">
        <v>7802</v>
      </c>
      <c r="C4726" s="82" t="str">
        <f>VLOOKUP($B$7:$B$5000,SUM!$L$6:$L$500,1,FALSE)</f>
        <v>#N/A</v>
      </c>
      <c r="D4726" s="190" t="s">
        <v>7518</v>
      </c>
      <c r="E4726" s="198" t="s">
        <v>58</v>
      </c>
      <c r="F4726" s="199" t="s">
        <v>593</v>
      </c>
      <c r="G4726" s="191" t="s">
        <v>7542</v>
      </c>
      <c r="H4726" s="199" t="s">
        <v>7667</v>
      </c>
      <c r="I4726" s="93" t="s">
        <v>4433</v>
      </c>
      <c r="J4726" s="103"/>
      <c r="K4726" s="103"/>
      <c r="L4726" s="148" t="s">
        <v>65</v>
      </c>
      <c r="M4726" s="148" t="s">
        <v>185</v>
      </c>
      <c r="N4726" s="255">
        <v>46197.0</v>
      </c>
      <c r="O4726" s="148" t="s">
        <v>67</v>
      </c>
      <c r="P4726" s="148" t="s">
        <v>68</v>
      </c>
      <c r="Q4726" s="103"/>
      <c r="R4726" s="103"/>
      <c r="S4726" s="103"/>
      <c r="T4726" s="103"/>
      <c r="U4726" s="148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1">
        <v>4721.0</v>
      </c>
      <c r="B4727" s="90" t="s">
        <v>7803</v>
      </c>
      <c r="C4727" s="82" t="str">
        <f>VLOOKUP($B$7:$B$5000,SUM!$L$6:$L$500,1,FALSE)</f>
        <v>#N/A</v>
      </c>
      <c r="D4727" s="190" t="s">
        <v>7518</v>
      </c>
      <c r="E4727" s="198" t="s">
        <v>58</v>
      </c>
      <c r="F4727" s="199" t="s">
        <v>593</v>
      </c>
      <c r="G4727" s="191" t="s">
        <v>7542</v>
      </c>
      <c r="H4727" s="199" t="s">
        <v>7669</v>
      </c>
      <c r="I4727" s="93" t="s">
        <v>4433</v>
      </c>
      <c r="J4727" s="103"/>
      <c r="K4727" s="103"/>
      <c r="L4727" s="148" t="s">
        <v>65</v>
      </c>
      <c r="M4727" s="148" t="s">
        <v>185</v>
      </c>
      <c r="N4727" s="255">
        <v>46197.0</v>
      </c>
      <c r="O4727" s="148" t="s">
        <v>67</v>
      </c>
      <c r="P4727" s="148" t="s">
        <v>68</v>
      </c>
      <c r="Q4727" s="103"/>
      <c r="R4727" s="103"/>
      <c r="S4727" s="103"/>
      <c r="T4727" s="103"/>
      <c r="U4727" s="148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1">
        <v>4722.0</v>
      </c>
      <c r="B4728" s="90" t="s">
        <v>7804</v>
      </c>
      <c r="C4728" s="82" t="str">
        <f>VLOOKUP($B$7:$B$5000,SUM!$L$6:$L$500,1,FALSE)</f>
        <v>#N/A</v>
      </c>
      <c r="D4728" s="190" t="s">
        <v>7518</v>
      </c>
      <c r="E4728" s="198" t="s">
        <v>58</v>
      </c>
      <c r="F4728" s="199" t="s">
        <v>593</v>
      </c>
      <c r="G4728" s="191" t="s">
        <v>7542</v>
      </c>
      <c r="H4728" s="199" t="s">
        <v>7671</v>
      </c>
      <c r="I4728" s="93" t="s">
        <v>4433</v>
      </c>
      <c r="J4728" s="103"/>
      <c r="K4728" s="103"/>
      <c r="L4728" s="148" t="s">
        <v>65</v>
      </c>
      <c r="M4728" s="148" t="s">
        <v>185</v>
      </c>
      <c r="N4728" s="255">
        <v>46197.0</v>
      </c>
      <c r="O4728" s="148" t="s">
        <v>67</v>
      </c>
      <c r="P4728" s="148" t="s">
        <v>68</v>
      </c>
      <c r="Q4728" s="103"/>
      <c r="R4728" s="103"/>
      <c r="S4728" s="103"/>
      <c r="T4728" s="103"/>
      <c r="U4728" s="148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1">
        <v>4723.0</v>
      </c>
      <c r="B4729" s="90" t="s">
        <v>7805</v>
      </c>
      <c r="C4729" s="82" t="str">
        <f>VLOOKUP($B$7:$B$5000,SUM!$L$6:$L$500,1,FALSE)</f>
        <v>#N/A</v>
      </c>
      <c r="D4729" s="190" t="s">
        <v>7518</v>
      </c>
      <c r="E4729" s="198" t="s">
        <v>58</v>
      </c>
      <c r="F4729" s="199" t="s">
        <v>593</v>
      </c>
      <c r="G4729" s="191" t="s">
        <v>7542</v>
      </c>
      <c r="H4729" s="199" t="s">
        <v>7673</v>
      </c>
      <c r="I4729" s="93" t="s">
        <v>4433</v>
      </c>
      <c r="J4729" s="103"/>
      <c r="K4729" s="103"/>
      <c r="L4729" s="148" t="s">
        <v>65</v>
      </c>
      <c r="M4729" s="148" t="s">
        <v>185</v>
      </c>
      <c r="N4729" s="255">
        <v>46197.0</v>
      </c>
      <c r="O4729" s="148" t="s">
        <v>67</v>
      </c>
      <c r="P4729" s="148" t="s">
        <v>68</v>
      </c>
      <c r="Q4729" s="103"/>
      <c r="R4729" s="103"/>
      <c r="S4729" s="103"/>
      <c r="T4729" s="103"/>
      <c r="U4729" s="148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1">
        <v>4724.0</v>
      </c>
      <c r="B4730" s="90" t="s">
        <v>7806</v>
      </c>
      <c r="C4730" s="82" t="str">
        <f>VLOOKUP($B$7:$B$5000,SUM!$L$6:$L$500,1,FALSE)</f>
        <v>#N/A</v>
      </c>
      <c r="D4730" s="190" t="s">
        <v>7518</v>
      </c>
      <c r="E4730" s="198" t="s">
        <v>58</v>
      </c>
      <c r="F4730" s="199" t="s">
        <v>593</v>
      </c>
      <c r="G4730" s="191" t="s">
        <v>7542</v>
      </c>
      <c r="H4730" s="199" t="s">
        <v>7675</v>
      </c>
      <c r="I4730" s="93" t="s">
        <v>4433</v>
      </c>
      <c r="J4730" s="103"/>
      <c r="K4730" s="103"/>
      <c r="L4730" s="148" t="s">
        <v>65</v>
      </c>
      <c r="M4730" s="148" t="s">
        <v>185</v>
      </c>
      <c r="N4730" s="255">
        <v>46197.0</v>
      </c>
      <c r="O4730" s="148" t="s">
        <v>67</v>
      </c>
      <c r="P4730" s="148" t="s">
        <v>68</v>
      </c>
      <c r="Q4730" s="103"/>
      <c r="R4730" s="103"/>
      <c r="S4730" s="103"/>
      <c r="T4730" s="103"/>
      <c r="U4730" s="148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1">
        <v>4725.0</v>
      </c>
      <c r="B4731" s="90" t="s">
        <v>7807</v>
      </c>
      <c r="C4731" s="82" t="str">
        <f>VLOOKUP($B$7:$B$5000,SUM!$L$6:$L$500,1,FALSE)</f>
        <v>#N/A</v>
      </c>
      <c r="D4731" s="190" t="s">
        <v>7518</v>
      </c>
      <c r="E4731" s="198" t="s">
        <v>58</v>
      </c>
      <c r="F4731" s="199" t="s">
        <v>593</v>
      </c>
      <c r="G4731" s="191" t="s">
        <v>7542</v>
      </c>
      <c r="H4731" s="199" t="s">
        <v>7677</v>
      </c>
      <c r="I4731" s="93" t="s">
        <v>4433</v>
      </c>
      <c r="J4731" s="103"/>
      <c r="K4731" s="103"/>
      <c r="L4731" s="148" t="s">
        <v>65</v>
      </c>
      <c r="M4731" s="148" t="s">
        <v>185</v>
      </c>
      <c r="N4731" s="255">
        <v>46197.0</v>
      </c>
      <c r="O4731" s="148" t="s">
        <v>67</v>
      </c>
      <c r="P4731" s="148" t="s">
        <v>68</v>
      </c>
      <c r="Q4731" s="103"/>
      <c r="R4731" s="103"/>
      <c r="S4731" s="103"/>
      <c r="T4731" s="103"/>
      <c r="U4731" s="148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1">
        <v>4726.0</v>
      </c>
      <c r="B4732" s="90" t="s">
        <v>7808</v>
      </c>
      <c r="C4732" s="82" t="str">
        <f>VLOOKUP($B$7:$B$5000,SUM!$L$6:$L$500,1,FALSE)</f>
        <v>#N/A</v>
      </c>
      <c r="D4732" s="190" t="s">
        <v>7518</v>
      </c>
      <c r="E4732" s="198" t="s">
        <v>58</v>
      </c>
      <c r="F4732" s="199" t="s">
        <v>593</v>
      </c>
      <c r="G4732" s="191" t="s">
        <v>7542</v>
      </c>
      <c r="H4732" s="199" t="s">
        <v>7679</v>
      </c>
      <c r="I4732" s="93" t="s">
        <v>4433</v>
      </c>
      <c r="J4732" s="103"/>
      <c r="K4732" s="103"/>
      <c r="L4732" s="148" t="s">
        <v>65</v>
      </c>
      <c r="M4732" s="148" t="s">
        <v>185</v>
      </c>
      <c r="N4732" s="255">
        <v>46197.0</v>
      </c>
      <c r="O4732" s="148" t="s">
        <v>67</v>
      </c>
      <c r="P4732" s="148" t="s">
        <v>68</v>
      </c>
      <c r="Q4732" s="103"/>
      <c r="R4732" s="103"/>
      <c r="S4732" s="103"/>
      <c r="T4732" s="103"/>
      <c r="U4732" s="148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1">
        <v>4727.0</v>
      </c>
      <c r="B4733" s="90" t="s">
        <v>7809</v>
      </c>
      <c r="C4733" s="82" t="str">
        <f>VLOOKUP($B$7:$B$5000,SUM!$L$6:$L$500,1,FALSE)</f>
        <v>#N/A</v>
      </c>
      <c r="D4733" s="190" t="s">
        <v>7518</v>
      </c>
      <c r="E4733" s="198" t="s">
        <v>58</v>
      </c>
      <c r="F4733" s="199" t="s">
        <v>593</v>
      </c>
      <c r="G4733" s="191" t="s">
        <v>7542</v>
      </c>
      <c r="H4733" s="199" t="s">
        <v>7681</v>
      </c>
      <c r="I4733" s="93" t="s">
        <v>4433</v>
      </c>
      <c r="J4733" s="103"/>
      <c r="K4733" s="103"/>
      <c r="L4733" s="148" t="s">
        <v>65</v>
      </c>
      <c r="M4733" s="148" t="s">
        <v>185</v>
      </c>
      <c r="N4733" s="255">
        <v>46197.0</v>
      </c>
      <c r="O4733" s="148" t="s">
        <v>67</v>
      </c>
      <c r="P4733" s="148" t="s">
        <v>68</v>
      </c>
      <c r="Q4733" s="103"/>
      <c r="R4733" s="103"/>
      <c r="S4733" s="103"/>
      <c r="T4733" s="103"/>
      <c r="U4733" s="148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1">
        <v>4728.0</v>
      </c>
      <c r="B4734" s="90" t="s">
        <v>7810</v>
      </c>
      <c r="C4734" s="82" t="str">
        <f>VLOOKUP($B$7:$B$5000,SUM!$L$6:$L$500,1,FALSE)</f>
        <v>#N/A</v>
      </c>
      <c r="D4734" s="190" t="s">
        <v>7518</v>
      </c>
      <c r="E4734" s="198" t="s">
        <v>58</v>
      </c>
      <c r="F4734" s="199" t="s">
        <v>593</v>
      </c>
      <c r="G4734" s="191" t="s">
        <v>7542</v>
      </c>
      <c r="H4734" s="199" t="s">
        <v>7683</v>
      </c>
      <c r="I4734" s="93" t="s">
        <v>4433</v>
      </c>
      <c r="J4734" s="103"/>
      <c r="K4734" s="103"/>
      <c r="L4734" s="148" t="s">
        <v>65</v>
      </c>
      <c r="M4734" s="148" t="s">
        <v>185</v>
      </c>
      <c r="N4734" s="255">
        <v>46197.0</v>
      </c>
      <c r="O4734" s="148" t="s">
        <v>67</v>
      </c>
      <c r="P4734" s="148" t="s">
        <v>68</v>
      </c>
      <c r="Q4734" s="103"/>
      <c r="R4734" s="103"/>
      <c r="S4734" s="103"/>
      <c r="T4734" s="103"/>
      <c r="U4734" s="148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1">
        <v>4729.0</v>
      </c>
      <c r="B4735" s="90" t="s">
        <v>7811</v>
      </c>
      <c r="C4735" s="82" t="str">
        <f>VLOOKUP($B$7:$B$5000,SUM!$L$6:$L$500,1,FALSE)</f>
        <v>#N/A</v>
      </c>
      <c r="D4735" s="190" t="s">
        <v>7518</v>
      </c>
      <c r="E4735" s="198" t="s">
        <v>58</v>
      </c>
      <c r="F4735" s="199" t="s">
        <v>593</v>
      </c>
      <c r="G4735" s="191" t="s">
        <v>7542</v>
      </c>
      <c r="H4735" s="199" t="s">
        <v>4668</v>
      </c>
      <c r="I4735" s="93" t="s">
        <v>4433</v>
      </c>
      <c r="J4735" s="103"/>
      <c r="K4735" s="103"/>
      <c r="L4735" s="148" t="s">
        <v>65</v>
      </c>
      <c r="M4735" s="148" t="s">
        <v>185</v>
      </c>
      <c r="N4735" s="255">
        <v>46197.0</v>
      </c>
      <c r="O4735" s="148" t="s">
        <v>67</v>
      </c>
      <c r="P4735" s="148" t="s">
        <v>68</v>
      </c>
      <c r="Q4735" s="103"/>
      <c r="R4735" s="103"/>
      <c r="S4735" s="103"/>
      <c r="T4735" s="103"/>
      <c r="U4735" s="148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1">
        <v>4730.0</v>
      </c>
      <c r="B4736" s="90" t="s">
        <v>7812</v>
      </c>
      <c r="C4736" s="82" t="str">
        <f>VLOOKUP($B$7:$B$5000,SUM!$L$6:$L$500,1,FALSE)</f>
        <v>#N/A</v>
      </c>
      <c r="D4736" s="190" t="s">
        <v>7518</v>
      </c>
      <c r="E4736" s="198" t="s">
        <v>58</v>
      </c>
      <c r="F4736" s="199" t="s">
        <v>593</v>
      </c>
      <c r="G4736" s="191" t="s">
        <v>7542</v>
      </c>
      <c r="H4736" s="199" t="s">
        <v>4670</v>
      </c>
      <c r="I4736" s="93" t="s">
        <v>4433</v>
      </c>
      <c r="J4736" s="103"/>
      <c r="K4736" s="103"/>
      <c r="L4736" s="148" t="s">
        <v>65</v>
      </c>
      <c r="M4736" s="148" t="s">
        <v>185</v>
      </c>
      <c r="N4736" s="255">
        <v>46197.0</v>
      </c>
      <c r="O4736" s="148" t="s">
        <v>67</v>
      </c>
      <c r="P4736" s="148" t="s">
        <v>68</v>
      </c>
      <c r="Q4736" s="103"/>
      <c r="R4736" s="103"/>
      <c r="S4736" s="103"/>
      <c r="T4736" s="103"/>
      <c r="U4736" s="148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1">
        <v>4731.0</v>
      </c>
      <c r="B4737" s="90" t="s">
        <v>7813</v>
      </c>
      <c r="C4737" s="82" t="str">
        <f>VLOOKUP($B$7:$B$5000,SUM!$L$6:$L$500,1,FALSE)</f>
        <v>#N/A</v>
      </c>
      <c r="D4737" s="190" t="s">
        <v>7518</v>
      </c>
      <c r="E4737" s="198" t="s">
        <v>58</v>
      </c>
      <c r="F4737" s="199" t="s">
        <v>593</v>
      </c>
      <c r="G4737" s="191" t="s">
        <v>7542</v>
      </c>
      <c r="H4737" s="199" t="s">
        <v>7687</v>
      </c>
      <c r="I4737" s="93" t="s">
        <v>4433</v>
      </c>
      <c r="J4737" s="103"/>
      <c r="K4737" s="103"/>
      <c r="L4737" s="148" t="s">
        <v>65</v>
      </c>
      <c r="M4737" s="148" t="s">
        <v>185</v>
      </c>
      <c r="N4737" s="255">
        <v>46197.0</v>
      </c>
      <c r="O4737" s="148" t="s">
        <v>67</v>
      </c>
      <c r="P4737" s="148" t="s">
        <v>68</v>
      </c>
      <c r="Q4737" s="103"/>
      <c r="R4737" s="103"/>
      <c r="S4737" s="103"/>
      <c r="T4737" s="103"/>
      <c r="U4737" s="148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1">
        <v>4732.0</v>
      </c>
      <c r="B4738" s="90" t="s">
        <v>7814</v>
      </c>
      <c r="C4738" s="82" t="str">
        <f>VLOOKUP($B$7:$B$5000,SUM!$L$6:$L$500,1,FALSE)</f>
        <v>#N/A</v>
      </c>
      <c r="D4738" s="190" t="s">
        <v>7518</v>
      </c>
      <c r="E4738" s="198" t="s">
        <v>58</v>
      </c>
      <c r="F4738" s="199" t="s">
        <v>593</v>
      </c>
      <c r="G4738" s="191" t="s">
        <v>7542</v>
      </c>
      <c r="H4738" s="199" t="s">
        <v>7689</v>
      </c>
      <c r="I4738" s="93" t="s">
        <v>4433</v>
      </c>
      <c r="J4738" s="103"/>
      <c r="K4738" s="103"/>
      <c r="L4738" s="148" t="s">
        <v>65</v>
      </c>
      <c r="M4738" s="148" t="s">
        <v>185</v>
      </c>
      <c r="N4738" s="255">
        <v>46197.0</v>
      </c>
      <c r="O4738" s="148" t="s">
        <v>67</v>
      </c>
      <c r="P4738" s="148" t="s">
        <v>68</v>
      </c>
      <c r="Q4738" s="103"/>
      <c r="R4738" s="103"/>
      <c r="S4738" s="103"/>
      <c r="T4738" s="103"/>
      <c r="U4738" s="148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1">
        <v>4733.0</v>
      </c>
      <c r="B4739" s="90" t="s">
        <v>7815</v>
      </c>
      <c r="C4739" s="82" t="str">
        <f>VLOOKUP($B$7:$B$5000,SUM!$L$6:$L$500,1,FALSE)</f>
        <v>#N/A</v>
      </c>
      <c r="D4739" s="190" t="s">
        <v>7518</v>
      </c>
      <c r="E4739" s="198" t="s">
        <v>58</v>
      </c>
      <c r="F4739" s="199" t="s">
        <v>593</v>
      </c>
      <c r="G4739" s="191" t="s">
        <v>7542</v>
      </c>
      <c r="H4739" s="199" t="s">
        <v>7691</v>
      </c>
      <c r="I4739" s="93" t="s">
        <v>4433</v>
      </c>
      <c r="J4739" s="103"/>
      <c r="K4739" s="103"/>
      <c r="L4739" s="148" t="s">
        <v>65</v>
      </c>
      <c r="M4739" s="148" t="s">
        <v>185</v>
      </c>
      <c r="N4739" s="255">
        <v>46197.0</v>
      </c>
      <c r="O4739" s="148" t="s">
        <v>67</v>
      </c>
      <c r="P4739" s="148" t="s">
        <v>68</v>
      </c>
      <c r="Q4739" s="103"/>
      <c r="R4739" s="103"/>
      <c r="S4739" s="103"/>
      <c r="T4739" s="103"/>
      <c r="U4739" s="148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1">
        <v>4734.0</v>
      </c>
      <c r="B4740" s="90" t="s">
        <v>7816</v>
      </c>
      <c r="C4740" s="82" t="str">
        <f>VLOOKUP($B$7:$B$5000,SUM!$L$6:$L$500,1,FALSE)</f>
        <v>#N/A</v>
      </c>
      <c r="D4740" s="190" t="s">
        <v>7518</v>
      </c>
      <c r="E4740" s="198" t="s">
        <v>58</v>
      </c>
      <c r="F4740" s="199" t="s">
        <v>593</v>
      </c>
      <c r="G4740" s="191" t="s">
        <v>7542</v>
      </c>
      <c r="H4740" s="199" t="s">
        <v>7693</v>
      </c>
      <c r="I4740" s="93" t="s">
        <v>4433</v>
      </c>
      <c r="J4740" s="103"/>
      <c r="K4740" s="103"/>
      <c r="L4740" s="148" t="s">
        <v>65</v>
      </c>
      <c r="M4740" s="148" t="s">
        <v>185</v>
      </c>
      <c r="N4740" s="255">
        <v>46197.0</v>
      </c>
      <c r="O4740" s="148" t="s">
        <v>67</v>
      </c>
      <c r="P4740" s="148" t="s">
        <v>68</v>
      </c>
      <c r="Q4740" s="103"/>
      <c r="R4740" s="103"/>
      <c r="S4740" s="103"/>
      <c r="T4740" s="103"/>
      <c r="U4740" s="148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1">
        <v>4735.0</v>
      </c>
      <c r="B4741" s="90" t="s">
        <v>7817</v>
      </c>
      <c r="C4741" s="82" t="str">
        <f>VLOOKUP($B$7:$B$5000,SUM!$L$6:$L$500,1,FALSE)</f>
        <v>#N/A</v>
      </c>
      <c r="D4741" s="190" t="s">
        <v>7518</v>
      </c>
      <c r="E4741" s="198" t="s">
        <v>58</v>
      </c>
      <c r="F4741" s="199" t="s">
        <v>593</v>
      </c>
      <c r="G4741" s="191" t="s">
        <v>7542</v>
      </c>
      <c r="H4741" s="199" t="s">
        <v>7695</v>
      </c>
      <c r="I4741" s="93" t="s">
        <v>4433</v>
      </c>
      <c r="J4741" s="103"/>
      <c r="K4741" s="103"/>
      <c r="L4741" s="148" t="s">
        <v>65</v>
      </c>
      <c r="M4741" s="148" t="s">
        <v>185</v>
      </c>
      <c r="N4741" s="255">
        <v>46197.0</v>
      </c>
      <c r="O4741" s="148" t="s">
        <v>67</v>
      </c>
      <c r="P4741" s="148" t="s">
        <v>68</v>
      </c>
      <c r="Q4741" s="103"/>
      <c r="R4741" s="103"/>
      <c r="S4741" s="103"/>
      <c r="T4741" s="103"/>
      <c r="U4741" s="148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1">
        <v>4736.0</v>
      </c>
      <c r="B4742" s="90" t="s">
        <v>7818</v>
      </c>
      <c r="C4742" s="82" t="str">
        <f>VLOOKUP($B$7:$B$5000,SUM!$L$6:$L$500,1,FALSE)</f>
        <v>#N/A</v>
      </c>
      <c r="D4742" s="190" t="s">
        <v>7518</v>
      </c>
      <c r="E4742" s="198" t="s">
        <v>58</v>
      </c>
      <c r="F4742" s="199" t="s">
        <v>593</v>
      </c>
      <c r="G4742" s="191" t="s">
        <v>7542</v>
      </c>
      <c r="H4742" s="199" t="s">
        <v>7697</v>
      </c>
      <c r="I4742" s="93" t="s">
        <v>4433</v>
      </c>
      <c r="J4742" s="103"/>
      <c r="K4742" s="103"/>
      <c r="L4742" s="148" t="s">
        <v>65</v>
      </c>
      <c r="M4742" s="148" t="s">
        <v>185</v>
      </c>
      <c r="N4742" s="255">
        <v>46197.0</v>
      </c>
      <c r="O4742" s="148" t="s">
        <v>67</v>
      </c>
      <c r="P4742" s="148" t="s">
        <v>68</v>
      </c>
      <c r="Q4742" s="103"/>
      <c r="R4742" s="103"/>
      <c r="S4742" s="103"/>
      <c r="T4742" s="103"/>
      <c r="U4742" s="148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1">
        <v>4737.0</v>
      </c>
      <c r="B4743" s="90" t="s">
        <v>7819</v>
      </c>
      <c r="C4743" s="82" t="str">
        <f>VLOOKUP($B$7:$B$5000,SUM!$L$6:$L$500,1,FALSE)</f>
        <v>#N/A</v>
      </c>
      <c r="D4743" s="190" t="s">
        <v>7518</v>
      </c>
      <c r="E4743" s="198" t="s">
        <v>58</v>
      </c>
      <c r="F4743" s="199" t="s">
        <v>593</v>
      </c>
      <c r="G4743" s="191" t="s">
        <v>7542</v>
      </c>
      <c r="H4743" s="199" t="s">
        <v>7699</v>
      </c>
      <c r="I4743" s="93" t="s">
        <v>4433</v>
      </c>
      <c r="J4743" s="103"/>
      <c r="K4743" s="103"/>
      <c r="L4743" s="148" t="s">
        <v>65</v>
      </c>
      <c r="M4743" s="148" t="s">
        <v>185</v>
      </c>
      <c r="N4743" s="255">
        <v>46197.0</v>
      </c>
      <c r="O4743" s="148" t="s">
        <v>67</v>
      </c>
      <c r="P4743" s="148" t="s">
        <v>68</v>
      </c>
      <c r="Q4743" s="103"/>
      <c r="R4743" s="103"/>
      <c r="S4743" s="103"/>
      <c r="T4743" s="103"/>
      <c r="U4743" s="148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1">
        <v>4738.0</v>
      </c>
      <c r="B4744" s="90" t="s">
        <v>7820</v>
      </c>
      <c r="C4744" s="82" t="str">
        <f>VLOOKUP($B$7:$B$5000,SUM!$L$6:$L$500,1,FALSE)</f>
        <v>#N/A</v>
      </c>
      <c r="D4744" s="190" t="s">
        <v>7518</v>
      </c>
      <c r="E4744" s="198" t="s">
        <v>58</v>
      </c>
      <c r="F4744" s="199" t="s">
        <v>593</v>
      </c>
      <c r="G4744" s="191" t="s">
        <v>7542</v>
      </c>
      <c r="H4744" s="199" t="s">
        <v>7701</v>
      </c>
      <c r="I4744" s="93" t="s">
        <v>4433</v>
      </c>
      <c r="J4744" s="103"/>
      <c r="K4744" s="103"/>
      <c r="L4744" s="148" t="s">
        <v>65</v>
      </c>
      <c r="M4744" s="148" t="s">
        <v>185</v>
      </c>
      <c r="N4744" s="255">
        <v>46197.0</v>
      </c>
      <c r="O4744" s="148" t="s">
        <v>67</v>
      </c>
      <c r="P4744" s="148" t="s">
        <v>68</v>
      </c>
      <c r="Q4744" s="103"/>
      <c r="R4744" s="103"/>
      <c r="S4744" s="103"/>
      <c r="T4744" s="103"/>
      <c r="U4744" s="148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1">
        <v>4739.0</v>
      </c>
      <c r="B4745" s="90" t="s">
        <v>7821</v>
      </c>
      <c r="C4745" s="82" t="str">
        <f>VLOOKUP($B$7:$B$5000,SUM!$L$6:$L$500,1,FALSE)</f>
        <v>#N/A</v>
      </c>
      <c r="D4745" s="190" t="s">
        <v>7518</v>
      </c>
      <c r="E4745" s="198" t="s">
        <v>58</v>
      </c>
      <c r="F4745" s="199" t="s">
        <v>593</v>
      </c>
      <c r="G4745" s="191" t="s">
        <v>7542</v>
      </c>
      <c r="H4745" s="199" t="s">
        <v>7703</v>
      </c>
      <c r="I4745" s="93" t="s">
        <v>4433</v>
      </c>
      <c r="J4745" s="103"/>
      <c r="K4745" s="103"/>
      <c r="L4745" s="148" t="s">
        <v>65</v>
      </c>
      <c r="M4745" s="148" t="s">
        <v>185</v>
      </c>
      <c r="N4745" s="255">
        <v>46197.0</v>
      </c>
      <c r="O4745" s="148" t="s">
        <v>67</v>
      </c>
      <c r="P4745" s="148" t="s">
        <v>68</v>
      </c>
      <c r="Q4745" s="103"/>
      <c r="R4745" s="103"/>
      <c r="S4745" s="103"/>
      <c r="T4745" s="103"/>
      <c r="U4745" s="148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1">
        <v>4740.0</v>
      </c>
      <c r="B4746" s="90" t="s">
        <v>7822</v>
      </c>
      <c r="C4746" s="82" t="str">
        <f>VLOOKUP($B$7:$B$5000,SUM!$L$6:$L$500,1,FALSE)</f>
        <v>#N/A</v>
      </c>
      <c r="D4746" s="190" t="s">
        <v>7518</v>
      </c>
      <c r="E4746" s="198" t="s">
        <v>58</v>
      </c>
      <c r="F4746" s="199" t="s">
        <v>593</v>
      </c>
      <c r="G4746" s="191" t="s">
        <v>7542</v>
      </c>
      <c r="H4746" s="199" t="s">
        <v>7705</v>
      </c>
      <c r="I4746" s="93" t="s">
        <v>4433</v>
      </c>
      <c r="J4746" s="103"/>
      <c r="K4746" s="103"/>
      <c r="L4746" s="148" t="s">
        <v>65</v>
      </c>
      <c r="M4746" s="148" t="s">
        <v>185</v>
      </c>
      <c r="N4746" s="255">
        <v>46197.0</v>
      </c>
      <c r="O4746" s="148" t="s">
        <v>67</v>
      </c>
      <c r="P4746" s="148" t="s">
        <v>68</v>
      </c>
      <c r="Q4746" s="103"/>
      <c r="R4746" s="103"/>
      <c r="S4746" s="103"/>
      <c r="T4746" s="103"/>
      <c r="U4746" s="148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1">
        <v>4741.0</v>
      </c>
      <c r="B4747" s="90" t="s">
        <v>7823</v>
      </c>
      <c r="C4747" s="82" t="str">
        <f>VLOOKUP($B$7:$B$5000,SUM!$L$6:$L$500,1,FALSE)</f>
        <v>#N/A</v>
      </c>
      <c r="D4747" s="190" t="s">
        <v>7518</v>
      </c>
      <c r="E4747" s="198" t="s">
        <v>58</v>
      </c>
      <c r="F4747" s="199" t="s">
        <v>593</v>
      </c>
      <c r="G4747" s="191" t="s">
        <v>7542</v>
      </c>
      <c r="H4747" s="199" t="s">
        <v>7707</v>
      </c>
      <c r="I4747" s="93" t="s">
        <v>4433</v>
      </c>
      <c r="J4747" s="103"/>
      <c r="K4747" s="103"/>
      <c r="L4747" s="148" t="s">
        <v>65</v>
      </c>
      <c r="M4747" s="148" t="s">
        <v>185</v>
      </c>
      <c r="N4747" s="255">
        <v>46197.0</v>
      </c>
      <c r="O4747" s="148" t="s">
        <v>67</v>
      </c>
      <c r="P4747" s="148" t="s">
        <v>68</v>
      </c>
      <c r="Q4747" s="103"/>
      <c r="R4747" s="103"/>
      <c r="S4747" s="103"/>
      <c r="T4747" s="103"/>
      <c r="U4747" s="148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1">
        <v>4742.0</v>
      </c>
      <c r="B4748" s="90" t="s">
        <v>7824</v>
      </c>
      <c r="C4748" s="82" t="str">
        <f>VLOOKUP($B$7:$B$5000,SUM!$L$6:$L$500,1,FALSE)</f>
        <v>#N/A</v>
      </c>
      <c r="D4748" s="190" t="s">
        <v>7518</v>
      </c>
      <c r="E4748" s="198" t="s">
        <v>58</v>
      </c>
      <c r="F4748" s="199" t="s">
        <v>593</v>
      </c>
      <c r="G4748" s="191" t="s">
        <v>7542</v>
      </c>
      <c r="H4748" s="199" t="s">
        <v>7709</v>
      </c>
      <c r="I4748" s="93" t="s">
        <v>4433</v>
      </c>
      <c r="J4748" s="103"/>
      <c r="K4748" s="103"/>
      <c r="L4748" s="148" t="s">
        <v>65</v>
      </c>
      <c r="M4748" s="148" t="s">
        <v>185</v>
      </c>
      <c r="N4748" s="255">
        <v>46197.0</v>
      </c>
      <c r="O4748" s="148" t="s">
        <v>67</v>
      </c>
      <c r="P4748" s="148" t="s">
        <v>68</v>
      </c>
      <c r="Q4748" s="103"/>
      <c r="R4748" s="103"/>
      <c r="S4748" s="103"/>
      <c r="T4748" s="103"/>
      <c r="U4748" s="148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1">
        <v>4743.0</v>
      </c>
      <c r="B4749" s="90" t="s">
        <v>7825</v>
      </c>
      <c r="C4749" s="82" t="str">
        <f>VLOOKUP($B$7:$B$5000,SUM!$L$6:$L$500,1,FALSE)</f>
        <v>#N/A</v>
      </c>
      <c r="D4749" s="190" t="s">
        <v>7518</v>
      </c>
      <c r="E4749" s="198" t="s">
        <v>58</v>
      </c>
      <c r="F4749" s="199" t="s">
        <v>593</v>
      </c>
      <c r="G4749" s="191" t="s">
        <v>7542</v>
      </c>
      <c r="H4749" s="199" t="s">
        <v>7711</v>
      </c>
      <c r="I4749" s="93" t="s">
        <v>4433</v>
      </c>
      <c r="J4749" s="103"/>
      <c r="K4749" s="103"/>
      <c r="L4749" s="148" t="s">
        <v>65</v>
      </c>
      <c r="M4749" s="148" t="s">
        <v>185</v>
      </c>
      <c r="N4749" s="255">
        <v>46197.0</v>
      </c>
      <c r="O4749" s="148" t="s">
        <v>67</v>
      </c>
      <c r="P4749" s="148" t="s">
        <v>68</v>
      </c>
      <c r="Q4749" s="103"/>
      <c r="R4749" s="103"/>
      <c r="S4749" s="103"/>
      <c r="T4749" s="103"/>
      <c r="U4749" s="148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1">
        <v>4744.0</v>
      </c>
      <c r="B4750" s="90" t="s">
        <v>7826</v>
      </c>
      <c r="C4750" s="82" t="str">
        <f>VLOOKUP($B$7:$B$5000,SUM!$L$6:$L$500,1,FALSE)</f>
        <v>#N/A</v>
      </c>
      <c r="D4750" s="190" t="s">
        <v>7518</v>
      </c>
      <c r="E4750" s="198" t="s">
        <v>58</v>
      </c>
      <c r="F4750" s="199" t="s">
        <v>593</v>
      </c>
      <c r="G4750" s="191" t="s">
        <v>7542</v>
      </c>
      <c r="H4750" s="199" t="s">
        <v>7713</v>
      </c>
      <c r="I4750" s="93" t="s">
        <v>4433</v>
      </c>
      <c r="J4750" s="103"/>
      <c r="K4750" s="103"/>
      <c r="L4750" s="148" t="s">
        <v>65</v>
      </c>
      <c r="M4750" s="148" t="s">
        <v>185</v>
      </c>
      <c r="N4750" s="255">
        <v>46197.0</v>
      </c>
      <c r="O4750" s="148" t="s">
        <v>67</v>
      </c>
      <c r="P4750" s="148" t="s">
        <v>68</v>
      </c>
      <c r="Q4750" s="103"/>
      <c r="R4750" s="103"/>
      <c r="S4750" s="103"/>
      <c r="T4750" s="103"/>
      <c r="U4750" s="148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1">
        <v>4745.0</v>
      </c>
      <c r="B4751" s="90" t="s">
        <v>7827</v>
      </c>
      <c r="C4751" s="82" t="str">
        <f>VLOOKUP($B$7:$B$5000,SUM!$L$6:$L$500,1,FALSE)</f>
        <v>#N/A</v>
      </c>
      <c r="D4751" s="190" t="s">
        <v>7518</v>
      </c>
      <c r="E4751" s="198" t="s">
        <v>58</v>
      </c>
      <c r="F4751" s="199" t="s">
        <v>593</v>
      </c>
      <c r="G4751" s="191" t="s">
        <v>7542</v>
      </c>
      <c r="H4751" s="199" t="s">
        <v>7715</v>
      </c>
      <c r="I4751" s="93" t="s">
        <v>4433</v>
      </c>
      <c r="J4751" s="103"/>
      <c r="K4751" s="103"/>
      <c r="L4751" s="148" t="s">
        <v>65</v>
      </c>
      <c r="M4751" s="148" t="s">
        <v>185</v>
      </c>
      <c r="N4751" s="255">
        <v>46197.0</v>
      </c>
      <c r="O4751" s="148" t="s">
        <v>67</v>
      </c>
      <c r="P4751" s="148" t="s">
        <v>68</v>
      </c>
      <c r="Q4751" s="103"/>
      <c r="R4751" s="103"/>
      <c r="S4751" s="103"/>
      <c r="T4751" s="103"/>
      <c r="U4751" s="148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1">
        <v>4746.0</v>
      </c>
      <c r="B4752" s="90" t="s">
        <v>7828</v>
      </c>
      <c r="C4752" s="82" t="str">
        <f>VLOOKUP($B$7:$B$5000,SUM!$L$6:$L$500,1,FALSE)</f>
        <v>#N/A</v>
      </c>
      <c r="D4752" s="190" t="s">
        <v>7518</v>
      </c>
      <c r="E4752" s="198" t="s">
        <v>58</v>
      </c>
      <c r="F4752" s="199" t="s">
        <v>593</v>
      </c>
      <c r="G4752" s="191" t="s">
        <v>7542</v>
      </c>
      <c r="H4752" s="199" t="s">
        <v>7717</v>
      </c>
      <c r="I4752" s="93" t="s">
        <v>4433</v>
      </c>
      <c r="J4752" s="103"/>
      <c r="K4752" s="103"/>
      <c r="L4752" s="148" t="s">
        <v>65</v>
      </c>
      <c r="M4752" s="148" t="s">
        <v>185</v>
      </c>
      <c r="N4752" s="255">
        <v>46197.0</v>
      </c>
      <c r="O4752" s="148" t="s">
        <v>67</v>
      </c>
      <c r="P4752" s="148" t="s">
        <v>68</v>
      </c>
      <c r="Q4752" s="103"/>
      <c r="R4752" s="103"/>
      <c r="S4752" s="103"/>
      <c r="T4752" s="103"/>
      <c r="U4752" s="148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1">
        <v>4747.0</v>
      </c>
      <c r="B4753" s="90" t="s">
        <v>7829</v>
      </c>
      <c r="C4753" s="82" t="str">
        <f>VLOOKUP($B$7:$B$5000,SUM!$L$6:$L$500,1,FALSE)</f>
        <v>#N/A</v>
      </c>
      <c r="D4753" s="190" t="s">
        <v>7830</v>
      </c>
      <c r="E4753" s="198" t="s">
        <v>58</v>
      </c>
      <c r="F4753" s="199" t="s">
        <v>6954</v>
      </c>
      <c r="G4753" s="191" t="s">
        <v>1761</v>
      </c>
      <c r="H4753" s="199" t="s">
        <v>1802</v>
      </c>
      <c r="I4753" s="220" t="s">
        <v>7831</v>
      </c>
      <c r="J4753" s="148" t="s">
        <v>63</v>
      </c>
      <c r="K4753" s="148" t="s">
        <v>64</v>
      </c>
      <c r="L4753" s="148" t="s">
        <v>65</v>
      </c>
      <c r="M4753" s="148" t="s">
        <v>185</v>
      </c>
      <c r="N4753" s="255">
        <v>46198.0</v>
      </c>
      <c r="O4753" s="148" t="s">
        <v>67</v>
      </c>
      <c r="P4753" s="148" t="s">
        <v>68</v>
      </c>
      <c r="Q4753" s="103"/>
      <c r="R4753" s="103"/>
      <c r="S4753" s="103"/>
      <c r="T4753" s="103"/>
      <c r="U4753" s="148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1">
        <v>4748.0</v>
      </c>
      <c r="B4754" s="90" t="s">
        <v>7832</v>
      </c>
      <c r="C4754" s="82" t="str">
        <f>VLOOKUP($B$7:$B$5000,SUM!$L$6:$L$500,1,FALSE)</f>
        <v>#N/A</v>
      </c>
      <c r="D4754" s="190" t="s">
        <v>7830</v>
      </c>
      <c r="E4754" s="198" t="s">
        <v>58</v>
      </c>
      <c r="F4754" s="199" t="s">
        <v>6954</v>
      </c>
      <c r="G4754" s="191" t="s">
        <v>7833</v>
      </c>
      <c r="H4754" s="199" t="s">
        <v>587</v>
      </c>
      <c r="I4754" s="220" t="s">
        <v>7831</v>
      </c>
      <c r="J4754" s="148" t="s">
        <v>63</v>
      </c>
      <c r="K4754" s="148" t="s">
        <v>64</v>
      </c>
      <c r="L4754" s="148" t="s">
        <v>65</v>
      </c>
      <c r="M4754" s="148" t="s">
        <v>185</v>
      </c>
      <c r="N4754" s="255">
        <v>46198.0</v>
      </c>
      <c r="O4754" s="148" t="s">
        <v>67</v>
      </c>
      <c r="P4754" s="148" t="s">
        <v>68</v>
      </c>
      <c r="Q4754" s="103"/>
      <c r="R4754" s="103"/>
      <c r="S4754" s="103"/>
      <c r="T4754" s="103"/>
      <c r="U4754" s="148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1">
        <v>4749.0</v>
      </c>
      <c r="B4755" s="90" t="s">
        <v>7834</v>
      </c>
      <c r="C4755" s="82" t="str">
        <f>VLOOKUP($B$7:$B$5000,SUM!$L$6:$L$500,1,FALSE)</f>
        <v>#N/A</v>
      </c>
      <c r="D4755" s="190" t="s">
        <v>7830</v>
      </c>
      <c r="E4755" s="198" t="s">
        <v>58</v>
      </c>
      <c r="F4755" s="199" t="s">
        <v>6954</v>
      </c>
      <c r="G4755" s="191" t="s">
        <v>7833</v>
      </c>
      <c r="H4755" s="199" t="s">
        <v>590</v>
      </c>
      <c r="I4755" s="220" t="s">
        <v>7831</v>
      </c>
      <c r="J4755" s="148" t="s">
        <v>63</v>
      </c>
      <c r="K4755" s="148" t="s">
        <v>64</v>
      </c>
      <c r="L4755" s="148" t="s">
        <v>65</v>
      </c>
      <c r="M4755" s="148" t="s">
        <v>185</v>
      </c>
      <c r="N4755" s="255">
        <v>46198.0</v>
      </c>
      <c r="O4755" s="148" t="s">
        <v>67</v>
      </c>
      <c r="P4755" s="148" t="s">
        <v>68</v>
      </c>
      <c r="Q4755" s="103"/>
      <c r="R4755" s="103"/>
      <c r="S4755" s="103"/>
      <c r="T4755" s="103"/>
      <c r="U4755" s="148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1">
        <v>4750.0</v>
      </c>
      <c r="B4756" s="90" t="s">
        <v>7835</v>
      </c>
      <c r="C4756" s="82" t="str">
        <f>VLOOKUP($B$7:$B$5000,SUM!$L$6:$L$500,1,FALSE)</f>
        <v>#N/A</v>
      </c>
      <c r="D4756" s="190" t="s">
        <v>7830</v>
      </c>
      <c r="E4756" s="198" t="s">
        <v>58</v>
      </c>
      <c r="F4756" s="199" t="s">
        <v>6954</v>
      </c>
      <c r="G4756" s="191" t="s">
        <v>1964</v>
      </c>
      <c r="H4756" s="199" t="s">
        <v>2017</v>
      </c>
      <c r="I4756" s="220" t="s">
        <v>7831</v>
      </c>
      <c r="J4756" s="148" t="s">
        <v>63</v>
      </c>
      <c r="K4756" s="148" t="s">
        <v>64</v>
      </c>
      <c r="L4756" s="148" t="s">
        <v>65</v>
      </c>
      <c r="M4756" s="148" t="s">
        <v>185</v>
      </c>
      <c r="N4756" s="255">
        <v>46198.0</v>
      </c>
      <c r="O4756" s="148" t="s">
        <v>67</v>
      </c>
      <c r="P4756" s="148" t="s">
        <v>68</v>
      </c>
      <c r="Q4756" s="103"/>
      <c r="R4756" s="103"/>
      <c r="S4756" s="103"/>
      <c r="T4756" s="103"/>
      <c r="U4756" s="148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1">
        <v>4751.0</v>
      </c>
      <c r="B4757" s="90" t="s">
        <v>7836</v>
      </c>
      <c r="C4757" s="82" t="str">
        <f>VLOOKUP($B$7:$B$5000,SUM!$L$6:$L$500,1,FALSE)</f>
        <v>#N/A</v>
      </c>
      <c r="D4757" s="190" t="s">
        <v>7830</v>
      </c>
      <c r="E4757" s="198" t="s">
        <v>58</v>
      </c>
      <c r="F4757" s="199" t="s">
        <v>6954</v>
      </c>
      <c r="G4757" s="191" t="s">
        <v>1964</v>
      </c>
      <c r="H4757" s="199" t="s">
        <v>2020</v>
      </c>
      <c r="I4757" s="220" t="s">
        <v>7831</v>
      </c>
      <c r="J4757" s="148" t="s">
        <v>63</v>
      </c>
      <c r="K4757" s="148" t="s">
        <v>64</v>
      </c>
      <c r="L4757" s="148" t="s">
        <v>65</v>
      </c>
      <c r="M4757" s="148" t="s">
        <v>185</v>
      </c>
      <c r="N4757" s="255">
        <v>46198.0</v>
      </c>
      <c r="O4757" s="148" t="s">
        <v>67</v>
      </c>
      <c r="P4757" s="148" t="s">
        <v>68</v>
      </c>
      <c r="Q4757" s="103"/>
      <c r="R4757" s="103"/>
      <c r="S4757" s="103"/>
      <c r="T4757" s="103"/>
      <c r="U4757" s="148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1">
        <v>4752.0</v>
      </c>
      <c r="B4758" s="90" t="s">
        <v>7837</v>
      </c>
      <c r="C4758" s="82" t="str">
        <f>VLOOKUP($B$7:$B$5000,SUM!$L$6:$L$500,1,FALSE)</f>
        <v>#N/A</v>
      </c>
      <c r="D4758" s="190" t="s">
        <v>7830</v>
      </c>
      <c r="E4758" s="198" t="s">
        <v>58</v>
      </c>
      <c r="F4758" s="199" t="s">
        <v>6954</v>
      </c>
      <c r="G4758" s="191" t="s">
        <v>1964</v>
      </c>
      <c r="H4758" s="199" t="s">
        <v>2022</v>
      </c>
      <c r="I4758" s="220" t="s">
        <v>7831</v>
      </c>
      <c r="J4758" s="148" t="s">
        <v>63</v>
      </c>
      <c r="K4758" s="148" t="s">
        <v>64</v>
      </c>
      <c r="L4758" s="148" t="s">
        <v>65</v>
      </c>
      <c r="M4758" s="148" t="s">
        <v>185</v>
      </c>
      <c r="N4758" s="255">
        <v>46198.0</v>
      </c>
      <c r="O4758" s="148" t="s">
        <v>67</v>
      </c>
      <c r="P4758" s="148" t="s">
        <v>68</v>
      </c>
      <c r="Q4758" s="103"/>
      <c r="R4758" s="103"/>
      <c r="S4758" s="103"/>
      <c r="T4758" s="103"/>
      <c r="U4758" s="148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1">
        <v>4753.0</v>
      </c>
      <c r="B4759" s="90" t="s">
        <v>7838</v>
      </c>
      <c r="C4759" s="82" t="str">
        <f>VLOOKUP($B$7:$B$5000,SUM!$L$6:$L$500,1,FALSE)</f>
        <v>#N/A</v>
      </c>
      <c r="D4759" s="190" t="s">
        <v>7830</v>
      </c>
      <c r="E4759" s="198" t="s">
        <v>58</v>
      </c>
      <c r="F4759" s="199" t="s">
        <v>6954</v>
      </c>
      <c r="G4759" s="191" t="s">
        <v>1972</v>
      </c>
      <c r="H4759" s="199" t="s">
        <v>2024</v>
      </c>
      <c r="I4759" s="220" t="s">
        <v>7831</v>
      </c>
      <c r="J4759" s="148" t="s">
        <v>63</v>
      </c>
      <c r="K4759" s="148" t="s">
        <v>64</v>
      </c>
      <c r="L4759" s="148" t="s">
        <v>65</v>
      </c>
      <c r="M4759" s="148" t="s">
        <v>185</v>
      </c>
      <c r="N4759" s="255">
        <v>46198.0</v>
      </c>
      <c r="O4759" s="148" t="s">
        <v>67</v>
      </c>
      <c r="P4759" s="148" t="s">
        <v>68</v>
      </c>
      <c r="Q4759" s="103"/>
      <c r="R4759" s="103"/>
      <c r="S4759" s="103"/>
      <c r="T4759" s="103"/>
      <c r="U4759" s="148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1">
        <v>4754.0</v>
      </c>
      <c r="B4760" s="90" t="s">
        <v>7839</v>
      </c>
      <c r="C4760" s="82" t="str">
        <f>VLOOKUP($B$7:$B$5000,SUM!$L$6:$L$500,1,FALSE)</f>
        <v>#N/A</v>
      </c>
      <c r="D4760" s="190" t="s">
        <v>7830</v>
      </c>
      <c r="E4760" s="198" t="s">
        <v>58</v>
      </c>
      <c r="F4760" s="199" t="s">
        <v>6954</v>
      </c>
      <c r="G4760" s="191" t="s">
        <v>1972</v>
      </c>
      <c r="H4760" s="199" t="s">
        <v>2026</v>
      </c>
      <c r="I4760" s="220" t="s">
        <v>7831</v>
      </c>
      <c r="J4760" s="148" t="s">
        <v>63</v>
      </c>
      <c r="K4760" s="148" t="s">
        <v>64</v>
      </c>
      <c r="L4760" s="148" t="s">
        <v>65</v>
      </c>
      <c r="M4760" s="148" t="s">
        <v>185</v>
      </c>
      <c r="N4760" s="255">
        <v>46198.0</v>
      </c>
      <c r="O4760" s="148" t="s">
        <v>67</v>
      </c>
      <c r="P4760" s="148" t="s">
        <v>68</v>
      </c>
      <c r="Q4760" s="103"/>
      <c r="R4760" s="103"/>
      <c r="S4760" s="103"/>
      <c r="T4760" s="103"/>
      <c r="U4760" s="148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1">
        <v>4755.0</v>
      </c>
      <c r="B4761" s="90" t="s">
        <v>7840</v>
      </c>
      <c r="C4761" s="82" t="str">
        <f>VLOOKUP($B$7:$B$5000,SUM!$L$6:$L$500,1,FALSE)</f>
        <v>#N/A</v>
      </c>
      <c r="D4761" s="190" t="s">
        <v>7830</v>
      </c>
      <c r="E4761" s="198" t="s">
        <v>58</v>
      </c>
      <c r="F4761" s="199" t="s">
        <v>6954</v>
      </c>
      <c r="G4761" s="191" t="s">
        <v>1972</v>
      </c>
      <c r="H4761" s="199" t="s">
        <v>2028</v>
      </c>
      <c r="I4761" s="220" t="s">
        <v>7831</v>
      </c>
      <c r="J4761" s="148" t="s">
        <v>63</v>
      </c>
      <c r="K4761" s="148" t="s">
        <v>64</v>
      </c>
      <c r="L4761" s="148" t="s">
        <v>65</v>
      </c>
      <c r="M4761" s="148" t="s">
        <v>185</v>
      </c>
      <c r="N4761" s="255">
        <v>46198.0</v>
      </c>
      <c r="O4761" s="148" t="s">
        <v>67</v>
      </c>
      <c r="P4761" s="148" t="s">
        <v>68</v>
      </c>
      <c r="Q4761" s="103"/>
      <c r="R4761" s="103"/>
      <c r="S4761" s="103"/>
      <c r="T4761" s="103"/>
      <c r="U4761" s="148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1">
        <v>4756.0</v>
      </c>
      <c r="B4762" s="90" t="s">
        <v>7841</v>
      </c>
      <c r="C4762" s="82" t="str">
        <f>VLOOKUP($B$7:$B$5000,SUM!$L$6:$L$500,1,FALSE)</f>
        <v>#N/A</v>
      </c>
      <c r="D4762" s="190" t="s">
        <v>7830</v>
      </c>
      <c r="E4762" s="198" t="s">
        <v>58</v>
      </c>
      <c r="F4762" s="199" t="s">
        <v>6954</v>
      </c>
      <c r="G4762" s="191" t="s">
        <v>2032</v>
      </c>
      <c r="H4762" s="199" t="s">
        <v>2033</v>
      </c>
      <c r="I4762" s="220" t="s">
        <v>7831</v>
      </c>
      <c r="J4762" s="148" t="s">
        <v>63</v>
      </c>
      <c r="K4762" s="148" t="s">
        <v>64</v>
      </c>
      <c r="L4762" s="148" t="s">
        <v>65</v>
      </c>
      <c r="M4762" s="148" t="s">
        <v>185</v>
      </c>
      <c r="N4762" s="255">
        <v>46198.0</v>
      </c>
      <c r="O4762" s="148" t="s">
        <v>67</v>
      </c>
      <c r="P4762" s="148" t="s">
        <v>68</v>
      </c>
      <c r="Q4762" s="103"/>
      <c r="R4762" s="103"/>
      <c r="S4762" s="103"/>
      <c r="T4762" s="103"/>
      <c r="U4762" s="148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1">
        <v>4757.0</v>
      </c>
      <c r="B4763" s="90" t="s">
        <v>7842</v>
      </c>
      <c r="C4763" s="82" t="str">
        <f>VLOOKUP($B$7:$B$5000,SUM!$L$6:$L$500,1,FALSE)</f>
        <v>#N/A</v>
      </c>
      <c r="D4763" s="190" t="s">
        <v>7830</v>
      </c>
      <c r="E4763" s="198" t="s">
        <v>58</v>
      </c>
      <c r="F4763" s="199" t="s">
        <v>6954</v>
      </c>
      <c r="G4763" s="191" t="s">
        <v>2032</v>
      </c>
      <c r="H4763" s="199" t="s">
        <v>2035</v>
      </c>
      <c r="I4763" s="220" t="s">
        <v>7831</v>
      </c>
      <c r="J4763" s="148" t="s">
        <v>63</v>
      </c>
      <c r="K4763" s="148" t="s">
        <v>64</v>
      </c>
      <c r="L4763" s="148" t="s">
        <v>65</v>
      </c>
      <c r="M4763" s="148" t="s">
        <v>185</v>
      </c>
      <c r="N4763" s="255">
        <v>46198.0</v>
      </c>
      <c r="O4763" s="148" t="s">
        <v>67</v>
      </c>
      <c r="P4763" s="148" t="s">
        <v>68</v>
      </c>
      <c r="Q4763" s="103"/>
      <c r="R4763" s="103"/>
      <c r="S4763" s="103"/>
      <c r="T4763" s="103"/>
      <c r="U4763" s="148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1">
        <v>4758.0</v>
      </c>
      <c r="B4764" s="90" t="s">
        <v>7843</v>
      </c>
      <c r="C4764" s="82" t="str">
        <f>VLOOKUP($B$7:$B$5000,SUM!$L$6:$L$500,1,FALSE)</f>
        <v>#N/A</v>
      </c>
      <c r="D4764" s="190" t="s">
        <v>7844</v>
      </c>
      <c r="E4764" s="198" t="s">
        <v>58</v>
      </c>
      <c r="F4764" s="199" t="s">
        <v>7845</v>
      </c>
      <c r="G4764" s="191" t="s">
        <v>2362</v>
      </c>
      <c r="H4764" s="199" t="s">
        <v>7846</v>
      </c>
      <c r="I4764" s="197" t="s">
        <v>7847</v>
      </c>
      <c r="J4764" s="148" t="s">
        <v>63</v>
      </c>
      <c r="K4764" s="148" t="s">
        <v>64</v>
      </c>
      <c r="L4764" s="148" t="s">
        <v>65</v>
      </c>
      <c r="M4764" s="148" t="s">
        <v>185</v>
      </c>
      <c r="N4764" s="255">
        <v>46200.0</v>
      </c>
      <c r="O4764" s="148" t="s">
        <v>67</v>
      </c>
      <c r="P4764" s="148" t="s">
        <v>68</v>
      </c>
      <c r="Q4764" s="103"/>
      <c r="R4764" s="103"/>
      <c r="S4764" s="103"/>
      <c r="T4764" s="103"/>
      <c r="U4764" s="148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1">
        <v>4759.0</v>
      </c>
      <c r="B4765" s="90" t="s">
        <v>7848</v>
      </c>
      <c r="C4765" s="82" t="str">
        <f>VLOOKUP($B$7:$B$5000,SUM!$L$6:$L$500,1,FALSE)</f>
        <v>#N/A</v>
      </c>
      <c r="D4765" s="190" t="s">
        <v>7844</v>
      </c>
      <c r="E4765" s="198" t="s">
        <v>58</v>
      </c>
      <c r="F4765" s="199" t="s">
        <v>7845</v>
      </c>
      <c r="G4765" s="191" t="s">
        <v>2362</v>
      </c>
      <c r="H4765" s="199" t="s">
        <v>7849</v>
      </c>
      <c r="I4765" s="197" t="s">
        <v>7847</v>
      </c>
      <c r="J4765" s="148" t="s">
        <v>63</v>
      </c>
      <c r="K4765" s="148" t="s">
        <v>64</v>
      </c>
      <c r="L4765" s="148" t="s">
        <v>65</v>
      </c>
      <c r="M4765" s="148" t="s">
        <v>185</v>
      </c>
      <c r="N4765" s="255">
        <v>46200.0</v>
      </c>
      <c r="O4765" s="148" t="s">
        <v>67</v>
      </c>
      <c r="P4765" s="148" t="s">
        <v>68</v>
      </c>
      <c r="Q4765" s="103"/>
      <c r="R4765" s="103"/>
      <c r="S4765" s="103"/>
      <c r="T4765" s="103"/>
      <c r="U4765" s="148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1">
        <v>4760.0</v>
      </c>
      <c r="B4766" s="90" t="s">
        <v>7850</v>
      </c>
      <c r="C4766" s="82" t="str">
        <f>VLOOKUP($B$7:$B$5000,SUM!$L$6:$L$500,1,FALSE)</f>
        <v>#N/A</v>
      </c>
      <c r="D4766" s="190" t="s">
        <v>7844</v>
      </c>
      <c r="E4766" s="198" t="s">
        <v>58</v>
      </c>
      <c r="F4766" s="199" t="s">
        <v>7845</v>
      </c>
      <c r="G4766" s="191" t="s">
        <v>2362</v>
      </c>
      <c r="H4766" s="199" t="s">
        <v>7851</v>
      </c>
      <c r="I4766" s="197" t="s">
        <v>7847</v>
      </c>
      <c r="J4766" s="148" t="s">
        <v>63</v>
      </c>
      <c r="K4766" s="148" t="s">
        <v>64</v>
      </c>
      <c r="L4766" s="148" t="s">
        <v>65</v>
      </c>
      <c r="M4766" s="148" t="s">
        <v>185</v>
      </c>
      <c r="N4766" s="255">
        <v>46200.0</v>
      </c>
      <c r="O4766" s="148" t="s">
        <v>67</v>
      </c>
      <c r="P4766" s="148" t="s">
        <v>68</v>
      </c>
      <c r="Q4766" s="103"/>
      <c r="R4766" s="103"/>
      <c r="S4766" s="103"/>
      <c r="T4766" s="103"/>
      <c r="U4766" s="148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1">
        <v>4761.0</v>
      </c>
      <c r="B4767" s="90" t="s">
        <v>7852</v>
      </c>
      <c r="C4767" s="82" t="str">
        <f>VLOOKUP($B$7:$B$5000,SUM!$L$6:$L$500,1,FALSE)</f>
        <v>#N/A</v>
      </c>
      <c r="D4767" s="190" t="s">
        <v>7844</v>
      </c>
      <c r="E4767" s="198" t="s">
        <v>58</v>
      </c>
      <c r="F4767" s="199" t="s">
        <v>7845</v>
      </c>
      <c r="G4767" s="191" t="s">
        <v>2362</v>
      </c>
      <c r="H4767" s="199" t="s">
        <v>7853</v>
      </c>
      <c r="I4767" s="197" t="s">
        <v>7847</v>
      </c>
      <c r="J4767" s="148" t="s">
        <v>63</v>
      </c>
      <c r="K4767" s="148" t="s">
        <v>64</v>
      </c>
      <c r="L4767" s="148" t="s">
        <v>65</v>
      </c>
      <c r="M4767" s="148" t="s">
        <v>185</v>
      </c>
      <c r="N4767" s="255">
        <v>46200.0</v>
      </c>
      <c r="O4767" s="148" t="s">
        <v>67</v>
      </c>
      <c r="P4767" s="148" t="s">
        <v>68</v>
      </c>
      <c r="Q4767" s="103"/>
      <c r="R4767" s="103"/>
      <c r="S4767" s="103"/>
      <c r="T4767" s="103"/>
      <c r="U4767" s="148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1">
        <v>4762.0</v>
      </c>
      <c r="B4768" s="90" t="s">
        <v>7854</v>
      </c>
      <c r="C4768" s="82" t="str">
        <f>VLOOKUP($B$7:$B$5000,SUM!$L$6:$L$500,1,FALSE)</f>
        <v>#N/A</v>
      </c>
      <c r="D4768" s="190" t="s">
        <v>7844</v>
      </c>
      <c r="E4768" s="198" t="s">
        <v>58</v>
      </c>
      <c r="F4768" s="199" t="s">
        <v>7845</v>
      </c>
      <c r="G4768" s="191" t="s">
        <v>2362</v>
      </c>
      <c r="H4768" s="199" t="s">
        <v>7855</v>
      </c>
      <c r="I4768" s="197" t="s">
        <v>7847</v>
      </c>
      <c r="J4768" s="148" t="s">
        <v>63</v>
      </c>
      <c r="K4768" s="148" t="s">
        <v>64</v>
      </c>
      <c r="L4768" s="148" t="s">
        <v>65</v>
      </c>
      <c r="M4768" s="148" t="s">
        <v>185</v>
      </c>
      <c r="N4768" s="255">
        <v>46200.0</v>
      </c>
      <c r="O4768" s="148" t="s">
        <v>67</v>
      </c>
      <c r="P4768" s="148" t="s">
        <v>68</v>
      </c>
      <c r="Q4768" s="103"/>
      <c r="R4768" s="103"/>
      <c r="S4768" s="103"/>
      <c r="T4768" s="103"/>
      <c r="U4768" s="148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1">
        <v>4763.0</v>
      </c>
      <c r="B4769" s="90" t="s">
        <v>7856</v>
      </c>
      <c r="C4769" s="82" t="str">
        <f>VLOOKUP($B$7:$B$5000,SUM!$L$6:$L$500,1,FALSE)</f>
        <v>#N/A</v>
      </c>
      <c r="D4769" s="190" t="s">
        <v>7844</v>
      </c>
      <c r="E4769" s="198" t="s">
        <v>58</v>
      </c>
      <c r="F4769" s="199" t="s">
        <v>7845</v>
      </c>
      <c r="G4769" s="191" t="s">
        <v>7857</v>
      </c>
      <c r="H4769" s="199" t="s">
        <v>7858</v>
      </c>
      <c r="I4769" s="197" t="s">
        <v>7847</v>
      </c>
      <c r="J4769" s="148" t="s">
        <v>63</v>
      </c>
      <c r="K4769" s="148" t="s">
        <v>64</v>
      </c>
      <c r="L4769" s="148" t="s">
        <v>65</v>
      </c>
      <c r="M4769" s="148" t="s">
        <v>185</v>
      </c>
      <c r="N4769" s="255">
        <v>46200.0</v>
      </c>
      <c r="O4769" s="148" t="s">
        <v>67</v>
      </c>
      <c r="P4769" s="148" t="s">
        <v>68</v>
      </c>
      <c r="Q4769" s="103"/>
      <c r="R4769" s="103"/>
      <c r="S4769" s="103"/>
      <c r="T4769" s="103"/>
      <c r="U4769" s="148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1">
        <v>4764.0</v>
      </c>
      <c r="B4770" s="90" t="s">
        <v>7859</v>
      </c>
      <c r="C4770" s="82" t="str">
        <f>VLOOKUP($B$7:$B$5000,SUM!$L$6:$L$500,1,FALSE)</f>
        <v>#N/A</v>
      </c>
      <c r="D4770" s="190" t="s">
        <v>7844</v>
      </c>
      <c r="E4770" s="198" t="s">
        <v>58</v>
      </c>
      <c r="F4770" s="199" t="s">
        <v>7845</v>
      </c>
      <c r="G4770" s="191" t="s">
        <v>7857</v>
      </c>
      <c r="H4770" s="199" t="s">
        <v>7860</v>
      </c>
      <c r="I4770" s="197" t="s">
        <v>7847</v>
      </c>
      <c r="J4770" s="148" t="s">
        <v>63</v>
      </c>
      <c r="K4770" s="148" t="s">
        <v>64</v>
      </c>
      <c r="L4770" s="148" t="s">
        <v>65</v>
      </c>
      <c r="M4770" s="148" t="s">
        <v>185</v>
      </c>
      <c r="N4770" s="255">
        <v>46200.0</v>
      </c>
      <c r="O4770" s="148" t="s">
        <v>67</v>
      </c>
      <c r="P4770" s="148" t="s">
        <v>68</v>
      </c>
      <c r="Q4770" s="103"/>
      <c r="R4770" s="103"/>
      <c r="S4770" s="103"/>
      <c r="T4770" s="103"/>
      <c r="U4770" s="148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1">
        <v>4765.0</v>
      </c>
      <c r="B4771" s="90" t="s">
        <v>7861</v>
      </c>
      <c r="C4771" s="82" t="str">
        <f>VLOOKUP($B$7:$B$5000,SUM!$L$6:$L$500,1,FALSE)</f>
        <v>#N/A</v>
      </c>
      <c r="D4771" s="190" t="s">
        <v>7844</v>
      </c>
      <c r="E4771" s="198" t="s">
        <v>58</v>
      </c>
      <c r="F4771" s="199" t="s">
        <v>7845</v>
      </c>
      <c r="G4771" s="191" t="s">
        <v>7857</v>
      </c>
      <c r="H4771" s="199" t="s">
        <v>7862</v>
      </c>
      <c r="I4771" s="197" t="s">
        <v>7847</v>
      </c>
      <c r="J4771" s="148" t="s">
        <v>63</v>
      </c>
      <c r="K4771" s="148" t="s">
        <v>64</v>
      </c>
      <c r="L4771" s="148" t="s">
        <v>65</v>
      </c>
      <c r="M4771" s="148" t="s">
        <v>185</v>
      </c>
      <c r="N4771" s="255">
        <v>46200.0</v>
      </c>
      <c r="O4771" s="148" t="s">
        <v>67</v>
      </c>
      <c r="P4771" s="148" t="s">
        <v>68</v>
      </c>
      <c r="Q4771" s="103"/>
      <c r="R4771" s="103"/>
      <c r="S4771" s="103"/>
      <c r="T4771" s="103"/>
      <c r="U4771" s="148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1">
        <v>4766.0</v>
      </c>
      <c r="B4772" s="90" t="s">
        <v>7863</v>
      </c>
      <c r="C4772" s="82" t="str">
        <f>VLOOKUP($B$7:$B$5000,SUM!$L$6:$L$500,1,FALSE)</f>
        <v>#N/A</v>
      </c>
      <c r="D4772" s="190" t="s">
        <v>7844</v>
      </c>
      <c r="E4772" s="198" t="s">
        <v>58</v>
      </c>
      <c r="F4772" s="199" t="s">
        <v>7845</v>
      </c>
      <c r="G4772" s="191" t="s">
        <v>7857</v>
      </c>
      <c r="H4772" s="199" t="s">
        <v>7864</v>
      </c>
      <c r="I4772" s="197" t="s">
        <v>7847</v>
      </c>
      <c r="J4772" s="148" t="s">
        <v>63</v>
      </c>
      <c r="K4772" s="148" t="s">
        <v>64</v>
      </c>
      <c r="L4772" s="148" t="s">
        <v>65</v>
      </c>
      <c r="M4772" s="148" t="s">
        <v>185</v>
      </c>
      <c r="N4772" s="255">
        <v>46200.0</v>
      </c>
      <c r="O4772" s="148" t="s">
        <v>67</v>
      </c>
      <c r="P4772" s="148" t="s">
        <v>68</v>
      </c>
      <c r="Q4772" s="103"/>
      <c r="R4772" s="103"/>
      <c r="S4772" s="103"/>
      <c r="T4772" s="103"/>
      <c r="U4772" s="148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1">
        <v>4767.0</v>
      </c>
      <c r="B4773" s="90" t="s">
        <v>7865</v>
      </c>
      <c r="C4773" s="82" t="str">
        <f>VLOOKUP($B$7:$B$5000,SUM!$L$6:$L$500,1,FALSE)</f>
        <v>#N/A</v>
      </c>
      <c r="D4773" s="190" t="s">
        <v>7844</v>
      </c>
      <c r="E4773" s="198" t="s">
        <v>58</v>
      </c>
      <c r="F4773" s="199" t="s">
        <v>7845</v>
      </c>
      <c r="G4773" s="191" t="s">
        <v>7857</v>
      </c>
      <c r="H4773" s="199" t="s">
        <v>7866</v>
      </c>
      <c r="I4773" s="197" t="s">
        <v>7847</v>
      </c>
      <c r="J4773" s="148" t="s">
        <v>63</v>
      </c>
      <c r="K4773" s="148" t="s">
        <v>64</v>
      </c>
      <c r="L4773" s="148" t="s">
        <v>65</v>
      </c>
      <c r="M4773" s="148" t="s">
        <v>185</v>
      </c>
      <c r="N4773" s="255">
        <v>46200.0</v>
      </c>
      <c r="O4773" s="148" t="s">
        <v>67</v>
      </c>
      <c r="P4773" s="148" t="s">
        <v>68</v>
      </c>
      <c r="Q4773" s="103"/>
      <c r="R4773" s="103"/>
      <c r="S4773" s="103"/>
      <c r="T4773" s="103"/>
      <c r="U4773" s="148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1">
        <v>4768.0</v>
      </c>
      <c r="B4774" s="90" t="s">
        <v>7867</v>
      </c>
      <c r="C4774" s="82" t="str">
        <f>VLOOKUP($B$7:$B$5000,SUM!$L$6:$L$500,1,FALSE)</f>
        <v>#N/A</v>
      </c>
      <c r="D4774" s="190" t="s">
        <v>7844</v>
      </c>
      <c r="E4774" s="198" t="s">
        <v>58</v>
      </c>
      <c r="F4774" s="199" t="s">
        <v>7845</v>
      </c>
      <c r="G4774" s="191" t="s">
        <v>7857</v>
      </c>
      <c r="H4774" s="199" t="s">
        <v>7868</v>
      </c>
      <c r="I4774" s="197" t="s">
        <v>7847</v>
      </c>
      <c r="J4774" s="148" t="s">
        <v>63</v>
      </c>
      <c r="K4774" s="148" t="s">
        <v>64</v>
      </c>
      <c r="L4774" s="148" t="s">
        <v>65</v>
      </c>
      <c r="M4774" s="148" t="s">
        <v>185</v>
      </c>
      <c r="N4774" s="255">
        <v>46200.0</v>
      </c>
      <c r="O4774" s="148" t="s">
        <v>67</v>
      </c>
      <c r="P4774" s="148" t="s">
        <v>68</v>
      </c>
      <c r="Q4774" s="103"/>
      <c r="R4774" s="103"/>
      <c r="S4774" s="103"/>
      <c r="T4774" s="103"/>
      <c r="U4774" s="148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1">
        <v>4769.0</v>
      </c>
      <c r="B4775" s="90" t="s">
        <v>7869</v>
      </c>
      <c r="C4775" s="82" t="str">
        <f>VLOOKUP($B$7:$B$5000,SUM!$L$6:$L$500,1,FALSE)</f>
        <v>#N/A</v>
      </c>
      <c r="D4775" s="190" t="s">
        <v>7844</v>
      </c>
      <c r="E4775" s="198" t="s">
        <v>58</v>
      </c>
      <c r="F4775" s="199" t="s">
        <v>7845</v>
      </c>
      <c r="G4775" s="191" t="s">
        <v>7857</v>
      </c>
      <c r="H4775" s="199" t="s">
        <v>7870</v>
      </c>
      <c r="I4775" s="197" t="s">
        <v>7847</v>
      </c>
      <c r="J4775" s="148" t="s">
        <v>63</v>
      </c>
      <c r="K4775" s="148" t="s">
        <v>64</v>
      </c>
      <c r="L4775" s="148" t="s">
        <v>65</v>
      </c>
      <c r="M4775" s="148" t="s">
        <v>185</v>
      </c>
      <c r="N4775" s="255">
        <v>46200.0</v>
      </c>
      <c r="O4775" s="148" t="s">
        <v>67</v>
      </c>
      <c r="P4775" s="148" t="s">
        <v>68</v>
      </c>
      <c r="Q4775" s="103"/>
      <c r="R4775" s="103"/>
      <c r="S4775" s="103"/>
      <c r="T4775" s="103"/>
      <c r="U4775" s="148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1">
        <v>4770.0</v>
      </c>
      <c r="B4776" s="90" t="s">
        <v>7871</v>
      </c>
      <c r="C4776" s="82" t="str">
        <f>VLOOKUP($B$7:$B$5000,SUM!$L$6:$L$500,1,FALSE)</f>
        <v>#N/A</v>
      </c>
      <c r="D4776" s="190" t="s">
        <v>7844</v>
      </c>
      <c r="E4776" s="198" t="s">
        <v>58</v>
      </c>
      <c r="F4776" s="199" t="s">
        <v>7845</v>
      </c>
      <c r="G4776" s="191" t="s">
        <v>7857</v>
      </c>
      <c r="H4776" s="199" t="s">
        <v>7872</v>
      </c>
      <c r="I4776" s="197" t="s">
        <v>7847</v>
      </c>
      <c r="J4776" s="148" t="s">
        <v>63</v>
      </c>
      <c r="K4776" s="148" t="s">
        <v>64</v>
      </c>
      <c r="L4776" s="148" t="s">
        <v>65</v>
      </c>
      <c r="M4776" s="148" t="s">
        <v>185</v>
      </c>
      <c r="N4776" s="255">
        <v>46200.0</v>
      </c>
      <c r="O4776" s="148" t="s">
        <v>67</v>
      </c>
      <c r="P4776" s="148" t="s">
        <v>68</v>
      </c>
      <c r="Q4776" s="103"/>
      <c r="R4776" s="103"/>
      <c r="S4776" s="103"/>
      <c r="T4776" s="103"/>
      <c r="U4776" s="148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1">
        <v>4771.0</v>
      </c>
      <c r="B4777" s="90" t="s">
        <v>7873</v>
      </c>
      <c r="C4777" s="82" t="str">
        <f>VLOOKUP($B$7:$B$5000,SUM!$L$6:$L$500,1,FALSE)</f>
        <v>#N/A</v>
      </c>
      <c r="D4777" s="190" t="s">
        <v>7874</v>
      </c>
      <c r="E4777" s="198" t="s">
        <v>58</v>
      </c>
      <c r="F4777" s="199" t="s">
        <v>105</v>
      </c>
      <c r="G4777" s="191" t="s">
        <v>1362</v>
      </c>
      <c r="H4777" s="199" t="s">
        <v>7875</v>
      </c>
      <c r="I4777" s="197" t="s">
        <v>6888</v>
      </c>
      <c r="J4777" s="148" t="s">
        <v>63</v>
      </c>
      <c r="K4777" s="148" t="s">
        <v>64</v>
      </c>
      <c r="L4777" s="148" t="s">
        <v>65</v>
      </c>
      <c r="M4777" s="148" t="s">
        <v>185</v>
      </c>
      <c r="N4777" s="212">
        <v>46200.0</v>
      </c>
      <c r="O4777" s="148" t="s">
        <v>67</v>
      </c>
      <c r="P4777" s="148" t="s">
        <v>68</v>
      </c>
      <c r="Q4777" s="103"/>
      <c r="R4777" s="103"/>
      <c r="S4777" s="103"/>
      <c r="T4777" s="103"/>
      <c r="U4777" s="148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1">
        <v>4772.0</v>
      </c>
      <c r="B4778" s="90" t="s">
        <v>7876</v>
      </c>
      <c r="C4778" s="82" t="str">
        <f>VLOOKUP($B$7:$B$5000,SUM!$L$6:$L$500,1,FALSE)</f>
        <v>#N/A</v>
      </c>
      <c r="D4778" s="190" t="s">
        <v>7874</v>
      </c>
      <c r="E4778" s="198" t="s">
        <v>58</v>
      </c>
      <c r="F4778" s="199" t="s">
        <v>105</v>
      </c>
      <c r="G4778" s="191" t="s">
        <v>1362</v>
      </c>
      <c r="H4778" s="199" t="s">
        <v>7877</v>
      </c>
      <c r="I4778" s="197" t="s">
        <v>6888</v>
      </c>
      <c r="J4778" s="148" t="s">
        <v>63</v>
      </c>
      <c r="K4778" s="148" t="s">
        <v>64</v>
      </c>
      <c r="L4778" s="148" t="s">
        <v>65</v>
      </c>
      <c r="M4778" s="148" t="s">
        <v>185</v>
      </c>
      <c r="N4778" s="212">
        <v>46200.0</v>
      </c>
      <c r="O4778" s="148" t="s">
        <v>67</v>
      </c>
      <c r="P4778" s="148" t="s">
        <v>68</v>
      </c>
      <c r="Q4778" s="103"/>
      <c r="R4778" s="103"/>
      <c r="S4778" s="103"/>
      <c r="T4778" s="103"/>
      <c r="U4778" s="148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1">
        <v>4773.0</v>
      </c>
      <c r="B4779" s="90" t="s">
        <v>7878</v>
      </c>
      <c r="C4779" s="82" t="str">
        <f>VLOOKUP($B$7:$B$5000,SUM!$L$6:$L$500,1,FALSE)</f>
        <v>#N/A</v>
      </c>
      <c r="D4779" s="190" t="s">
        <v>7874</v>
      </c>
      <c r="E4779" s="198" t="s">
        <v>58</v>
      </c>
      <c r="F4779" s="199" t="s">
        <v>105</v>
      </c>
      <c r="G4779" s="191" t="s">
        <v>1362</v>
      </c>
      <c r="H4779" s="199" t="s">
        <v>7879</v>
      </c>
      <c r="I4779" s="197" t="s">
        <v>6888</v>
      </c>
      <c r="J4779" s="148" t="s">
        <v>63</v>
      </c>
      <c r="K4779" s="148" t="s">
        <v>64</v>
      </c>
      <c r="L4779" s="148" t="s">
        <v>65</v>
      </c>
      <c r="M4779" s="148" t="s">
        <v>185</v>
      </c>
      <c r="N4779" s="212">
        <v>46200.0</v>
      </c>
      <c r="O4779" s="148" t="s">
        <v>67</v>
      </c>
      <c r="P4779" s="148" t="s">
        <v>68</v>
      </c>
      <c r="Q4779" s="103"/>
      <c r="R4779" s="103"/>
      <c r="S4779" s="103"/>
      <c r="T4779" s="103"/>
      <c r="U4779" s="148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1">
        <v>4774.0</v>
      </c>
      <c r="B4780" s="90" t="s">
        <v>7880</v>
      </c>
      <c r="C4780" s="82" t="str">
        <f>VLOOKUP($B$7:$B$5000,SUM!$L$6:$L$500,1,FALSE)</f>
        <v>#N/A</v>
      </c>
      <c r="D4780" s="190" t="s">
        <v>7874</v>
      </c>
      <c r="E4780" s="198" t="s">
        <v>58</v>
      </c>
      <c r="F4780" s="199" t="s">
        <v>105</v>
      </c>
      <c r="G4780" s="191" t="s">
        <v>1362</v>
      </c>
      <c r="H4780" s="199" t="s">
        <v>7881</v>
      </c>
      <c r="I4780" s="197" t="s">
        <v>6888</v>
      </c>
      <c r="J4780" s="148" t="s">
        <v>63</v>
      </c>
      <c r="K4780" s="148" t="s">
        <v>64</v>
      </c>
      <c r="L4780" s="148" t="s">
        <v>65</v>
      </c>
      <c r="M4780" s="148" t="s">
        <v>185</v>
      </c>
      <c r="N4780" s="212">
        <v>46200.0</v>
      </c>
      <c r="O4780" s="148" t="s">
        <v>67</v>
      </c>
      <c r="P4780" s="148" t="s">
        <v>68</v>
      </c>
      <c r="Q4780" s="103"/>
      <c r="R4780" s="103"/>
      <c r="S4780" s="103"/>
      <c r="T4780" s="103"/>
      <c r="U4780" s="148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1">
        <v>4775.0</v>
      </c>
      <c r="B4781" s="90" t="s">
        <v>7882</v>
      </c>
      <c r="C4781" s="82" t="str">
        <f>VLOOKUP($B$7:$B$5000,SUM!$L$6:$L$500,1,FALSE)</f>
        <v>#N/A</v>
      </c>
      <c r="D4781" s="190" t="s">
        <v>7874</v>
      </c>
      <c r="E4781" s="198" t="s">
        <v>58</v>
      </c>
      <c r="F4781" s="199" t="s">
        <v>105</v>
      </c>
      <c r="G4781" s="191" t="s">
        <v>1329</v>
      </c>
      <c r="H4781" s="199" t="s">
        <v>7883</v>
      </c>
      <c r="I4781" s="197" t="s">
        <v>7884</v>
      </c>
      <c r="J4781" s="148" t="s">
        <v>63</v>
      </c>
      <c r="K4781" s="148" t="s">
        <v>64</v>
      </c>
      <c r="L4781" s="148" t="s">
        <v>65</v>
      </c>
      <c r="M4781" s="148" t="s">
        <v>185</v>
      </c>
      <c r="N4781" s="212">
        <v>46200.0</v>
      </c>
      <c r="O4781" s="148" t="s">
        <v>67</v>
      </c>
      <c r="P4781" s="148" t="s">
        <v>68</v>
      </c>
      <c r="Q4781" s="103"/>
      <c r="R4781" s="103"/>
      <c r="S4781" s="103"/>
      <c r="T4781" s="103"/>
      <c r="U4781" s="148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1">
        <v>4776.0</v>
      </c>
      <c r="B4782" s="90" t="s">
        <v>7885</v>
      </c>
      <c r="C4782" s="82" t="str">
        <f>VLOOKUP($B$7:$B$5000,SUM!$L$6:$L$500,1,FALSE)</f>
        <v>#N/A</v>
      </c>
      <c r="D4782" s="190" t="s">
        <v>7874</v>
      </c>
      <c r="E4782" s="198" t="s">
        <v>58</v>
      </c>
      <c r="F4782" s="199" t="s">
        <v>105</v>
      </c>
      <c r="G4782" s="191" t="s">
        <v>1329</v>
      </c>
      <c r="H4782" s="199" t="s">
        <v>7886</v>
      </c>
      <c r="I4782" s="197" t="s">
        <v>7884</v>
      </c>
      <c r="J4782" s="148" t="s">
        <v>63</v>
      </c>
      <c r="K4782" s="148" t="s">
        <v>64</v>
      </c>
      <c r="L4782" s="148" t="s">
        <v>65</v>
      </c>
      <c r="M4782" s="148" t="s">
        <v>185</v>
      </c>
      <c r="N4782" s="212">
        <v>46200.0</v>
      </c>
      <c r="O4782" s="148" t="s">
        <v>67</v>
      </c>
      <c r="P4782" s="148" t="s">
        <v>68</v>
      </c>
      <c r="Q4782" s="103"/>
      <c r="R4782" s="103"/>
      <c r="S4782" s="103"/>
      <c r="T4782" s="103"/>
      <c r="U4782" s="148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1">
        <v>4777.0</v>
      </c>
      <c r="B4783" s="90" t="s">
        <v>7887</v>
      </c>
      <c r="C4783" s="82" t="str">
        <f>VLOOKUP($B$7:$B$5000,SUM!$L$6:$L$500,1,FALSE)</f>
        <v>#N/A</v>
      </c>
      <c r="D4783" s="190" t="s">
        <v>7874</v>
      </c>
      <c r="E4783" s="198" t="s">
        <v>58</v>
      </c>
      <c r="F4783" s="199" t="s">
        <v>105</v>
      </c>
      <c r="G4783" s="191" t="s">
        <v>1329</v>
      </c>
      <c r="H4783" s="199" t="s">
        <v>7888</v>
      </c>
      <c r="I4783" s="197" t="s">
        <v>7884</v>
      </c>
      <c r="J4783" s="148" t="s">
        <v>63</v>
      </c>
      <c r="K4783" s="148" t="s">
        <v>64</v>
      </c>
      <c r="L4783" s="148" t="s">
        <v>65</v>
      </c>
      <c r="M4783" s="148" t="s">
        <v>185</v>
      </c>
      <c r="N4783" s="212">
        <v>46200.0</v>
      </c>
      <c r="O4783" s="148" t="s">
        <v>67</v>
      </c>
      <c r="P4783" s="148" t="s">
        <v>68</v>
      </c>
      <c r="Q4783" s="103"/>
      <c r="R4783" s="103"/>
      <c r="S4783" s="103"/>
      <c r="T4783" s="103"/>
      <c r="U4783" s="148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1">
        <v>4778.0</v>
      </c>
      <c r="B4784" s="90" t="s">
        <v>7889</v>
      </c>
      <c r="C4784" s="82" t="str">
        <f>VLOOKUP($B$7:$B$5000,SUM!$L$6:$L$500,1,FALSE)</f>
        <v>#N/A</v>
      </c>
      <c r="D4784" s="190" t="s">
        <v>7874</v>
      </c>
      <c r="E4784" s="198" t="s">
        <v>58</v>
      </c>
      <c r="F4784" s="199" t="s">
        <v>105</v>
      </c>
      <c r="G4784" s="191" t="s">
        <v>1329</v>
      </c>
      <c r="H4784" s="199" t="s">
        <v>7890</v>
      </c>
      <c r="I4784" s="197" t="s">
        <v>7884</v>
      </c>
      <c r="J4784" s="148" t="s">
        <v>63</v>
      </c>
      <c r="K4784" s="148" t="s">
        <v>64</v>
      </c>
      <c r="L4784" s="148" t="s">
        <v>65</v>
      </c>
      <c r="M4784" s="148" t="s">
        <v>185</v>
      </c>
      <c r="N4784" s="212">
        <v>46200.0</v>
      </c>
      <c r="O4784" s="148" t="s">
        <v>67</v>
      </c>
      <c r="P4784" s="148" t="s">
        <v>68</v>
      </c>
      <c r="Q4784" s="103"/>
      <c r="R4784" s="103"/>
      <c r="S4784" s="103"/>
      <c r="T4784" s="103"/>
      <c r="U4784" s="148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1">
        <v>4779.0</v>
      </c>
      <c r="B4785" s="90" t="s">
        <v>7891</v>
      </c>
      <c r="C4785" s="82" t="str">
        <f>VLOOKUP($B$7:$B$5000,SUM!$L$6:$L$500,1,FALSE)</f>
        <v>#N/A</v>
      </c>
      <c r="D4785" s="190" t="s">
        <v>7874</v>
      </c>
      <c r="E4785" s="198" t="s">
        <v>58</v>
      </c>
      <c r="F4785" s="199" t="s">
        <v>105</v>
      </c>
      <c r="G4785" s="191" t="s">
        <v>1329</v>
      </c>
      <c r="H4785" s="199" t="s">
        <v>7892</v>
      </c>
      <c r="I4785" s="197" t="s">
        <v>7884</v>
      </c>
      <c r="J4785" s="148" t="s">
        <v>63</v>
      </c>
      <c r="K4785" s="148" t="s">
        <v>64</v>
      </c>
      <c r="L4785" s="148" t="s">
        <v>65</v>
      </c>
      <c r="M4785" s="148" t="s">
        <v>185</v>
      </c>
      <c r="N4785" s="212">
        <v>46200.0</v>
      </c>
      <c r="O4785" s="148" t="s">
        <v>67</v>
      </c>
      <c r="P4785" s="148" t="s">
        <v>68</v>
      </c>
      <c r="Q4785" s="103"/>
      <c r="R4785" s="103"/>
      <c r="S4785" s="103"/>
      <c r="T4785" s="103"/>
      <c r="U4785" s="148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1">
        <v>4780.0</v>
      </c>
      <c r="B4786" s="90" t="s">
        <v>7893</v>
      </c>
      <c r="C4786" s="82" t="str">
        <f>VLOOKUP($B$7:$B$5000,SUM!$L$6:$L$500,1,FALSE)</f>
        <v>#N/A</v>
      </c>
      <c r="D4786" s="190" t="s">
        <v>7874</v>
      </c>
      <c r="E4786" s="198" t="s">
        <v>58</v>
      </c>
      <c r="F4786" s="199" t="s">
        <v>105</v>
      </c>
      <c r="G4786" s="191" t="s">
        <v>1329</v>
      </c>
      <c r="H4786" s="199" t="s">
        <v>7894</v>
      </c>
      <c r="I4786" s="197" t="s">
        <v>7884</v>
      </c>
      <c r="J4786" s="148" t="s">
        <v>63</v>
      </c>
      <c r="K4786" s="148" t="s">
        <v>64</v>
      </c>
      <c r="L4786" s="148" t="s">
        <v>65</v>
      </c>
      <c r="M4786" s="148" t="s">
        <v>185</v>
      </c>
      <c r="N4786" s="212">
        <v>46200.0</v>
      </c>
      <c r="O4786" s="148" t="s">
        <v>67</v>
      </c>
      <c r="P4786" s="148" t="s">
        <v>68</v>
      </c>
      <c r="Q4786" s="103"/>
      <c r="R4786" s="103"/>
      <c r="S4786" s="103"/>
      <c r="T4786" s="103"/>
      <c r="U4786" s="148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1">
        <v>4781.0</v>
      </c>
      <c r="B4787" s="90" t="s">
        <v>7895</v>
      </c>
      <c r="C4787" s="82" t="str">
        <f>VLOOKUP($B$7:$B$5000,SUM!$L$6:$L$500,1,FALSE)</f>
        <v>#N/A</v>
      </c>
      <c r="D4787" s="190" t="s">
        <v>7874</v>
      </c>
      <c r="E4787" s="198" t="s">
        <v>58</v>
      </c>
      <c r="F4787" s="199" t="s">
        <v>105</v>
      </c>
      <c r="G4787" s="191" t="s">
        <v>1871</v>
      </c>
      <c r="H4787" s="199" t="s">
        <v>7896</v>
      </c>
      <c r="I4787" s="197" t="s">
        <v>7897</v>
      </c>
      <c r="J4787" s="148" t="s">
        <v>63</v>
      </c>
      <c r="K4787" s="148" t="s">
        <v>64</v>
      </c>
      <c r="L4787" s="148" t="s">
        <v>65</v>
      </c>
      <c r="M4787" s="148" t="s">
        <v>185</v>
      </c>
      <c r="N4787" s="212">
        <v>46200.0</v>
      </c>
      <c r="O4787" s="148" t="s">
        <v>67</v>
      </c>
      <c r="P4787" s="148" t="s">
        <v>68</v>
      </c>
      <c r="Q4787" s="103"/>
      <c r="R4787" s="103"/>
      <c r="S4787" s="103"/>
      <c r="T4787" s="103"/>
      <c r="U4787" s="148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1">
        <v>4782.0</v>
      </c>
      <c r="B4788" s="90" t="s">
        <v>7898</v>
      </c>
      <c r="C4788" s="82" t="str">
        <f>VLOOKUP($B$7:$B$5000,SUM!$L$6:$L$500,1,FALSE)</f>
        <v>#N/A</v>
      </c>
      <c r="D4788" s="190" t="s">
        <v>7874</v>
      </c>
      <c r="E4788" s="198" t="s">
        <v>58</v>
      </c>
      <c r="F4788" s="199" t="s">
        <v>105</v>
      </c>
      <c r="G4788" s="191" t="s">
        <v>1567</v>
      </c>
      <c r="H4788" s="199" t="s">
        <v>7899</v>
      </c>
      <c r="I4788" s="197" t="s">
        <v>7900</v>
      </c>
      <c r="J4788" s="148" t="s">
        <v>63</v>
      </c>
      <c r="K4788" s="148" t="s">
        <v>64</v>
      </c>
      <c r="L4788" s="148" t="s">
        <v>65</v>
      </c>
      <c r="M4788" s="148" t="s">
        <v>185</v>
      </c>
      <c r="N4788" s="212">
        <v>46200.0</v>
      </c>
      <c r="O4788" s="148" t="s">
        <v>67</v>
      </c>
      <c r="P4788" s="148" t="s">
        <v>68</v>
      </c>
      <c r="Q4788" s="103"/>
      <c r="R4788" s="103"/>
      <c r="S4788" s="103"/>
      <c r="T4788" s="103"/>
      <c r="U4788" s="148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1">
        <v>4783.0</v>
      </c>
      <c r="B4789" s="90" t="s">
        <v>7901</v>
      </c>
      <c r="C4789" s="82" t="str">
        <f>VLOOKUP($B$7:$B$5000,SUM!$L$6:$L$500,1,FALSE)</f>
        <v>#N/A</v>
      </c>
      <c r="D4789" s="190" t="s">
        <v>7874</v>
      </c>
      <c r="E4789" s="198" t="s">
        <v>58</v>
      </c>
      <c r="F4789" s="199" t="s">
        <v>105</v>
      </c>
      <c r="G4789" s="191" t="s">
        <v>1362</v>
      </c>
      <c r="H4789" s="199" t="s">
        <v>7902</v>
      </c>
      <c r="I4789" s="197" t="s">
        <v>6891</v>
      </c>
      <c r="J4789" s="148" t="s">
        <v>63</v>
      </c>
      <c r="K4789" s="148" t="s">
        <v>64</v>
      </c>
      <c r="L4789" s="148" t="s">
        <v>65</v>
      </c>
      <c r="M4789" s="148" t="s">
        <v>185</v>
      </c>
      <c r="N4789" s="212">
        <v>46200.0</v>
      </c>
      <c r="O4789" s="148" t="s">
        <v>67</v>
      </c>
      <c r="P4789" s="148" t="s">
        <v>68</v>
      </c>
      <c r="Q4789" s="103"/>
      <c r="R4789" s="103"/>
      <c r="S4789" s="103"/>
      <c r="T4789" s="103"/>
      <c r="U4789" s="148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1">
        <v>4784.0</v>
      </c>
      <c r="B4790" s="90" t="s">
        <v>7903</v>
      </c>
      <c r="C4790" s="82" t="str">
        <f>VLOOKUP($B$7:$B$5000,SUM!$L$6:$L$500,1,FALSE)</f>
        <v>#N/A</v>
      </c>
      <c r="D4790" s="190" t="s">
        <v>7874</v>
      </c>
      <c r="E4790" s="198" t="s">
        <v>58</v>
      </c>
      <c r="F4790" s="199" t="s">
        <v>105</v>
      </c>
      <c r="G4790" s="191" t="s">
        <v>1362</v>
      </c>
      <c r="H4790" s="199" t="s">
        <v>7904</v>
      </c>
      <c r="I4790" s="197" t="s">
        <v>6891</v>
      </c>
      <c r="J4790" s="148" t="s">
        <v>63</v>
      </c>
      <c r="K4790" s="148" t="s">
        <v>64</v>
      </c>
      <c r="L4790" s="148" t="s">
        <v>65</v>
      </c>
      <c r="M4790" s="148" t="s">
        <v>185</v>
      </c>
      <c r="N4790" s="212">
        <v>46200.0</v>
      </c>
      <c r="O4790" s="148" t="s">
        <v>67</v>
      </c>
      <c r="P4790" s="148" t="s">
        <v>68</v>
      </c>
      <c r="Q4790" s="103"/>
      <c r="R4790" s="103"/>
      <c r="S4790" s="103"/>
      <c r="T4790" s="103"/>
      <c r="U4790" s="148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1">
        <v>4785.0</v>
      </c>
      <c r="B4791" s="90" t="s">
        <v>7905</v>
      </c>
      <c r="C4791" s="82" t="str">
        <f>VLOOKUP($B$7:$B$5000,SUM!$L$6:$L$500,1,FALSE)</f>
        <v>#N/A</v>
      </c>
      <c r="D4791" s="190" t="s">
        <v>7874</v>
      </c>
      <c r="E4791" s="198" t="s">
        <v>58</v>
      </c>
      <c r="F4791" s="199" t="s">
        <v>105</v>
      </c>
      <c r="G4791" s="191" t="s">
        <v>1362</v>
      </c>
      <c r="H4791" s="199" t="s">
        <v>7906</v>
      </c>
      <c r="I4791" s="197" t="s">
        <v>6891</v>
      </c>
      <c r="J4791" s="148" t="s">
        <v>63</v>
      </c>
      <c r="K4791" s="148" t="s">
        <v>64</v>
      </c>
      <c r="L4791" s="148" t="s">
        <v>65</v>
      </c>
      <c r="M4791" s="148" t="s">
        <v>185</v>
      </c>
      <c r="N4791" s="212">
        <v>46200.0</v>
      </c>
      <c r="O4791" s="148" t="s">
        <v>67</v>
      </c>
      <c r="P4791" s="148" t="s">
        <v>68</v>
      </c>
      <c r="Q4791" s="103"/>
      <c r="R4791" s="103"/>
      <c r="S4791" s="103"/>
      <c r="T4791" s="103"/>
      <c r="U4791" s="148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1">
        <v>4786.0</v>
      </c>
      <c r="B4792" s="90" t="s">
        <v>7907</v>
      </c>
      <c r="C4792" s="82" t="str">
        <f>VLOOKUP($B$7:$B$5000,SUM!$L$6:$L$500,1,FALSE)</f>
        <v>#N/A</v>
      </c>
      <c r="D4792" s="190" t="s">
        <v>7874</v>
      </c>
      <c r="E4792" s="198" t="s">
        <v>58</v>
      </c>
      <c r="F4792" s="199" t="s">
        <v>105</v>
      </c>
      <c r="G4792" s="191" t="s">
        <v>1362</v>
      </c>
      <c r="H4792" s="199" t="s">
        <v>7908</v>
      </c>
      <c r="I4792" s="197" t="s">
        <v>6891</v>
      </c>
      <c r="J4792" s="148" t="s">
        <v>63</v>
      </c>
      <c r="K4792" s="148" t="s">
        <v>64</v>
      </c>
      <c r="L4792" s="148" t="s">
        <v>65</v>
      </c>
      <c r="M4792" s="148" t="s">
        <v>185</v>
      </c>
      <c r="N4792" s="212">
        <v>46200.0</v>
      </c>
      <c r="O4792" s="148" t="s">
        <v>67</v>
      </c>
      <c r="P4792" s="148" t="s">
        <v>68</v>
      </c>
      <c r="Q4792" s="103"/>
      <c r="R4792" s="103"/>
      <c r="S4792" s="103"/>
      <c r="T4792" s="103"/>
      <c r="U4792" s="148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1">
        <v>4787.0</v>
      </c>
      <c r="B4793" s="90" t="s">
        <v>7909</v>
      </c>
      <c r="C4793" s="82" t="str">
        <f>VLOOKUP($B$7:$B$5000,SUM!$L$6:$L$500,1,FALSE)</f>
        <v>#N/A</v>
      </c>
      <c r="D4793" s="190" t="s">
        <v>7874</v>
      </c>
      <c r="E4793" s="198" t="s">
        <v>58</v>
      </c>
      <c r="F4793" s="199" t="s">
        <v>105</v>
      </c>
      <c r="G4793" s="191" t="s">
        <v>1362</v>
      </c>
      <c r="H4793" s="199" t="s">
        <v>7910</v>
      </c>
      <c r="I4793" s="197" t="s">
        <v>6891</v>
      </c>
      <c r="J4793" s="148" t="s">
        <v>63</v>
      </c>
      <c r="K4793" s="148" t="s">
        <v>64</v>
      </c>
      <c r="L4793" s="148" t="s">
        <v>65</v>
      </c>
      <c r="M4793" s="148" t="s">
        <v>185</v>
      </c>
      <c r="N4793" s="212">
        <v>46200.0</v>
      </c>
      <c r="O4793" s="148" t="s">
        <v>67</v>
      </c>
      <c r="P4793" s="148" t="s">
        <v>68</v>
      </c>
      <c r="Q4793" s="103"/>
      <c r="R4793" s="103"/>
      <c r="S4793" s="103"/>
      <c r="T4793" s="103"/>
      <c r="U4793" s="148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1">
        <v>4788.0</v>
      </c>
      <c r="B4794" s="90" t="s">
        <v>7911</v>
      </c>
      <c r="C4794" s="82" t="str">
        <f>VLOOKUP($B$7:$B$5000,SUM!$L$6:$L$500,1,FALSE)</f>
        <v>#N/A</v>
      </c>
      <c r="D4794" s="190" t="s">
        <v>7874</v>
      </c>
      <c r="E4794" s="198" t="s">
        <v>58</v>
      </c>
      <c r="F4794" s="199" t="s">
        <v>105</v>
      </c>
      <c r="G4794" s="191" t="s">
        <v>1362</v>
      </c>
      <c r="H4794" s="199" t="s">
        <v>7912</v>
      </c>
      <c r="I4794" s="197" t="s">
        <v>6891</v>
      </c>
      <c r="J4794" s="148" t="s">
        <v>63</v>
      </c>
      <c r="K4794" s="148" t="s">
        <v>64</v>
      </c>
      <c r="L4794" s="148" t="s">
        <v>65</v>
      </c>
      <c r="M4794" s="148" t="s">
        <v>185</v>
      </c>
      <c r="N4794" s="212">
        <v>46200.0</v>
      </c>
      <c r="O4794" s="148" t="s">
        <v>67</v>
      </c>
      <c r="P4794" s="148" t="s">
        <v>68</v>
      </c>
      <c r="Q4794" s="103"/>
      <c r="R4794" s="103"/>
      <c r="S4794" s="103"/>
      <c r="T4794" s="103"/>
      <c r="U4794" s="148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1">
        <v>4789.0</v>
      </c>
      <c r="B4795" s="90" t="s">
        <v>7913</v>
      </c>
      <c r="C4795" s="82" t="str">
        <f>VLOOKUP($B$7:$B$5000,SUM!$L$6:$L$500,1,FALSE)</f>
        <v>#N/A</v>
      </c>
      <c r="D4795" s="190" t="s">
        <v>7874</v>
      </c>
      <c r="E4795" s="198" t="s">
        <v>58</v>
      </c>
      <c r="F4795" s="199" t="s">
        <v>105</v>
      </c>
      <c r="G4795" s="191" t="s">
        <v>1362</v>
      </c>
      <c r="H4795" s="199" t="s">
        <v>7914</v>
      </c>
      <c r="I4795" s="197" t="s">
        <v>6891</v>
      </c>
      <c r="J4795" s="148" t="s">
        <v>63</v>
      </c>
      <c r="K4795" s="148" t="s">
        <v>64</v>
      </c>
      <c r="L4795" s="148" t="s">
        <v>65</v>
      </c>
      <c r="M4795" s="148" t="s">
        <v>185</v>
      </c>
      <c r="N4795" s="212">
        <v>46200.0</v>
      </c>
      <c r="O4795" s="148" t="s">
        <v>67</v>
      </c>
      <c r="P4795" s="148" t="s">
        <v>68</v>
      </c>
      <c r="Q4795" s="103"/>
      <c r="R4795" s="103"/>
      <c r="S4795" s="103"/>
      <c r="T4795" s="103"/>
      <c r="U4795" s="148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1">
        <v>4790.0</v>
      </c>
      <c r="B4796" s="90" t="s">
        <v>7915</v>
      </c>
      <c r="C4796" s="82" t="str">
        <f>VLOOKUP($B$7:$B$5000,SUM!$L$6:$L$500,1,FALSE)</f>
        <v>#N/A</v>
      </c>
      <c r="D4796" s="190" t="s">
        <v>7874</v>
      </c>
      <c r="E4796" s="198" t="s">
        <v>58</v>
      </c>
      <c r="F4796" s="199" t="s">
        <v>105</v>
      </c>
      <c r="G4796" s="191" t="s">
        <v>1362</v>
      </c>
      <c r="H4796" s="199" t="s">
        <v>7916</v>
      </c>
      <c r="I4796" s="197" t="s">
        <v>6891</v>
      </c>
      <c r="J4796" s="148" t="s">
        <v>63</v>
      </c>
      <c r="K4796" s="148" t="s">
        <v>64</v>
      </c>
      <c r="L4796" s="148" t="s">
        <v>65</v>
      </c>
      <c r="M4796" s="148" t="s">
        <v>185</v>
      </c>
      <c r="N4796" s="212">
        <v>46200.0</v>
      </c>
      <c r="O4796" s="148" t="s">
        <v>67</v>
      </c>
      <c r="P4796" s="148" t="s">
        <v>68</v>
      </c>
      <c r="Q4796" s="103"/>
      <c r="R4796" s="103"/>
      <c r="S4796" s="103"/>
      <c r="T4796" s="103"/>
      <c r="U4796" s="148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1">
        <v>4791.0</v>
      </c>
      <c r="B4797" s="90" t="s">
        <v>7917</v>
      </c>
      <c r="C4797" s="82" t="str">
        <f>VLOOKUP($B$7:$B$5000,SUM!$L$6:$L$500,1,FALSE)</f>
        <v>#N/A</v>
      </c>
      <c r="D4797" s="190" t="s">
        <v>7874</v>
      </c>
      <c r="E4797" s="198" t="s">
        <v>58</v>
      </c>
      <c r="F4797" s="199" t="s">
        <v>105</v>
      </c>
      <c r="G4797" s="191" t="s">
        <v>1362</v>
      </c>
      <c r="H4797" s="199" t="s">
        <v>7918</v>
      </c>
      <c r="I4797" s="197" t="s">
        <v>6891</v>
      </c>
      <c r="J4797" s="148" t="s">
        <v>63</v>
      </c>
      <c r="K4797" s="148" t="s">
        <v>64</v>
      </c>
      <c r="L4797" s="148" t="s">
        <v>65</v>
      </c>
      <c r="M4797" s="148" t="s">
        <v>185</v>
      </c>
      <c r="N4797" s="212">
        <v>46200.0</v>
      </c>
      <c r="O4797" s="148" t="s">
        <v>67</v>
      </c>
      <c r="P4797" s="148" t="s">
        <v>68</v>
      </c>
      <c r="Q4797" s="103"/>
      <c r="R4797" s="103"/>
      <c r="S4797" s="103"/>
      <c r="T4797" s="103"/>
      <c r="U4797" s="148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1">
        <v>4792.0</v>
      </c>
      <c r="B4798" s="90" t="s">
        <v>7919</v>
      </c>
      <c r="C4798" s="82" t="str">
        <f>VLOOKUP($B$7:$B$5000,SUM!$L$6:$L$500,1,FALSE)</f>
        <v>#N/A</v>
      </c>
      <c r="D4798" s="190" t="s">
        <v>7874</v>
      </c>
      <c r="E4798" s="198" t="s">
        <v>58</v>
      </c>
      <c r="F4798" s="199" t="s">
        <v>105</v>
      </c>
      <c r="G4798" s="191" t="s">
        <v>1362</v>
      </c>
      <c r="H4798" s="199" t="s">
        <v>7920</v>
      </c>
      <c r="I4798" s="197" t="s">
        <v>6891</v>
      </c>
      <c r="J4798" s="148" t="s">
        <v>63</v>
      </c>
      <c r="K4798" s="148" t="s">
        <v>64</v>
      </c>
      <c r="L4798" s="148" t="s">
        <v>65</v>
      </c>
      <c r="M4798" s="148" t="s">
        <v>185</v>
      </c>
      <c r="N4798" s="212">
        <v>46200.0</v>
      </c>
      <c r="O4798" s="148" t="s">
        <v>67</v>
      </c>
      <c r="P4798" s="148" t="s">
        <v>68</v>
      </c>
      <c r="Q4798" s="103"/>
      <c r="R4798" s="103"/>
      <c r="S4798" s="103"/>
      <c r="T4798" s="103"/>
      <c r="U4798" s="148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1">
        <v>4793.0</v>
      </c>
      <c r="B4799" s="90" t="s">
        <v>7921</v>
      </c>
      <c r="C4799" s="82" t="str">
        <f>VLOOKUP($B$7:$B$5000,SUM!$L$6:$L$500,1,FALSE)</f>
        <v>#N/A</v>
      </c>
      <c r="D4799" s="190" t="s">
        <v>7874</v>
      </c>
      <c r="E4799" s="198" t="s">
        <v>58</v>
      </c>
      <c r="F4799" s="199" t="s">
        <v>105</v>
      </c>
      <c r="G4799" s="191" t="s">
        <v>1362</v>
      </c>
      <c r="H4799" s="199" t="s">
        <v>7922</v>
      </c>
      <c r="I4799" s="197" t="s">
        <v>6891</v>
      </c>
      <c r="J4799" s="148" t="s">
        <v>63</v>
      </c>
      <c r="K4799" s="148" t="s">
        <v>64</v>
      </c>
      <c r="L4799" s="148" t="s">
        <v>65</v>
      </c>
      <c r="M4799" s="148" t="s">
        <v>185</v>
      </c>
      <c r="N4799" s="212">
        <v>46200.0</v>
      </c>
      <c r="O4799" s="148" t="s">
        <v>67</v>
      </c>
      <c r="P4799" s="148" t="s">
        <v>68</v>
      </c>
      <c r="Q4799" s="103"/>
      <c r="R4799" s="103"/>
      <c r="S4799" s="103"/>
      <c r="T4799" s="103"/>
      <c r="U4799" s="148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1">
        <v>4794.0</v>
      </c>
      <c r="B4800" s="90" t="s">
        <v>7923</v>
      </c>
      <c r="C4800" s="82" t="str">
        <f>VLOOKUP($B$7:$B$5000,SUM!$L$6:$L$500,1,FALSE)</f>
        <v>#N/A</v>
      </c>
      <c r="D4800" s="190" t="s">
        <v>7874</v>
      </c>
      <c r="E4800" s="198" t="s">
        <v>58</v>
      </c>
      <c r="F4800" s="199" t="s">
        <v>105</v>
      </c>
      <c r="G4800" s="191" t="s">
        <v>1871</v>
      </c>
      <c r="H4800" s="199" t="s">
        <v>7924</v>
      </c>
      <c r="I4800" s="197" t="s">
        <v>7925</v>
      </c>
      <c r="J4800" s="148" t="s">
        <v>63</v>
      </c>
      <c r="K4800" s="148" t="s">
        <v>64</v>
      </c>
      <c r="L4800" s="148" t="s">
        <v>65</v>
      </c>
      <c r="M4800" s="148" t="s">
        <v>185</v>
      </c>
      <c r="N4800" s="212">
        <v>46200.0</v>
      </c>
      <c r="O4800" s="148" t="s">
        <v>67</v>
      </c>
      <c r="P4800" s="148" t="s">
        <v>68</v>
      </c>
      <c r="Q4800" s="103"/>
      <c r="R4800" s="103"/>
      <c r="S4800" s="103"/>
      <c r="T4800" s="103"/>
      <c r="U4800" s="148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1">
        <v>4795.0</v>
      </c>
      <c r="B4801" s="90" t="s">
        <v>7926</v>
      </c>
      <c r="C4801" s="82" t="str">
        <f>VLOOKUP($B$7:$B$5000,SUM!$L$6:$L$500,1,FALSE)</f>
        <v>#N/A</v>
      </c>
      <c r="D4801" s="190" t="s">
        <v>7874</v>
      </c>
      <c r="E4801" s="198" t="s">
        <v>58</v>
      </c>
      <c r="F4801" s="199" t="s">
        <v>105</v>
      </c>
      <c r="G4801" s="191" t="s">
        <v>1362</v>
      </c>
      <c r="H4801" s="199" t="s">
        <v>7875</v>
      </c>
      <c r="I4801" s="197" t="s">
        <v>7927</v>
      </c>
      <c r="J4801" s="148" t="s">
        <v>63</v>
      </c>
      <c r="K4801" s="148" t="s">
        <v>64</v>
      </c>
      <c r="L4801" s="148" t="s">
        <v>65</v>
      </c>
      <c r="M4801" s="148" t="s">
        <v>185</v>
      </c>
      <c r="N4801" s="212">
        <v>46200.0</v>
      </c>
      <c r="O4801" s="148" t="s">
        <v>67</v>
      </c>
      <c r="P4801" s="148" t="s">
        <v>68</v>
      </c>
      <c r="Q4801" s="103"/>
      <c r="R4801" s="103"/>
      <c r="S4801" s="103"/>
      <c r="T4801" s="103"/>
      <c r="U4801" s="148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1">
        <v>4796.0</v>
      </c>
      <c r="B4802" s="90" t="s">
        <v>7928</v>
      </c>
      <c r="C4802" s="82" t="str">
        <f>VLOOKUP($B$7:$B$5000,SUM!$L$6:$L$500,1,FALSE)</f>
        <v>#N/A</v>
      </c>
      <c r="D4802" s="190" t="s">
        <v>7874</v>
      </c>
      <c r="E4802" s="198" t="s">
        <v>58</v>
      </c>
      <c r="F4802" s="199" t="s">
        <v>105</v>
      </c>
      <c r="G4802" s="191" t="s">
        <v>1362</v>
      </c>
      <c r="H4802" s="199" t="s">
        <v>7877</v>
      </c>
      <c r="I4802" s="197" t="s">
        <v>7927</v>
      </c>
      <c r="J4802" s="148" t="s">
        <v>63</v>
      </c>
      <c r="K4802" s="148" t="s">
        <v>64</v>
      </c>
      <c r="L4802" s="148" t="s">
        <v>65</v>
      </c>
      <c r="M4802" s="148" t="s">
        <v>185</v>
      </c>
      <c r="N4802" s="212">
        <v>46200.0</v>
      </c>
      <c r="O4802" s="148" t="s">
        <v>67</v>
      </c>
      <c r="P4802" s="148" t="s">
        <v>68</v>
      </c>
      <c r="Q4802" s="103"/>
      <c r="R4802" s="103"/>
      <c r="S4802" s="103"/>
      <c r="T4802" s="103"/>
      <c r="U4802" s="148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1">
        <v>4797.0</v>
      </c>
      <c r="B4803" s="90" t="s">
        <v>7929</v>
      </c>
      <c r="C4803" s="82" t="str">
        <f>VLOOKUP($B$7:$B$5000,SUM!$L$6:$L$500,1,FALSE)</f>
        <v>#N/A</v>
      </c>
      <c r="D4803" s="190" t="s">
        <v>7874</v>
      </c>
      <c r="E4803" s="198" t="s">
        <v>58</v>
      </c>
      <c r="F4803" s="199" t="s">
        <v>105</v>
      </c>
      <c r="G4803" s="191" t="s">
        <v>1362</v>
      </c>
      <c r="H4803" s="199" t="s">
        <v>7879</v>
      </c>
      <c r="I4803" s="197" t="s">
        <v>7927</v>
      </c>
      <c r="J4803" s="148" t="s">
        <v>63</v>
      </c>
      <c r="K4803" s="148" t="s">
        <v>64</v>
      </c>
      <c r="L4803" s="148" t="s">
        <v>65</v>
      </c>
      <c r="M4803" s="148" t="s">
        <v>185</v>
      </c>
      <c r="N4803" s="212">
        <v>46200.0</v>
      </c>
      <c r="O4803" s="148" t="s">
        <v>67</v>
      </c>
      <c r="P4803" s="148" t="s">
        <v>68</v>
      </c>
      <c r="Q4803" s="103"/>
      <c r="R4803" s="103"/>
      <c r="S4803" s="103"/>
      <c r="T4803" s="103"/>
      <c r="U4803" s="148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1">
        <v>4798.0</v>
      </c>
      <c r="B4804" s="90" t="s">
        <v>7930</v>
      </c>
      <c r="C4804" s="82" t="str">
        <f>VLOOKUP($B$7:$B$5000,SUM!$L$6:$L$500,1,FALSE)</f>
        <v>#N/A</v>
      </c>
      <c r="D4804" s="190" t="s">
        <v>7874</v>
      </c>
      <c r="E4804" s="198" t="s">
        <v>58</v>
      </c>
      <c r="F4804" s="199" t="s">
        <v>105</v>
      </c>
      <c r="G4804" s="191" t="s">
        <v>1362</v>
      </c>
      <c r="H4804" s="199" t="s">
        <v>7881</v>
      </c>
      <c r="I4804" s="197" t="s">
        <v>7927</v>
      </c>
      <c r="J4804" s="148" t="s">
        <v>63</v>
      </c>
      <c r="K4804" s="148" t="s">
        <v>64</v>
      </c>
      <c r="L4804" s="148" t="s">
        <v>65</v>
      </c>
      <c r="M4804" s="148" t="s">
        <v>185</v>
      </c>
      <c r="N4804" s="212">
        <v>46200.0</v>
      </c>
      <c r="O4804" s="148" t="s">
        <v>67</v>
      </c>
      <c r="P4804" s="148" t="s">
        <v>68</v>
      </c>
      <c r="Q4804" s="103"/>
      <c r="R4804" s="103"/>
      <c r="S4804" s="103"/>
      <c r="T4804" s="103"/>
      <c r="U4804" s="148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1">
        <v>4799.0</v>
      </c>
      <c r="B4805" s="90" t="s">
        <v>7931</v>
      </c>
      <c r="C4805" s="82" t="str">
        <f>VLOOKUP($B$7:$B$5000,SUM!$L$6:$L$500,1,FALSE)</f>
        <v>#N/A</v>
      </c>
      <c r="D4805" s="190" t="s">
        <v>7874</v>
      </c>
      <c r="E4805" s="198" t="s">
        <v>58</v>
      </c>
      <c r="F4805" s="199" t="s">
        <v>105</v>
      </c>
      <c r="G4805" s="191" t="s">
        <v>1329</v>
      </c>
      <c r="H4805" s="199" t="s">
        <v>7883</v>
      </c>
      <c r="I4805" s="197" t="s">
        <v>7932</v>
      </c>
      <c r="J4805" s="148" t="s">
        <v>63</v>
      </c>
      <c r="K4805" s="148" t="s">
        <v>64</v>
      </c>
      <c r="L4805" s="148" t="s">
        <v>65</v>
      </c>
      <c r="M4805" s="148" t="s">
        <v>185</v>
      </c>
      <c r="N4805" s="212">
        <v>46200.0</v>
      </c>
      <c r="O4805" s="148" t="s">
        <v>67</v>
      </c>
      <c r="P4805" s="148" t="s">
        <v>68</v>
      </c>
      <c r="Q4805" s="103"/>
      <c r="R4805" s="103"/>
      <c r="S4805" s="103"/>
      <c r="T4805" s="103"/>
      <c r="U4805" s="148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1">
        <v>4800.0</v>
      </c>
      <c r="B4806" s="90" t="s">
        <v>7933</v>
      </c>
      <c r="C4806" s="82" t="str">
        <f>VLOOKUP($B$7:$B$5000,SUM!$L$6:$L$500,1,FALSE)</f>
        <v>#N/A</v>
      </c>
      <c r="D4806" s="190" t="s">
        <v>7874</v>
      </c>
      <c r="E4806" s="198" t="s">
        <v>58</v>
      </c>
      <c r="F4806" s="199" t="s">
        <v>105</v>
      </c>
      <c r="G4806" s="191" t="s">
        <v>1329</v>
      </c>
      <c r="H4806" s="199" t="s">
        <v>7886</v>
      </c>
      <c r="I4806" s="197" t="s">
        <v>7932</v>
      </c>
      <c r="J4806" s="148" t="s">
        <v>63</v>
      </c>
      <c r="K4806" s="148" t="s">
        <v>64</v>
      </c>
      <c r="L4806" s="148" t="s">
        <v>65</v>
      </c>
      <c r="M4806" s="148" t="s">
        <v>185</v>
      </c>
      <c r="N4806" s="212">
        <v>46200.0</v>
      </c>
      <c r="O4806" s="148" t="s">
        <v>67</v>
      </c>
      <c r="P4806" s="148" t="s">
        <v>68</v>
      </c>
      <c r="Q4806" s="103"/>
      <c r="R4806" s="103"/>
      <c r="S4806" s="103"/>
      <c r="T4806" s="103"/>
      <c r="U4806" s="148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1">
        <v>4801.0</v>
      </c>
      <c r="B4807" s="90" t="s">
        <v>7934</v>
      </c>
      <c r="C4807" s="82" t="str">
        <f>VLOOKUP($B$7:$B$5000,SUM!$L$6:$L$500,1,FALSE)</f>
        <v>#N/A</v>
      </c>
      <c r="D4807" s="190" t="s">
        <v>7874</v>
      </c>
      <c r="E4807" s="198" t="s">
        <v>58</v>
      </c>
      <c r="F4807" s="199" t="s">
        <v>105</v>
      </c>
      <c r="G4807" s="191" t="s">
        <v>1329</v>
      </c>
      <c r="H4807" s="199" t="s">
        <v>7888</v>
      </c>
      <c r="I4807" s="197" t="s">
        <v>7932</v>
      </c>
      <c r="J4807" s="148" t="s">
        <v>63</v>
      </c>
      <c r="K4807" s="148" t="s">
        <v>64</v>
      </c>
      <c r="L4807" s="148" t="s">
        <v>65</v>
      </c>
      <c r="M4807" s="148" t="s">
        <v>185</v>
      </c>
      <c r="N4807" s="212">
        <v>46200.0</v>
      </c>
      <c r="O4807" s="148" t="s">
        <v>67</v>
      </c>
      <c r="P4807" s="148" t="s">
        <v>68</v>
      </c>
      <c r="Q4807" s="103"/>
      <c r="R4807" s="103"/>
      <c r="S4807" s="103"/>
      <c r="T4807" s="103"/>
      <c r="U4807" s="148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1">
        <v>4802.0</v>
      </c>
      <c r="B4808" s="90" t="s">
        <v>7935</v>
      </c>
      <c r="C4808" s="82" t="str">
        <f>VLOOKUP($B$7:$B$5000,SUM!$L$6:$L$500,1,FALSE)</f>
        <v>#N/A</v>
      </c>
      <c r="D4808" s="190" t="s">
        <v>7874</v>
      </c>
      <c r="E4808" s="198" t="s">
        <v>58</v>
      </c>
      <c r="F4808" s="199" t="s">
        <v>105</v>
      </c>
      <c r="G4808" s="191" t="s">
        <v>1329</v>
      </c>
      <c r="H4808" s="199" t="s">
        <v>7890</v>
      </c>
      <c r="I4808" s="197" t="s">
        <v>7932</v>
      </c>
      <c r="J4808" s="148" t="s">
        <v>63</v>
      </c>
      <c r="K4808" s="148" t="s">
        <v>64</v>
      </c>
      <c r="L4808" s="148" t="s">
        <v>65</v>
      </c>
      <c r="M4808" s="148" t="s">
        <v>185</v>
      </c>
      <c r="N4808" s="212">
        <v>46200.0</v>
      </c>
      <c r="O4808" s="148" t="s">
        <v>67</v>
      </c>
      <c r="P4808" s="148" t="s">
        <v>68</v>
      </c>
      <c r="Q4808" s="103"/>
      <c r="R4808" s="103"/>
      <c r="S4808" s="103"/>
      <c r="T4808" s="103"/>
      <c r="U4808" s="148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1">
        <v>4803.0</v>
      </c>
      <c r="B4809" s="90" t="s">
        <v>7936</v>
      </c>
      <c r="C4809" s="82" t="str">
        <f>VLOOKUP($B$7:$B$5000,SUM!$L$6:$L$500,1,FALSE)</f>
        <v>#N/A</v>
      </c>
      <c r="D4809" s="190" t="s">
        <v>7874</v>
      </c>
      <c r="E4809" s="198" t="s">
        <v>58</v>
      </c>
      <c r="F4809" s="199" t="s">
        <v>105</v>
      </c>
      <c r="G4809" s="191" t="s">
        <v>1329</v>
      </c>
      <c r="H4809" s="199" t="s">
        <v>7892</v>
      </c>
      <c r="I4809" s="197" t="s">
        <v>7932</v>
      </c>
      <c r="J4809" s="148" t="s">
        <v>63</v>
      </c>
      <c r="K4809" s="148" t="s">
        <v>64</v>
      </c>
      <c r="L4809" s="148" t="s">
        <v>65</v>
      </c>
      <c r="M4809" s="148" t="s">
        <v>185</v>
      </c>
      <c r="N4809" s="212">
        <v>46200.0</v>
      </c>
      <c r="O4809" s="148" t="s">
        <v>67</v>
      </c>
      <c r="P4809" s="148" t="s">
        <v>68</v>
      </c>
      <c r="Q4809" s="103"/>
      <c r="R4809" s="103"/>
      <c r="S4809" s="103"/>
      <c r="T4809" s="103"/>
      <c r="U4809" s="148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1">
        <v>4804.0</v>
      </c>
      <c r="B4810" s="90" t="s">
        <v>7937</v>
      </c>
      <c r="C4810" s="82" t="str">
        <f>VLOOKUP($B$7:$B$5000,SUM!$L$6:$L$500,1,FALSE)</f>
        <v>#N/A</v>
      </c>
      <c r="D4810" s="190" t="s">
        <v>7874</v>
      </c>
      <c r="E4810" s="198" t="s">
        <v>58</v>
      </c>
      <c r="F4810" s="199" t="s">
        <v>105</v>
      </c>
      <c r="G4810" s="191" t="s">
        <v>1329</v>
      </c>
      <c r="H4810" s="199" t="s">
        <v>7894</v>
      </c>
      <c r="I4810" s="197" t="s">
        <v>7932</v>
      </c>
      <c r="J4810" s="148" t="s">
        <v>63</v>
      </c>
      <c r="K4810" s="148" t="s">
        <v>64</v>
      </c>
      <c r="L4810" s="148" t="s">
        <v>65</v>
      </c>
      <c r="M4810" s="148" t="s">
        <v>185</v>
      </c>
      <c r="N4810" s="212">
        <v>46200.0</v>
      </c>
      <c r="O4810" s="148" t="s">
        <v>67</v>
      </c>
      <c r="P4810" s="148" t="s">
        <v>68</v>
      </c>
      <c r="Q4810" s="103"/>
      <c r="R4810" s="103"/>
      <c r="S4810" s="103"/>
      <c r="T4810" s="103"/>
      <c r="U4810" s="148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1">
        <v>4805.0</v>
      </c>
      <c r="B4811" s="90" t="s">
        <v>7938</v>
      </c>
      <c r="C4811" s="82" t="str">
        <f>VLOOKUP($B$7:$B$5000,SUM!$L$6:$L$500,1,FALSE)</f>
        <v>#N/A</v>
      </c>
      <c r="D4811" s="190" t="s">
        <v>7874</v>
      </c>
      <c r="E4811" s="198" t="s">
        <v>58</v>
      </c>
      <c r="F4811" s="199" t="s">
        <v>105</v>
      </c>
      <c r="G4811" s="191" t="s">
        <v>1871</v>
      </c>
      <c r="H4811" s="199" t="s">
        <v>7896</v>
      </c>
      <c r="I4811" s="197" t="s">
        <v>7932</v>
      </c>
      <c r="J4811" s="148" t="s">
        <v>63</v>
      </c>
      <c r="K4811" s="148" t="s">
        <v>64</v>
      </c>
      <c r="L4811" s="148" t="s">
        <v>65</v>
      </c>
      <c r="M4811" s="148" t="s">
        <v>185</v>
      </c>
      <c r="N4811" s="212">
        <v>46200.0</v>
      </c>
      <c r="O4811" s="148" t="s">
        <v>67</v>
      </c>
      <c r="P4811" s="148" t="s">
        <v>68</v>
      </c>
      <c r="Q4811" s="103"/>
      <c r="R4811" s="103"/>
      <c r="S4811" s="103"/>
      <c r="T4811" s="103"/>
      <c r="U4811" s="148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1">
        <v>4806.0</v>
      </c>
      <c r="B4812" s="90" t="s">
        <v>7939</v>
      </c>
      <c r="C4812" s="82" t="str">
        <f>VLOOKUP($B$7:$B$5000,SUM!$L$6:$L$500,1,FALSE)</f>
        <v>#N/A</v>
      </c>
      <c r="D4812" s="190" t="s">
        <v>7874</v>
      </c>
      <c r="E4812" s="198" t="s">
        <v>58</v>
      </c>
      <c r="F4812" s="199" t="s">
        <v>105</v>
      </c>
      <c r="G4812" s="191" t="s">
        <v>1567</v>
      </c>
      <c r="H4812" s="199" t="s">
        <v>7899</v>
      </c>
      <c r="I4812" s="197" t="s">
        <v>7932</v>
      </c>
      <c r="J4812" s="148" t="s">
        <v>63</v>
      </c>
      <c r="K4812" s="148" t="s">
        <v>64</v>
      </c>
      <c r="L4812" s="148" t="s">
        <v>65</v>
      </c>
      <c r="M4812" s="148" t="s">
        <v>185</v>
      </c>
      <c r="N4812" s="212">
        <v>46200.0</v>
      </c>
      <c r="O4812" s="148" t="s">
        <v>67</v>
      </c>
      <c r="P4812" s="148" t="s">
        <v>68</v>
      </c>
      <c r="Q4812" s="103"/>
      <c r="R4812" s="103"/>
      <c r="S4812" s="103"/>
      <c r="T4812" s="103"/>
      <c r="U4812" s="148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1">
        <v>4807.0</v>
      </c>
      <c r="B4813" s="90" t="s">
        <v>7940</v>
      </c>
      <c r="C4813" s="82" t="str">
        <f>VLOOKUP($B$7:$B$5000,SUM!$L$6:$L$500,1,FALSE)</f>
        <v>#N/A</v>
      </c>
      <c r="D4813" s="190" t="s">
        <v>7874</v>
      </c>
      <c r="E4813" s="198" t="s">
        <v>58</v>
      </c>
      <c r="F4813" s="199" t="s">
        <v>105</v>
      </c>
      <c r="G4813" s="191" t="s">
        <v>1362</v>
      </c>
      <c r="H4813" s="199" t="s">
        <v>7902</v>
      </c>
      <c r="I4813" s="197" t="s">
        <v>7941</v>
      </c>
      <c r="J4813" s="148" t="s">
        <v>63</v>
      </c>
      <c r="K4813" s="148" t="s">
        <v>64</v>
      </c>
      <c r="L4813" s="148" t="s">
        <v>65</v>
      </c>
      <c r="M4813" s="148" t="s">
        <v>185</v>
      </c>
      <c r="N4813" s="212">
        <v>46200.0</v>
      </c>
      <c r="O4813" s="148" t="s">
        <v>67</v>
      </c>
      <c r="P4813" s="148" t="s">
        <v>68</v>
      </c>
      <c r="Q4813" s="103"/>
      <c r="R4813" s="103"/>
      <c r="S4813" s="103"/>
      <c r="T4813" s="103"/>
      <c r="U4813" s="148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1">
        <v>4808.0</v>
      </c>
      <c r="B4814" s="90" t="s">
        <v>7942</v>
      </c>
      <c r="C4814" s="82" t="str">
        <f>VLOOKUP($B$7:$B$5000,SUM!$L$6:$L$500,1,FALSE)</f>
        <v>#N/A</v>
      </c>
      <c r="D4814" s="190" t="s">
        <v>7874</v>
      </c>
      <c r="E4814" s="198" t="s">
        <v>58</v>
      </c>
      <c r="F4814" s="199" t="s">
        <v>105</v>
      </c>
      <c r="G4814" s="191" t="s">
        <v>1362</v>
      </c>
      <c r="H4814" s="199" t="s">
        <v>7904</v>
      </c>
      <c r="I4814" s="197" t="s">
        <v>7941</v>
      </c>
      <c r="J4814" s="148" t="s">
        <v>63</v>
      </c>
      <c r="K4814" s="148" t="s">
        <v>64</v>
      </c>
      <c r="L4814" s="148" t="s">
        <v>65</v>
      </c>
      <c r="M4814" s="148" t="s">
        <v>185</v>
      </c>
      <c r="N4814" s="212">
        <v>46200.0</v>
      </c>
      <c r="O4814" s="148" t="s">
        <v>67</v>
      </c>
      <c r="P4814" s="148" t="s">
        <v>68</v>
      </c>
      <c r="Q4814" s="103"/>
      <c r="R4814" s="103"/>
      <c r="S4814" s="103"/>
      <c r="T4814" s="103"/>
      <c r="U4814" s="148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1">
        <v>4809.0</v>
      </c>
      <c r="B4815" s="90" t="s">
        <v>7943</v>
      </c>
      <c r="C4815" s="82" t="str">
        <f>VLOOKUP($B$7:$B$5000,SUM!$L$6:$L$500,1,FALSE)</f>
        <v>#N/A</v>
      </c>
      <c r="D4815" s="190" t="s">
        <v>7874</v>
      </c>
      <c r="E4815" s="198" t="s">
        <v>58</v>
      </c>
      <c r="F4815" s="199" t="s">
        <v>105</v>
      </c>
      <c r="G4815" s="191" t="s">
        <v>1362</v>
      </c>
      <c r="H4815" s="199" t="s">
        <v>7906</v>
      </c>
      <c r="I4815" s="197" t="s">
        <v>7941</v>
      </c>
      <c r="J4815" s="148" t="s">
        <v>63</v>
      </c>
      <c r="K4815" s="148" t="s">
        <v>64</v>
      </c>
      <c r="L4815" s="148" t="s">
        <v>65</v>
      </c>
      <c r="M4815" s="148" t="s">
        <v>185</v>
      </c>
      <c r="N4815" s="212">
        <v>46200.0</v>
      </c>
      <c r="O4815" s="148" t="s">
        <v>67</v>
      </c>
      <c r="P4815" s="148" t="s">
        <v>68</v>
      </c>
      <c r="Q4815" s="103"/>
      <c r="R4815" s="103"/>
      <c r="S4815" s="103"/>
      <c r="T4815" s="103"/>
      <c r="U4815" s="148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1">
        <v>4810.0</v>
      </c>
      <c r="B4816" s="90" t="s">
        <v>7944</v>
      </c>
      <c r="C4816" s="82" t="str">
        <f>VLOOKUP($B$7:$B$5000,SUM!$L$6:$L$500,1,FALSE)</f>
        <v>#N/A</v>
      </c>
      <c r="D4816" s="190" t="s">
        <v>7874</v>
      </c>
      <c r="E4816" s="198" t="s">
        <v>58</v>
      </c>
      <c r="F4816" s="199" t="s">
        <v>105</v>
      </c>
      <c r="G4816" s="191" t="s">
        <v>1362</v>
      </c>
      <c r="H4816" s="199" t="s">
        <v>7908</v>
      </c>
      <c r="I4816" s="197" t="s">
        <v>7941</v>
      </c>
      <c r="J4816" s="148" t="s">
        <v>63</v>
      </c>
      <c r="K4816" s="148" t="s">
        <v>64</v>
      </c>
      <c r="L4816" s="148" t="s">
        <v>65</v>
      </c>
      <c r="M4816" s="148" t="s">
        <v>185</v>
      </c>
      <c r="N4816" s="212">
        <v>46200.0</v>
      </c>
      <c r="O4816" s="148" t="s">
        <v>67</v>
      </c>
      <c r="P4816" s="148" t="s">
        <v>68</v>
      </c>
      <c r="Q4816" s="103"/>
      <c r="R4816" s="103"/>
      <c r="S4816" s="103"/>
      <c r="T4816" s="103"/>
      <c r="U4816" s="148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1">
        <v>4811.0</v>
      </c>
      <c r="B4817" s="90" t="s">
        <v>7945</v>
      </c>
      <c r="C4817" s="82" t="str">
        <f>VLOOKUP($B$7:$B$5000,SUM!$L$6:$L$500,1,FALSE)</f>
        <v>#N/A</v>
      </c>
      <c r="D4817" s="190" t="s">
        <v>7874</v>
      </c>
      <c r="E4817" s="198" t="s">
        <v>58</v>
      </c>
      <c r="F4817" s="199" t="s">
        <v>105</v>
      </c>
      <c r="G4817" s="191" t="s">
        <v>1362</v>
      </c>
      <c r="H4817" s="199" t="s">
        <v>7910</v>
      </c>
      <c r="I4817" s="197" t="s">
        <v>7941</v>
      </c>
      <c r="J4817" s="148" t="s">
        <v>63</v>
      </c>
      <c r="K4817" s="148" t="s">
        <v>64</v>
      </c>
      <c r="L4817" s="148" t="s">
        <v>65</v>
      </c>
      <c r="M4817" s="148" t="s">
        <v>185</v>
      </c>
      <c r="N4817" s="212">
        <v>46200.0</v>
      </c>
      <c r="O4817" s="148" t="s">
        <v>67</v>
      </c>
      <c r="P4817" s="148" t="s">
        <v>68</v>
      </c>
      <c r="Q4817" s="103"/>
      <c r="R4817" s="103"/>
      <c r="S4817" s="103"/>
      <c r="T4817" s="103"/>
      <c r="U4817" s="148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1">
        <v>4812.0</v>
      </c>
      <c r="B4818" s="90" t="s">
        <v>7946</v>
      </c>
      <c r="C4818" s="82" t="str">
        <f>VLOOKUP($B$7:$B$5000,SUM!$L$6:$L$500,1,FALSE)</f>
        <v>#N/A</v>
      </c>
      <c r="D4818" s="190" t="s">
        <v>7874</v>
      </c>
      <c r="E4818" s="198" t="s">
        <v>58</v>
      </c>
      <c r="F4818" s="199" t="s">
        <v>105</v>
      </c>
      <c r="G4818" s="191" t="s">
        <v>1362</v>
      </c>
      <c r="H4818" s="199" t="s">
        <v>7912</v>
      </c>
      <c r="I4818" s="197" t="s">
        <v>7941</v>
      </c>
      <c r="J4818" s="148" t="s">
        <v>63</v>
      </c>
      <c r="K4818" s="148" t="s">
        <v>64</v>
      </c>
      <c r="L4818" s="148" t="s">
        <v>65</v>
      </c>
      <c r="M4818" s="148" t="s">
        <v>185</v>
      </c>
      <c r="N4818" s="212">
        <v>46200.0</v>
      </c>
      <c r="O4818" s="148" t="s">
        <v>67</v>
      </c>
      <c r="P4818" s="148" t="s">
        <v>68</v>
      </c>
      <c r="Q4818" s="103"/>
      <c r="R4818" s="103"/>
      <c r="S4818" s="103"/>
      <c r="T4818" s="103"/>
      <c r="U4818" s="148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1">
        <v>4813.0</v>
      </c>
      <c r="B4819" s="90" t="s">
        <v>7947</v>
      </c>
      <c r="C4819" s="82" t="str">
        <f>VLOOKUP($B$7:$B$5000,SUM!$L$6:$L$500,1,FALSE)</f>
        <v>#N/A</v>
      </c>
      <c r="D4819" s="190" t="s">
        <v>7874</v>
      </c>
      <c r="E4819" s="198" t="s">
        <v>58</v>
      </c>
      <c r="F4819" s="199" t="s">
        <v>105</v>
      </c>
      <c r="G4819" s="191" t="s">
        <v>1362</v>
      </c>
      <c r="H4819" s="199" t="s">
        <v>7914</v>
      </c>
      <c r="I4819" s="197" t="s">
        <v>7941</v>
      </c>
      <c r="J4819" s="148" t="s">
        <v>63</v>
      </c>
      <c r="K4819" s="148" t="s">
        <v>64</v>
      </c>
      <c r="L4819" s="148" t="s">
        <v>65</v>
      </c>
      <c r="M4819" s="148" t="s">
        <v>185</v>
      </c>
      <c r="N4819" s="212">
        <v>46200.0</v>
      </c>
      <c r="O4819" s="148" t="s">
        <v>67</v>
      </c>
      <c r="P4819" s="148" t="s">
        <v>68</v>
      </c>
      <c r="Q4819" s="103"/>
      <c r="R4819" s="103"/>
      <c r="S4819" s="103"/>
      <c r="T4819" s="103"/>
      <c r="U4819" s="148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1">
        <v>4814.0</v>
      </c>
      <c r="B4820" s="90" t="s">
        <v>7948</v>
      </c>
      <c r="C4820" s="82" t="str">
        <f>VLOOKUP($B$7:$B$5000,SUM!$L$6:$L$500,1,FALSE)</f>
        <v>#N/A</v>
      </c>
      <c r="D4820" s="190" t="s">
        <v>7874</v>
      </c>
      <c r="E4820" s="198" t="s">
        <v>58</v>
      </c>
      <c r="F4820" s="199" t="s">
        <v>105</v>
      </c>
      <c r="G4820" s="191" t="s">
        <v>1362</v>
      </c>
      <c r="H4820" s="199" t="s">
        <v>7916</v>
      </c>
      <c r="I4820" s="197" t="s">
        <v>7941</v>
      </c>
      <c r="J4820" s="148" t="s">
        <v>63</v>
      </c>
      <c r="K4820" s="148" t="s">
        <v>64</v>
      </c>
      <c r="L4820" s="148" t="s">
        <v>65</v>
      </c>
      <c r="M4820" s="148" t="s">
        <v>185</v>
      </c>
      <c r="N4820" s="212">
        <v>46200.0</v>
      </c>
      <c r="O4820" s="148" t="s">
        <v>67</v>
      </c>
      <c r="P4820" s="148" t="s">
        <v>68</v>
      </c>
      <c r="Q4820" s="103"/>
      <c r="R4820" s="103"/>
      <c r="S4820" s="103"/>
      <c r="T4820" s="103"/>
      <c r="U4820" s="148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1">
        <v>4815.0</v>
      </c>
      <c r="B4821" s="90" t="s">
        <v>7949</v>
      </c>
      <c r="C4821" s="82" t="str">
        <f>VLOOKUP($B$7:$B$5000,SUM!$L$6:$L$500,1,FALSE)</f>
        <v>#N/A</v>
      </c>
      <c r="D4821" s="190" t="s">
        <v>7874</v>
      </c>
      <c r="E4821" s="198" t="s">
        <v>58</v>
      </c>
      <c r="F4821" s="199" t="s">
        <v>105</v>
      </c>
      <c r="G4821" s="191" t="s">
        <v>1362</v>
      </c>
      <c r="H4821" s="199" t="s">
        <v>7918</v>
      </c>
      <c r="I4821" s="197" t="s">
        <v>7941</v>
      </c>
      <c r="J4821" s="148" t="s">
        <v>63</v>
      </c>
      <c r="K4821" s="148" t="s">
        <v>64</v>
      </c>
      <c r="L4821" s="148" t="s">
        <v>65</v>
      </c>
      <c r="M4821" s="148" t="s">
        <v>185</v>
      </c>
      <c r="N4821" s="212">
        <v>46200.0</v>
      </c>
      <c r="O4821" s="148" t="s">
        <v>67</v>
      </c>
      <c r="P4821" s="148" t="s">
        <v>68</v>
      </c>
      <c r="Q4821" s="103"/>
      <c r="R4821" s="103"/>
      <c r="S4821" s="103"/>
      <c r="T4821" s="103"/>
      <c r="U4821" s="148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1">
        <v>4816.0</v>
      </c>
      <c r="B4822" s="90" t="s">
        <v>7950</v>
      </c>
      <c r="C4822" s="82" t="str">
        <f>VLOOKUP($B$7:$B$5000,SUM!$L$6:$L$500,1,FALSE)</f>
        <v>#N/A</v>
      </c>
      <c r="D4822" s="190" t="s">
        <v>7874</v>
      </c>
      <c r="E4822" s="198" t="s">
        <v>58</v>
      </c>
      <c r="F4822" s="199" t="s">
        <v>105</v>
      </c>
      <c r="G4822" s="191" t="s">
        <v>1362</v>
      </c>
      <c r="H4822" s="199" t="s">
        <v>7920</v>
      </c>
      <c r="I4822" s="197" t="s">
        <v>7941</v>
      </c>
      <c r="J4822" s="148" t="s">
        <v>63</v>
      </c>
      <c r="K4822" s="148" t="s">
        <v>64</v>
      </c>
      <c r="L4822" s="148" t="s">
        <v>65</v>
      </c>
      <c r="M4822" s="148" t="s">
        <v>185</v>
      </c>
      <c r="N4822" s="212">
        <v>46200.0</v>
      </c>
      <c r="O4822" s="148" t="s">
        <v>67</v>
      </c>
      <c r="P4822" s="148" t="s">
        <v>68</v>
      </c>
      <c r="Q4822" s="103"/>
      <c r="R4822" s="103"/>
      <c r="S4822" s="103"/>
      <c r="T4822" s="103"/>
      <c r="U4822" s="148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1">
        <v>4817.0</v>
      </c>
      <c r="B4823" s="90" t="s">
        <v>7951</v>
      </c>
      <c r="C4823" s="82" t="str">
        <f>VLOOKUP($B$7:$B$5000,SUM!$L$6:$L$500,1,FALSE)</f>
        <v>#N/A</v>
      </c>
      <c r="D4823" s="190" t="s">
        <v>7874</v>
      </c>
      <c r="E4823" s="198" t="s">
        <v>58</v>
      </c>
      <c r="F4823" s="199" t="s">
        <v>105</v>
      </c>
      <c r="G4823" s="191" t="s">
        <v>1362</v>
      </c>
      <c r="H4823" s="199" t="s">
        <v>7922</v>
      </c>
      <c r="I4823" s="197" t="s">
        <v>7941</v>
      </c>
      <c r="J4823" s="148" t="s">
        <v>63</v>
      </c>
      <c r="K4823" s="148" t="s">
        <v>64</v>
      </c>
      <c r="L4823" s="148" t="s">
        <v>65</v>
      </c>
      <c r="M4823" s="148" t="s">
        <v>185</v>
      </c>
      <c r="N4823" s="212">
        <v>46200.0</v>
      </c>
      <c r="O4823" s="148" t="s">
        <v>67</v>
      </c>
      <c r="P4823" s="148" t="s">
        <v>68</v>
      </c>
      <c r="Q4823" s="103"/>
      <c r="R4823" s="103"/>
      <c r="S4823" s="103"/>
      <c r="T4823" s="103"/>
      <c r="U4823" s="148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1">
        <v>4818.0</v>
      </c>
      <c r="B4824" s="90" t="s">
        <v>7952</v>
      </c>
      <c r="C4824" s="82" t="str">
        <f>VLOOKUP($B$7:$B$5000,SUM!$L$6:$L$500,1,FALSE)</f>
        <v>#N/A</v>
      </c>
      <c r="D4824" s="190" t="s">
        <v>7874</v>
      </c>
      <c r="E4824" s="198" t="s">
        <v>58</v>
      </c>
      <c r="F4824" s="199" t="s">
        <v>105</v>
      </c>
      <c r="G4824" s="191" t="s">
        <v>1871</v>
      </c>
      <c r="H4824" s="199" t="s">
        <v>7924</v>
      </c>
      <c r="I4824" s="197" t="s">
        <v>7941</v>
      </c>
      <c r="J4824" s="148" t="s">
        <v>63</v>
      </c>
      <c r="K4824" s="148" t="s">
        <v>64</v>
      </c>
      <c r="L4824" s="148" t="s">
        <v>65</v>
      </c>
      <c r="M4824" s="148" t="s">
        <v>185</v>
      </c>
      <c r="N4824" s="212">
        <v>46200.0</v>
      </c>
      <c r="O4824" s="148" t="s">
        <v>67</v>
      </c>
      <c r="P4824" s="148" t="s">
        <v>68</v>
      </c>
      <c r="Q4824" s="103"/>
      <c r="R4824" s="103"/>
      <c r="S4824" s="103"/>
      <c r="T4824" s="103"/>
      <c r="U4824" s="148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1">
        <v>4819.0</v>
      </c>
      <c r="B4825" s="90" t="s">
        <v>7953</v>
      </c>
      <c r="C4825" s="82" t="str">
        <f>VLOOKUP($B$7:$B$5000,SUM!$L$6:$L$500,1,FALSE)</f>
        <v>#N/A</v>
      </c>
      <c r="D4825" s="190" t="s">
        <v>7874</v>
      </c>
      <c r="E4825" s="198" t="s">
        <v>58</v>
      </c>
      <c r="F4825" s="199" t="s">
        <v>105</v>
      </c>
      <c r="G4825" s="191" t="s">
        <v>1329</v>
      </c>
      <c r="H4825" s="199" t="s">
        <v>7883</v>
      </c>
      <c r="I4825" s="197" t="s">
        <v>7954</v>
      </c>
      <c r="J4825" s="148" t="s">
        <v>108</v>
      </c>
      <c r="K4825" s="148" t="s">
        <v>64</v>
      </c>
      <c r="L4825" s="148" t="s">
        <v>65</v>
      </c>
      <c r="M4825" s="148" t="s">
        <v>185</v>
      </c>
      <c r="N4825" s="212">
        <v>46200.0</v>
      </c>
      <c r="O4825" s="148" t="s">
        <v>67</v>
      </c>
      <c r="P4825" s="148" t="s">
        <v>68</v>
      </c>
      <c r="Q4825" s="103"/>
      <c r="R4825" s="103"/>
      <c r="S4825" s="103"/>
      <c r="T4825" s="103"/>
      <c r="U4825" s="148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1">
        <v>4820.0</v>
      </c>
      <c r="B4826" s="90" t="s">
        <v>7955</v>
      </c>
      <c r="C4826" s="82" t="str">
        <f>VLOOKUP($B$7:$B$5000,SUM!$L$6:$L$500,1,FALSE)</f>
        <v>#N/A</v>
      </c>
      <c r="D4826" s="190" t="s">
        <v>7874</v>
      </c>
      <c r="E4826" s="198" t="s">
        <v>58</v>
      </c>
      <c r="F4826" s="199" t="s">
        <v>105</v>
      </c>
      <c r="G4826" s="191" t="s">
        <v>1329</v>
      </c>
      <c r="H4826" s="199" t="s">
        <v>7886</v>
      </c>
      <c r="I4826" s="197" t="s">
        <v>7954</v>
      </c>
      <c r="J4826" s="148" t="s">
        <v>108</v>
      </c>
      <c r="K4826" s="148" t="s">
        <v>64</v>
      </c>
      <c r="L4826" s="148" t="s">
        <v>65</v>
      </c>
      <c r="M4826" s="148" t="s">
        <v>185</v>
      </c>
      <c r="N4826" s="212">
        <v>46200.0</v>
      </c>
      <c r="O4826" s="148" t="s">
        <v>67</v>
      </c>
      <c r="P4826" s="148" t="s">
        <v>68</v>
      </c>
      <c r="Q4826" s="103"/>
      <c r="R4826" s="103"/>
      <c r="S4826" s="103"/>
      <c r="T4826" s="103"/>
      <c r="U4826" s="148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1">
        <v>4821.0</v>
      </c>
      <c r="B4827" s="90" t="s">
        <v>7956</v>
      </c>
      <c r="C4827" s="82" t="str">
        <f>VLOOKUP($B$7:$B$5000,SUM!$L$6:$L$500,1,FALSE)</f>
        <v>#N/A</v>
      </c>
      <c r="D4827" s="190" t="s">
        <v>7874</v>
      </c>
      <c r="E4827" s="198" t="s">
        <v>58</v>
      </c>
      <c r="F4827" s="199" t="s">
        <v>105</v>
      </c>
      <c r="G4827" s="191" t="s">
        <v>1329</v>
      </c>
      <c r="H4827" s="199" t="s">
        <v>7888</v>
      </c>
      <c r="I4827" s="197" t="s">
        <v>7954</v>
      </c>
      <c r="J4827" s="148" t="s">
        <v>108</v>
      </c>
      <c r="K4827" s="148" t="s">
        <v>64</v>
      </c>
      <c r="L4827" s="148" t="s">
        <v>65</v>
      </c>
      <c r="M4827" s="148" t="s">
        <v>185</v>
      </c>
      <c r="N4827" s="212">
        <v>46200.0</v>
      </c>
      <c r="O4827" s="148" t="s">
        <v>67</v>
      </c>
      <c r="P4827" s="148" t="s">
        <v>68</v>
      </c>
      <c r="Q4827" s="103"/>
      <c r="R4827" s="103"/>
      <c r="S4827" s="103"/>
      <c r="T4827" s="103"/>
      <c r="U4827" s="148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1">
        <v>4822.0</v>
      </c>
      <c r="B4828" s="90" t="s">
        <v>7957</v>
      </c>
      <c r="C4828" s="82" t="str">
        <f>VLOOKUP($B$7:$B$5000,SUM!$L$6:$L$500,1,FALSE)</f>
        <v>#N/A</v>
      </c>
      <c r="D4828" s="190" t="s">
        <v>7874</v>
      </c>
      <c r="E4828" s="198" t="s">
        <v>58</v>
      </c>
      <c r="F4828" s="199" t="s">
        <v>105</v>
      </c>
      <c r="G4828" s="191" t="s">
        <v>1329</v>
      </c>
      <c r="H4828" s="199" t="s">
        <v>7890</v>
      </c>
      <c r="I4828" s="197" t="s">
        <v>7954</v>
      </c>
      <c r="J4828" s="148" t="s">
        <v>108</v>
      </c>
      <c r="K4828" s="148" t="s">
        <v>64</v>
      </c>
      <c r="L4828" s="148" t="s">
        <v>65</v>
      </c>
      <c r="M4828" s="148" t="s">
        <v>185</v>
      </c>
      <c r="N4828" s="212">
        <v>46200.0</v>
      </c>
      <c r="O4828" s="148" t="s">
        <v>67</v>
      </c>
      <c r="P4828" s="148" t="s">
        <v>68</v>
      </c>
      <c r="Q4828" s="103"/>
      <c r="R4828" s="103"/>
      <c r="S4828" s="103"/>
      <c r="T4828" s="103"/>
      <c r="U4828" s="148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1">
        <v>4823.0</v>
      </c>
      <c r="B4829" s="90" t="s">
        <v>7958</v>
      </c>
      <c r="C4829" s="82" t="str">
        <f>VLOOKUP($B$7:$B$5000,SUM!$L$6:$L$500,1,FALSE)</f>
        <v>#N/A</v>
      </c>
      <c r="D4829" s="190" t="s">
        <v>7874</v>
      </c>
      <c r="E4829" s="198" t="s">
        <v>58</v>
      </c>
      <c r="F4829" s="199" t="s">
        <v>105</v>
      </c>
      <c r="G4829" s="191" t="s">
        <v>1329</v>
      </c>
      <c r="H4829" s="199" t="s">
        <v>7892</v>
      </c>
      <c r="I4829" s="197" t="s">
        <v>7954</v>
      </c>
      <c r="J4829" s="148" t="s">
        <v>108</v>
      </c>
      <c r="K4829" s="148" t="s">
        <v>64</v>
      </c>
      <c r="L4829" s="148" t="s">
        <v>65</v>
      </c>
      <c r="M4829" s="148" t="s">
        <v>185</v>
      </c>
      <c r="N4829" s="212">
        <v>46200.0</v>
      </c>
      <c r="O4829" s="148" t="s">
        <v>67</v>
      </c>
      <c r="P4829" s="148" t="s">
        <v>68</v>
      </c>
      <c r="Q4829" s="103"/>
      <c r="R4829" s="103"/>
      <c r="S4829" s="103"/>
      <c r="T4829" s="103"/>
      <c r="U4829" s="148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1">
        <v>4824.0</v>
      </c>
      <c r="B4830" s="90" t="s">
        <v>7959</v>
      </c>
      <c r="C4830" s="82" t="str">
        <f>VLOOKUP($B$7:$B$5000,SUM!$L$6:$L$500,1,FALSE)</f>
        <v>#N/A</v>
      </c>
      <c r="D4830" s="190" t="s">
        <v>7874</v>
      </c>
      <c r="E4830" s="198" t="s">
        <v>58</v>
      </c>
      <c r="F4830" s="199" t="s">
        <v>105</v>
      </c>
      <c r="G4830" s="191" t="s">
        <v>1329</v>
      </c>
      <c r="H4830" s="199" t="s">
        <v>7894</v>
      </c>
      <c r="I4830" s="197" t="s">
        <v>7954</v>
      </c>
      <c r="J4830" s="148" t="s">
        <v>108</v>
      </c>
      <c r="K4830" s="148" t="s">
        <v>64</v>
      </c>
      <c r="L4830" s="148" t="s">
        <v>65</v>
      </c>
      <c r="M4830" s="148" t="s">
        <v>185</v>
      </c>
      <c r="N4830" s="212">
        <v>46200.0</v>
      </c>
      <c r="O4830" s="148" t="s">
        <v>67</v>
      </c>
      <c r="P4830" s="148" t="s">
        <v>68</v>
      </c>
      <c r="Q4830" s="103"/>
      <c r="R4830" s="103"/>
      <c r="S4830" s="103"/>
      <c r="T4830" s="103"/>
      <c r="U4830" s="148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1">
        <v>4825.0</v>
      </c>
      <c r="B4831" s="90" t="s">
        <v>7960</v>
      </c>
      <c r="C4831" s="82" t="str">
        <f>VLOOKUP($B$7:$B$5000,SUM!$L$6:$L$500,1,FALSE)</f>
        <v>#N/A</v>
      </c>
      <c r="D4831" s="190" t="s">
        <v>7874</v>
      </c>
      <c r="E4831" s="198" t="s">
        <v>58</v>
      </c>
      <c r="F4831" s="199" t="s">
        <v>105</v>
      </c>
      <c r="G4831" s="191" t="s">
        <v>1329</v>
      </c>
      <c r="H4831" s="199" t="s">
        <v>7883</v>
      </c>
      <c r="I4831" s="197" t="s">
        <v>7961</v>
      </c>
      <c r="J4831" s="148" t="s">
        <v>108</v>
      </c>
      <c r="K4831" s="148" t="s">
        <v>64</v>
      </c>
      <c r="L4831" s="148" t="s">
        <v>65</v>
      </c>
      <c r="M4831" s="148" t="s">
        <v>185</v>
      </c>
      <c r="N4831" s="212">
        <v>46200.0</v>
      </c>
      <c r="O4831" s="148" t="s">
        <v>67</v>
      </c>
      <c r="P4831" s="148" t="s">
        <v>68</v>
      </c>
      <c r="Q4831" s="103"/>
      <c r="R4831" s="103"/>
      <c r="S4831" s="103"/>
      <c r="T4831" s="103"/>
      <c r="U4831" s="148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1">
        <v>4826.0</v>
      </c>
      <c r="B4832" s="90" t="s">
        <v>7962</v>
      </c>
      <c r="C4832" s="82" t="str">
        <f>VLOOKUP($B$7:$B$5000,SUM!$L$6:$L$500,1,FALSE)</f>
        <v>#N/A</v>
      </c>
      <c r="D4832" s="190" t="s">
        <v>7874</v>
      </c>
      <c r="E4832" s="198" t="s">
        <v>58</v>
      </c>
      <c r="F4832" s="199" t="s">
        <v>105</v>
      </c>
      <c r="G4832" s="191" t="s">
        <v>1329</v>
      </c>
      <c r="H4832" s="199" t="s">
        <v>7886</v>
      </c>
      <c r="I4832" s="197" t="s">
        <v>7961</v>
      </c>
      <c r="J4832" s="148" t="s">
        <v>108</v>
      </c>
      <c r="K4832" s="148" t="s">
        <v>64</v>
      </c>
      <c r="L4832" s="148" t="s">
        <v>65</v>
      </c>
      <c r="M4832" s="148" t="s">
        <v>185</v>
      </c>
      <c r="N4832" s="212">
        <v>46200.0</v>
      </c>
      <c r="O4832" s="148" t="s">
        <v>67</v>
      </c>
      <c r="P4832" s="148" t="s">
        <v>68</v>
      </c>
      <c r="Q4832" s="103"/>
      <c r="R4832" s="103"/>
      <c r="S4832" s="103"/>
      <c r="T4832" s="103"/>
      <c r="U4832" s="148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1">
        <v>4827.0</v>
      </c>
      <c r="B4833" s="90" t="s">
        <v>7963</v>
      </c>
      <c r="C4833" s="82" t="str">
        <f>VLOOKUP($B$7:$B$5000,SUM!$L$6:$L$500,1,FALSE)</f>
        <v>#N/A</v>
      </c>
      <c r="D4833" s="190" t="s">
        <v>7874</v>
      </c>
      <c r="E4833" s="198" t="s">
        <v>58</v>
      </c>
      <c r="F4833" s="199" t="s">
        <v>105</v>
      </c>
      <c r="G4833" s="191" t="s">
        <v>1329</v>
      </c>
      <c r="H4833" s="199" t="s">
        <v>7888</v>
      </c>
      <c r="I4833" s="197" t="s">
        <v>7961</v>
      </c>
      <c r="J4833" s="148" t="s">
        <v>108</v>
      </c>
      <c r="K4833" s="148" t="s">
        <v>64</v>
      </c>
      <c r="L4833" s="148" t="s">
        <v>65</v>
      </c>
      <c r="M4833" s="148" t="s">
        <v>185</v>
      </c>
      <c r="N4833" s="212">
        <v>46200.0</v>
      </c>
      <c r="O4833" s="148" t="s">
        <v>67</v>
      </c>
      <c r="P4833" s="148" t="s">
        <v>68</v>
      </c>
      <c r="Q4833" s="103"/>
      <c r="R4833" s="103"/>
      <c r="S4833" s="103"/>
      <c r="T4833" s="103"/>
      <c r="U4833" s="148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1">
        <v>4828.0</v>
      </c>
      <c r="B4834" s="90" t="s">
        <v>7964</v>
      </c>
      <c r="C4834" s="82" t="str">
        <f>VLOOKUP($B$7:$B$5000,SUM!$L$6:$L$500,1,FALSE)</f>
        <v>#N/A</v>
      </c>
      <c r="D4834" s="190" t="s">
        <v>7874</v>
      </c>
      <c r="E4834" s="198" t="s">
        <v>58</v>
      </c>
      <c r="F4834" s="199" t="s">
        <v>105</v>
      </c>
      <c r="G4834" s="191" t="s">
        <v>1329</v>
      </c>
      <c r="H4834" s="199" t="s">
        <v>7890</v>
      </c>
      <c r="I4834" s="197" t="s">
        <v>7961</v>
      </c>
      <c r="J4834" s="148" t="s">
        <v>108</v>
      </c>
      <c r="K4834" s="148" t="s">
        <v>64</v>
      </c>
      <c r="L4834" s="148" t="s">
        <v>65</v>
      </c>
      <c r="M4834" s="148" t="s">
        <v>185</v>
      </c>
      <c r="N4834" s="212">
        <v>46200.0</v>
      </c>
      <c r="O4834" s="148" t="s">
        <v>67</v>
      </c>
      <c r="P4834" s="148" t="s">
        <v>68</v>
      </c>
      <c r="Q4834" s="103"/>
      <c r="R4834" s="103"/>
      <c r="S4834" s="103"/>
      <c r="T4834" s="103"/>
      <c r="U4834" s="148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1">
        <v>4829.0</v>
      </c>
      <c r="B4835" s="90" t="s">
        <v>7965</v>
      </c>
      <c r="C4835" s="82" t="str">
        <f>VLOOKUP($B$7:$B$5000,SUM!$L$6:$L$500,1,FALSE)</f>
        <v>#N/A</v>
      </c>
      <c r="D4835" s="190" t="s">
        <v>7874</v>
      </c>
      <c r="E4835" s="198" t="s">
        <v>58</v>
      </c>
      <c r="F4835" s="199" t="s">
        <v>105</v>
      </c>
      <c r="G4835" s="191" t="s">
        <v>1329</v>
      </c>
      <c r="H4835" s="199" t="s">
        <v>7892</v>
      </c>
      <c r="I4835" s="197" t="s">
        <v>7961</v>
      </c>
      <c r="J4835" s="148" t="s">
        <v>108</v>
      </c>
      <c r="K4835" s="148" t="s">
        <v>64</v>
      </c>
      <c r="L4835" s="148" t="s">
        <v>65</v>
      </c>
      <c r="M4835" s="148" t="s">
        <v>185</v>
      </c>
      <c r="N4835" s="212">
        <v>46200.0</v>
      </c>
      <c r="O4835" s="148" t="s">
        <v>67</v>
      </c>
      <c r="P4835" s="148" t="s">
        <v>68</v>
      </c>
      <c r="Q4835" s="103"/>
      <c r="R4835" s="103"/>
      <c r="S4835" s="103"/>
      <c r="T4835" s="103"/>
      <c r="U4835" s="148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1">
        <v>4830.0</v>
      </c>
      <c r="B4836" s="90" t="s">
        <v>7966</v>
      </c>
      <c r="C4836" s="82" t="str">
        <f>VLOOKUP($B$7:$B$5000,SUM!$L$6:$L$500,1,FALSE)</f>
        <v>#N/A</v>
      </c>
      <c r="D4836" s="190" t="s">
        <v>7874</v>
      </c>
      <c r="E4836" s="198" t="s">
        <v>58</v>
      </c>
      <c r="F4836" s="199" t="s">
        <v>105</v>
      </c>
      <c r="G4836" s="191" t="s">
        <v>1329</v>
      </c>
      <c r="H4836" s="199" t="s">
        <v>7894</v>
      </c>
      <c r="I4836" s="197" t="s">
        <v>7961</v>
      </c>
      <c r="J4836" s="148" t="s">
        <v>108</v>
      </c>
      <c r="K4836" s="148" t="s">
        <v>64</v>
      </c>
      <c r="L4836" s="148" t="s">
        <v>65</v>
      </c>
      <c r="M4836" s="148" t="s">
        <v>185</v>
      </c>
      <c r="N4836" s="212">
        <v>46200.0</v>
      </c>
      <c r="O4836" s="148" t="s">
        <v>67</v>
      </c>
      <c r="P4836" s="148" t="s">
        <v>68</v>
      </c>
      <c r="Q4836" s="103"/>
      <c r="R4836" s="103"/>
      <c r="S4836" s="103"/>
      <c r="T4836" s="103"/>
      <c r="U4836" s="148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1">
        <v>4831.0</v>
      </c>
      <c r="B4837" s="90" t="s">
        <v>7967</v>
      </c>
      <c r="C4837" s="82" t="str">
        <f>VLOOKUP($B$7:$B$5000,SUM!$L$6:$L$500,1,FALSE)</f>
        <v>#N/A</v>
      </c>
      <c r="D4837" s="190" t="s">
        <v>7874</v>
      </c>
      <c r="E4837" s="198" t="s">
        <v>58</v>
      </c>
      <c r="F4837" s="199" t="s">
        <v>105</v>
      </c>
      <c r="G4837" s="191" t="s">
        <v>1871</v>
      </c>
      <c r="H4837" s="199" t="s">
        <v>7896</v>
      </c>
      <c r="I4837" s="197" t="s">
        <v>7968</v>
      </c>
      <c r="J4837" s="148" t="s">
        <v>108</v>
      </c>
      <c r="K4837" s="148" t="s">
        <v>64</v>
      </c>
      <c r="L4837" s="148" t="s">
        <v>65</v>
      </c>
      <c r="M4837" s="148" t="s">
        <v>185</v>
      </c>
      <c r="N4837" s="212">
        <v>46200.0</v>
      </c>
      <c r="O4837" s="148" t="s">
        <v>67</v>
      </c>
      <c r="P4837" s="148" t="s">
        <v>68</v>
      </c>
      <c r="Q4837" s="103"/>
      <c r="R4837" s="103"/>
      <c r="S4837" s="103"/>
      <c r="T4837" s="103"/>
      <c r="U4837" s="148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1">
        <v>4832.0</v>
      </c>
      <c r="B4838" s="90" t="s">
        <v>7969</v>
      </c>
      <c r="C4838" s="82" t="str">
        <f>VLOOKUP($B$7:$B$5000,SUM!$L$6:$L$500,1,FALSE)</f>
        <v>#N/A</v>
      </c>
      <c r="D4838" s="190" t="s">
        <v>7874</v>
      </c>
      <c r="E4838" s="198" t="s">
        <v>58</v>
      </c>
      <c r="F4838" s="199" t="s">
        <v>105</v>
      </c>
      <c r="G4838" s="191" t="s">
        <v>1567</v>
      </c>
      <c r="H4838" s="199" t="s">
        <v>7899</v>
      </c>
      <c r="I4838" s="197" t="s">
        <v>7970</v>
      </c>
      <c r="J4838" s="148" t="s">
        <v>108</v>
      </c>
      <c r="K4838" s="148" t="s">
        <v>64</v>
      </c>
      <c r="L4838" s="148" t="s">
        <v>65</v>
      </c>
      <c r="M4838" s="148" t="s">
        <v>185</v>
      </c>
      <c r="N4838" s="212">
        <v>46200.0</v>
      </c>
      <c r="O4838" s="148" t="s">
        <v>67</v>
      </c>
      <c r="P4838" s="148" t="s">
        <v>68</v>
      </c>
      <c r="Q4838" s="103"/>
      <c r="R4838" s="103"/>
      <c r="S4838" s="103"/>
      <c r="T4838" s="103"/>
      <c r="U4838" s="148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1">
        <v>4833.0</v>
      </c>
      <c r="B4839" s="90" t="s">
        <v>7971</v>
      </c>
      <c r="C4839" s="82" t="str">
        <f>VLOOKUP($B$7:$B$5000,SUM!$L$6:$L$500,1,FALSE)</f>
        <v>#N/A</v>
      </c>
      <c r="D4839" s="190" t="s">
        <v>7874</v>
      </c>
      <c r="E4839" s="198" t="s">
        <v>58</v>
      </c>
      <c r="F4839" s="199" t="s">
        <v>105</v>
      </c>
      <c r="G4839" s="191" t="s">
        <v>1871</v>
      </c>
      <c r="H4839" s="199" t="s">
        <v>7924</v>
      </c>
      <c r="I4839" s="197" t="s">
        <v>7972</v>
      </c>
      <c r="J4839" s="148" t="s">
        <v>108</v>
      </c>
      <c r="K4839" s="148" t="s">
        <v>64</v>
      </c>
      <c r="L4839" s="148" t="s">
        <v>65</v>
      </c>
      <c r="M4839" s="148" t="s">
        <v>185</v>
      </c>
      <c r="N4839" s="212">
        <v>46200.0</v>
      </c>
      <c r="O4839" s="148" t="s">
        <v>67</v>
      </c>
      <c r="P4839" s="148" t="s">
        <v>68</v>
      </c>
      <c r="Q4839" s="103"/>
      <c r="R4839" s="103"/>
      <c r="S4839" s="103"/>
      <c r="T4839" s="103"/>
      <c r="U4839" s="148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1">
        <v>4834.0</v>
      </c>
      <c r="B4840" s="90" t="s">
        <v>7973</v>
      </c>
      <c r="C4840" s="82" t="str">
        <f>VLOOKUP($B$7:$B$5000,SUM!$L$6:$L$500,1,FALSE)</f>
        <v>#N/A</v>
      </c>
      <c r="D4840" s="190" t="s">
        <v>7974</v>
      </c>
      <c r="E4840" s="198" t="s">
        <v>58</v>
      </c>
      <c r="F4840" s="199" t="s">
        <v>105</v>
      </c>
      <c r="G4840" s="191" t="s">
        <v>1362</v>
      </c>
      <c r="H4840" s="199" t="s">
        <v>7975</v>
      </c>
      <c r="I4840" s="197" t="s">
        <v>6891</v>
      </c>
      <c r="J4840" s="148" t="s">
        <v>63</v>
      </c>
      <c r="K4840" s="148" t="s">
        <v>64</v>
      </c>
      <c r="L4840" s="148" t="s">
        <v>65</v>
      </c>
      <c r="M4840" s="148" t="s">
        <v>185</v>
      </c>
      <c r="N4840" s="212">
        <v>46202.0</v>
      </c>
      <c r="O4840" s="148" t="s">
        <v>67</v>
      </c>
      <c r="P4840" s="148" t="s">
        <v>68</v>
      </c>
      <c r="Q4840" s="103"/>
      <c r="R4840" s="103"/>
      <c r="S4840" s="103"/>
      <c r="T4840" s="103"/>
      <c r="U4840" s="148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1">
        <v>4835.0</v>
      </c>
      <c r="B4841" s="90" t="s">
        <v>7976</v>
      </c>
      <c r="C4841" s="82" t="str">
        <f>VLOOKUP($B$7:$B$5000,SUM!$L$6:$L$500,1,FALSE)</f>
        <v>#N/A</v>
      </c>
      <c r="D4841" s="190" t="s">
        <v>7974</v>
      </c>
      <c r="E4841" s="198" t="s">
        <v>58</v>
      </c>
      <c r="F4841" s="199" t="s">
        <v>105</v>
      </c>
      <c r="G4841" s="191" t="s">
        <v>1362</v>
      </c>
      <c r="H4841" s="199" t="s">
        <v>7977</v>
      </c>
      <c r="I4841" s="197" t="s">
        <v>6891</v>
      </c>
      <c r="J4841" s="148" t="s">
        <v>63</v>
      </c>
      <c r="K4841" s="148" t="s">
        <v>64</v>
      </c>
      <c r="L4841" s="148" t="s">
        <v>65</v>
      </c>
      <c r="M4841" s="148" t="s">
        <v>185</v>
      </c>
      <c r="N4841" s="212">
        <v>46202.0</v>
      </c>
      <c r="O4841" s="148" t="s">
        <v>67</v>
      </c>
      <c r="P4841" s="148" t="s">
        <v>68</v>
      </c>
      <c r="Q4841" s="103"/>
      <c r="R4841" s="103"/>
      <c r="S4841" s="103"/>
      <c r="T4841" s="103"/>
      <c r="U4841" s="148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1">
        <v>4836.0</v>
      </c>
      <c r="B4842" s="90" t="s">
        <v>7978</v>
      </c>
      <c r="C4842" s="82" t="str">
        <f>VLOOKUP($B$7:$B$5000,SUM!$L$6:$L$500,1,FALSE)</f>
        <v>#N/A</v>
      </c>
      <c r="D4842" s="190" t="s">
        <v>7974</v>
      </c>
      <c r="E4842" s="198" t="s">
        <v>58</v>
      </c>
      <c r="F4842" s="199" t="s">
        <v>105</v>
      </c>
      <c r="G4842" s="191" t="s">
        <v>1362</v>
      </c>
      <c r="H4842" s="199" t="s">
        <v>7979</v>
      </c>
      <c r="I4842" s="197" t="s">
        <v>6891</v>
      </c>
      <c r="J4842" s="148" t="s">
        <v>63</v>
      </c>
      <c r="K4842" s="148" t="s">
        <v>64</v>
      </c>
      <c r="L4842" s="148" t="s">
        <v>65</v>
      </c>
      <c r="M4842" s="148" t="s">
        <v>185</v>
      </c>
      <c r="N4842" s="212">
        <v>46202.0</v>
      </c>
      <c r="O4842" s="148" t="s">
        <v>67</v>
      </c>
      <c r="P4842" s="148" t="s">
        <v>68</v>
      </c>
      <c r="Q4842" s="103"/>
      <c r="R4842" s="103"/>
      <c r="S4842" s="103"/>
      <c r="T4842" s="103"/>
      <c r="U4842" s="148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1">
        <v>4837.0</v>
      </c>
      <c r="B4843" s="90" t="s">
        <v>7980</v>
      </c>
      <c r="C4843" s="82" t="str">
        <f>VLOOKUP($B$7:$B$5000,SUM!$L$6:$L$500,1,FALSE)</f>
        <v>#N/A</v>
      </c>
      <c r="D4843" s="190" t="s">
        <v>7974</v>
      </c>
      <c r="E4843" s="198" t="s">
        <v>58</v>
      </c>
      <c r="F4843" s="199" t="s">
        <v>105</v>
      </c>
      <c r="G4843" s="191" t="s">
        <v>1362</v>
      </c>
      <c r="H4843" s="199" t="s">
        <v>7981</v>
      </c>
      <c r="I4843" s="197" t="s">
        <v>6891</v>
      </c>
      <c r="J4843" s="148" t="s">
        <v>63</v>
      </c>
      <c r="K4843" s="148" t="s">
        <v>64</v>
      </c>
      <c r="L4843" s="148" t="s">
        <v>65</v>
      </c>
      <c r="M4843" s="148" t="s">
        <v>185</v>
      </c>
      <c r="N4843" s="212">
        <v>46202.0</v>
      </c>
      <c r="O4843" s="148" t="s">
        <v>67</v>
      </c>
      <c r="P4843" s="148" t="s">
        <v>68</v>
      </c>
      <c r="Q4843" s="103"/>
      <c r="R4843" s="103"/>
      <c r="S4843" s="103"/>
      <c r="T4843" s="103"/>
      <c r="U4843" s="148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1">
        <v>4838.0</v>
      </c>
      <c r="B4844" s="90" t="s">
        <v>7982</v>
      </c>
      <c r="C4844" s="82" t="str">
        <f>VLOOKUP($B$7:$B$5000,SUM!$L$6:$L$500,1,FALSE)</f>
        <v>#N/A</v>
      </c>
      <c r="D4844" s="190" t="s">
        <v>7974</v>
      </c>
      <c r="E4844" s="198" t="s">
        <v>58</v>
      </c>
      <c r="F4844" s="199" t="s">
        <v>105</v>
      </c>
      <c r="G4844" s="191" t="s">
        <v>1362</v>
      </c>
      <c r="H4844" s="199" t="s">
        <v>7983</v>
      </c>
      <c r="I4844" s="197" t="s">
        <v>6891</v>
      </c>
      <c r="J4844" s="148" t="s">
        <v>63</v>
      </c>
      <c r="K4844" s="148" t="s">
        <v>64</v>
      </c>
      <c r="L4844" s="148" t="s">
        <v>65</v>
      </c>
      <c r="M4844" s="148" t="s">
        <v>185</v>
      </c>
      <c r="N4844" s="212">
        <v>46202.0</v>
      </c>
      <c r="O4844" s="148" t="s">
        <v>67</v>
      </c>
      <c r="P4844" s="148" t="s">
        <v>68</v>
      </c>
      <c r="Q4844" s="103"/>
      <c r="R4844" s="103"/>
      <c r="S4844" s="103"/>
      <c r="T4844" s="103"/>
      <c r="U4844" s="148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1">
        <v>4839.0</v>
      </c>
      <c r="B4845" s="90" t="s">
        <v>7984</v>
      </c>
      <c r="C4845" s="82" t="str">
        <f>VLOOKUP($B$7:$B$5000,SUM!$L$6:$L$500,1,FALSE)</f>
        <v>#N/A</v>
      </c>
      <c r="D4845" s="190" t="s">
        <v>7974</v>
      </c>
      <c r="E4845" s="198" t="s">
        <v>58</v>
      </c>
      <c r="F4845" s="199" t="s">
        <v>105</v>
      </c>
      <c r="G4845" s="191" t="s">
        <v>1362</v>
      </c>
      <c r="H4845" s="199" t="s">
        <v>7985</v>
      </c>
      <c r="I4845" s="197" t="s">
        <v>6891</v>
      </c>
      <c r="J4845" s="148" t="s">
        <v>63</v>
      </c>
      <c r="K4845" s="148" t="s">
        <v>64</v>
      </c>
      <c r="L4845" s="148" t="s">
        <v>65</v>
      </c>
      <c r="M4845" s="148" t="s">
        <v>185</v>
      </c>
      <c r="N4845" s="212">
        <v>46202.0</v>
      </c>
      <c r="O4845" s="148" t="s">
        <v>67</v>
      </c>
      <c r="P4845" s="148" t="s">
        <v>68</v>
      </c>
      <c r="Q4845" s="103"/>
      <c r="R4845" s="103"/>
      <c r="S4845" s="103"/>
      <c r="T4845" s="103"/>
      <c r="U4845" s="148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1">
        <v>4840.0</v>
      </c>
      <c r="B4846" s="90" t="s">
        <v>7986</v>
      </c>
      <c r="C4846" s="82" t="str">
        <f>VLOOKUP($B$7:$B$5000,SUM!$L$6:$L$500,1,FALSE)</f>
        <v>#N/A</v>
      </c>
      <c r="D4846" s="190" t="s">
        <v>7974</v>
      </c>
      <c r="E4846" s="198" t="s">
        <v>58</v>
      </c>
      <c r="F4846" s="199" t="s">
        <v>105</v>
      </c>
      <c r="G4846" s="191" t="s">
        <v>1362</v>
      </c>
      <c r="H4846" s="199" t="s">
        <v>7987</v>
      </c>
      <c r="I4846" s="197" t="s">
        <v>6891</v>
      </c>
      <c r="J4846" s="148" t="s">
        <v>63</v>
      </c>
      <c r="K4846" s="148" t="s">
        <v>64</v>
      </c>
      <c r="L4846" s="148" t="s">
        <v>65</v>
      </c>
      <c r="M4846" s="148" t="s">
        <v>185</v>
      </c>
      <c r="N4846" s="212">
        <v>46202.0</v>
      </c>
      <c r="O4846" s="148" t="s">
        <v>67</v>
      </c>
      <c r="P4846" s="148" t="s">
        <v>68</v>
      </c>
      <c r="Q4846" s="103"/>
      <c r="R4846" s="103"/>
      <c r="S4846" s="103"/>
      <c r="T4846" s="103"/>
      <c r="U4846" s="148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1">
        <v>4841.0</v>
      </c>
      <c r="B4847" s="90" t="s">
        <v>7988</v>
      </c>
      <c r="C4847" s="82" t="str">
        <f>VLOOKUP($B$7:$B$5000,SUM!$L$6:$L$500,1,FALSE)</f>
        <v>#N/A</v>
      </c>
      <c r="D4847" s="190" t="s">
        <v>7974</v>
      </c>
      <c r="E4847" s="198" t="s">
        <v>58</v>
      </c>
      <c r="F4847" s="199" t="s">
        <v>105</v>
      </c>
      <c r="G4847" s="191" t="s">
        <v>1362</v>
      </c>
      <c r="H4847" s="199" t="s">
        <v>7989</v>
      </c>
      <c r="I4847" s="197" t="s">
        <v>6891</v>
      </c>
      <c r="J4847" s="148" t="s">
        <v>63</v>
      </c>
      <c r="K4847" s="148" t="s">
        <v>64</v>
      </c>
      <c r="L4847" s="148" t="s">
        <v>65</v>
      </c>
      <c r="M4847" s="148" t="s">
        <v>185</v>
      </c>
      <c r="N4847" s="212">
        <v>46202.0</v>
      </c>
      <c r="O4847" s="148" t="s">
        <v>67</v>
      </c>
      <c r="P4847" s="148" t="s">
        <v>68</v>
      </c>
      <c r="Q4847" s="103"/>
      <c r="R4847" s="103"/>
      <c r="S4847" s="103"/>
      <c r="T4847" s="103"/>
      <c r="U4847" s="148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1">
        <v>4842.0</v>
      </c>
      <c r="B4848" s="90" t="s">
        <v>7990</v>
      </c>
      <c r="C4848" s="82" t="str">
        <f>VLOOKUP($B$7:$B$5000,SUM!$L$6:$L$500,1,FALSE)</f>
        <v>#N/A</v>
      </c>
      <c r="D4848" s="190" t="s">
        <v>7974</v>
      </c>
      <c r="E4848" s="198" t="s">
        <v>58</v>
      </c>
      <c r="F4848" s="199" t="s">
        <v>105</v>
      </c>
      <c r="G4848" s="191" t="s">
        <v>1362</v>
      </c>
      <c r="H4848" s="199" t="s">
        <v>7991</v>
      </c>
      <c r="I4848" s="197" t="s">
        <v>6891</v>
      </c>
      <c r="J4848" s="148" t="s">
        <v>63</v>
      </c>
      <c r="K4848" s="148" t="s">
        <v>64</v>
      </c>
      <c r="L4848" s="148" t="s">
        <v>65</v>
      </c>
      <c r="M4848" s="148" t="s">
        <v>185</v>
      </c>
      <c r="N4848" s="212">
        <v>46202.0</v>
      </c>
      <c r="O4848" s="148" t="s">
        <v>67</v>
      </c>
      <c r="P4848" s="148" t="s">
        <v>68</v>
      </c>
      <c r="Q4848" s="103"/>
      <c r="R4848" s="103"/>
      <c r="S4848" s="103"/>
      <c r="T4848" s="103"/>
      <c r="U4848" s="148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1">
        <v>4843.0</v>
      </c>
      <c r="B4849" s="90" t="s">
        <v>7992</v>
      </c>
      <c r="C4849" s="82" t="str">
        <f>VLOOKUP($B$7:$B$5000,SUM!$L$6:$L$500,1,FALSE)</f>
        <v>#N/A</v>
      </c>
      <c r="D4849" s="190" t="s">
        <v>7974</v>
      </c>
      <c r="E4849" s="198" t="s">
        <v>58</v>
      </c>
      <c r="F4849" s="199" t="s">
        <v>105</v>
      </c>
      <c r="G4849" s="191" t="s">
        <v>1362</v>
      </c>
      <c r="H4849" s="199" t="s">
        <v>7975</v>
      </c>
      <c r="I4849" s="197" t="s">
        <v>7993</v>
      </c>
      <c r="J4849" s="148" t="s">
        <v>63</v>
      </c>
      <c r="K4849" s="148" t="s">
        <v>64</v>
      </c>
      <c r="L4849" s="148" t="s">
        <v>65</v>
      </c>
      <c r="M4849" s="148" t="s">
        <v>185</v>
      </c>
      <c r="N4849" s="212">
        <v>46202.0</v>
      </c>
      <c r="O4849" s="148" t="s">
        <v>67</v>
      </c>
      <c r="P4849" s="148" t="s">
        <v>68</v>
      </c>
      <c r="Q4849" s="103"/>
      <c r="R4849" s="103"/>
      <c r="S4849" s="103"/>
      <c r="T4849" s="103"/>
      <c r="U4849" s="148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1">
        <v>4844.0</v>
      </c>
      <c r="B4850" s="90" t="s">
        <v>7994</v>
      </c>
      <c r="C4850" s="82" t="str">
        <f>VLOOKUP($B$7:$B$5000,SUM!$L$6:$L$500,1,FALSE)</f>
        <v>#N/A</v>
      </c>
      <c r="D4850" s="190" t="s">
        <v>7974</v>
      </c>
      <c r="E4850" s="198" t="s">
        <v>58</v>
      </c>
      <c r="F4850" s="199" t="s">
        <v>105</v>
      </c>
      <c r="G4850" s="191" t="s">
        <v>1362</v>
      </c>
      <c r="H4850" s="199" t="s">
        <v>7977</v>
      </c>
      <c r="I4850" s="197" t="s">
        <v>7993</v>
      </c>
      <c r="J4850" s="148" t="s">
        <v>63</v>
      </c>
      <c r="K4850" s="148" t="s">
        <v>64</v>
      </c>
      <c r="L4850" s="148" t="s">
        <v>65</v>
      </c>
      <c r="M4850" s="148" t="s">
        <v>185</v>
      </c>
      <c r="N4850" s="212">
        <v>46202.0</v>
      </c>
      <c r="O4850" s="148" t="s">
        <v>67</v>
      </c>
      <c r="P4850" s="148" t="s">
        <v>68</v>
      </c>
      <c r="Q4850" s="103"/>
      <c r="R4850" s="103"/>
      <c r="S4850" s="103"/>
      <c r="T4850" s="103"/>
      <c r="U4850" s="148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1">
        <v>4845.0</v>
      </c>
      <c r="B4851" s="90" t="s">
        <v>7995</v>
      </c>
      <c r="C4851" s="82" t="str">
        <f>VLOOKUP($B$7:$B$5000,SUM!$L$6:$L$500,1,FALSE)</f>
        <v>#N/A</v>
      </c>
      <c r="D4851" s="190" t="s">
        <v>7974</v>
      </c>
      <c r="E4851" s="198" t="s">
        <v>58</v>
      </c>
      <c r="F4851" s="199" t="s">
        <v>105</v>
      </c>
      <c r="G4851" s="191" t="s">
        <v>1362</v>
      </c>
      <c r="H4851" s="199" t="s">
        <v>7979</v>
      </c>
      <c r="I4851" s="197" t="s">
        <v>7993</v>
      </c>
      <c r="J4851" s="148" t="s">
        <v>63</v>
      </c>
      <c r="K4851" s="148" t="s">
        <v>64</v>
      </c>
      <c r="L4851" s="148" t="s">
        <v>65</v>
      </c>
      <c r="M4851" s="148" t="s">
        <v>185</v>
      </c>
      <c r="N4851" s="212">
        <v>46202.0</v>
      </c>
      <c r="O4851" s="148" t="s">
        <v>67</v>
      </c>
      <c r="P4851" s="148" t="s">
        <v>68</v>
      </c>
      <c r="Q4851" s="103"/>
      <c r="R4851" s="103"/>
      <c r="S4851" s="103"/>
      <c r="T4851" s="103"/>
      <c r="U4851" s="148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1">
        <v>4846.0</v>
      </c>
      <c r="B4852" s="90" t="s">
        <v>7996</v>
      </c>
      <c r="C4852" s="82" t="str">
        <f>VLOOKUP($B$7:$B$5000,SUM!$L$6:$L$500,1,FALSE)</f>
        <v>#N/A</v>
      </c>
      <c r="D4852" s="190" t="s">
        <v>7974</v>
      </c>
      <c r="E4852" s="198" t="s">
        <v>58</v>
      </c>
      <c r="F4852" s="199" t="s">
        <v>105</v>
      </c>
      <c r="G4852" s="191" t="s">
        <v>1362</v>
      </c>
      <c r="H4852" s="199" t="s">
        <v>7981</v>
      </c>
      <c r="I4852" s="197" t="s">
        <v>7993</v>
      </c>
      <c r="J4852" s="148" t="s">
        <v>63</v>
      </c>
      <c r="K4852" s="148" t="s">
        <v>64</v>
      </c>
      <c r="L4852" s="148" t="s">
        <v>65</v>
      </c>
      <c r="M4852" s="148" t="s">
        <v>185</v>
      </c>
      <c r="N4852" s="212">
        <v>46202.0</v>
      </c>
      <c r="O4852" s="148" t="s">
        <v>67</v>
      </c>
      <c r="P4852" s="148" t="s">
        <v>68</v>
      </c>
      <c r="Q4852" s="103"/>
      <c r="R4852" s="103"/>
      <c r="S4852" s="103"/>
      <c r="T4852" s="103"/>
      <c r="U4852" s="148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1">
        <v>4847.0</v>
      </c>
      <c r="B4853" s="90" t="s">
        <v>7997</v>
      </c>
      <c r="C4853" s="82" t="str">
        <f>VLOOKUP($B$7:$B$5000,SUM!$L$6:$L$500,1,FALSE)</f>
        <v>#N/A</v>
      </c>
      <c r="D4853" s="190" t="s">
        <v>7974</v>
      </c>
      <c r="E4853" s="198" t="s">
        <v>58</v>
      </c>
      <c r="F4853" s="199" t="s">
        <v>105</v>
      </c>
      <c r="G4853" s="191" t="s">
        <v>1362</v>
      </c>
      <c r="H4853" s="199" t="s">
        <v>7983</v>
      </c>
      <c r="I4853" s="197" t="s">
        <v>7993</v>
      </c>
      <c r="J4853" s="148" t="s">
        <v>63</v>
      </c>
      <c r="K4853" s="148" t="s">
        <v>64</v>
      </c>
      <c r="L4853" s="148" t="s">
        <v>65</v>
      </c>
      <c r="M4853" s="148" t="s">
        <v>185</v>
      </c>
      <c r="N4853" s="212">
        <v>46202.0</v>
      </c>
      <c r="O4853" s="148" t="s">
        <v>67</v>
      </c>
      <c r="P4853" s="148" t="s">
        <v>68</v>
      </c>
      <c r="Q4853" s="103"/>
      <c r="R4853" s="103"/>
      <c r="S4853" s="103"/>
      <c r="T4853" s="103"/>
      <c r="U4853" s="148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1">
        <v>4848.0</v>
      </c>
      <c r="B4854" s="90" t="s">
        <v>7998</v>
      </c>
      <c r="C4854" s="82" t="str">
        <f>VLOOKUP($B$7:$B$5000,SUM!$L$6:$L$500,1,FALSE)</f>
        <v>#N/A</v>
      </c>
      <c r="D4854" s="190" t="s">
        <v>7974</v>
      </c>
      <c r="E4854" s="198" t="s">
        <v>58</v>
      </c>
      <c r="F4854" s="199" t="s">
        <v>105</v>
      </c>
      <c r="G4854" s="191" t="s">
        <v>1362</v>
      </c>
      <c r="H4854" s="199" t="s">
        <v>7985</v>
      </c>
      <c r="I4854" s="197" t="s">
        <v>7993</v>
      </c>
      <c r="J4854" s="148" t="s">
        <v>63</v>
      </c>
      <c r="K4854" s="148" t="s">
        <v>64</v>
      </c>
      <c r="L4854" s="148" t="s">
        <v>65</v>
      </c>
      <c r="M4854" s="148" t="s">
        <v>185</v>
      </c>
      <c r="N4854" s="212">
        <v>46202.0</v>
      </c>
      <c r="O4854" s="148" t="s">
        <v>67</v>
      </c>
      <c r="P4854" s="148" t="s">
        <v>68</v>
      </c>
      <c r="Q4854" s="103"/>
      <c r="R4854" s="103"/>
      <c r="S4854" s="103"/>
      <c r="T4854" s="103"/>
      <c r="U4854" s="148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1">
        <v>4849.0</v>
      </c>
      <c r="B4855" s="90" t="s">
        <v>7999</v>
      </c>
      <c r="C4855" s="82" t="str">
        <f>VLOOKUP($B$7:$B$5000,SUM!$L$6:$L$500,1,FALSE)</f>
        <v>#N/A</v>
      </c>
      <c r="D4855" s="190" t="s">
        <v>7974</v>
      </c>
      <c r="E4855" s="198" t="s">
        <v>58</v>
      </c>
      <c r="F4855" s="199" t="s">
        <v>105</v>
      </c>
      <c r="G4855" s="191" t="s">
        <v>1362</v>
      </c>
      <c r="H4855" s="199" t="s">
        <v>7987</v>
      </c>
      <c r="I4855" s="197" t="s">
        <v>7993</v>
      </c>
      <c r="J4855" s="148" t="s">
        <v>63</v>
      </c>
      <c r="K4855" s="148" t="s">
        <v>64</v>
      </c>
      <c r="L4855" s="148" t="s">
        <v>65</v>
      </c>
      <c r="M4855" s="148" t="s">
        <v>185</v>
      </c>
      <c r="N4855" s="212">
        <v>46202.0</v>
      </c>
      <c r="O4855" s="148" t="s">
        <v>67</v>
      </c>
      <c r="P4855" s="148" t="s">
        <v>68</v>
      </c>
      <c r="Q4855" s="103"/>
      <c r="R4855" s="103"/>
      <c r="S4855" s="103"/>
      <c r="T4855" s="103"/>
      <c r="U4855" s="148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1">
        <v>4850.0</v>
      </c>
      <c r="B4856" s="90" t="s">
        <v>8000</v>
      </c>
      <c r="C4856" s="82" t="str">
        <f>VLOOKUP($B$7:$B$5000,SUM!$L$6:$L$500,1,FALSE)</f>
        <v>#N/A</v>
      </c>
      <c r="D4856" s="190" t="s">
        <v>7974</v>
      </c>
      <c r="E4856" s="198" t="s">
        <v>58</v>
      </c>
      <c r="F4856" s="199" t="s">
        <v>105</v>
      </c>
      <c r="G4856" s="191" t="s">
        <v>1362</v>
      </c>
      <c r="H4856" s="199" t="s">
        <v>7989</v>
      </c>
      <c r="I4856" s="197" t="s">
        <v>7993</v>
      </c>
      <c r="J4856" s="148" t="s">
        <v>63</v>
      </c>
      <c r="K4856" s="148" t="s">
        <v>64</v>
      </c>
      <c r="L4856" s="148" t="s">
        <v>65</v>
      </c>
      <c r="M4856" s="148" t="s">
        <v>185</v>
      </c>
      <c r="N4856" s="212">
        <v>46202.0</v>
      </c>
      <c r="O4856" s="148" t="s">
        <v>67</v>
      </c>
      <c r="P4856" s="148" t="s">
        <v>68</v>
      </c>
      <c r="Q4856" s="103"/>
      <c r="R4856" s="103"/>
      <c r="S4856" s="103"/>
      <c r="T4856" s="103"/>
      <c r="U4856" s="148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1">
        <v>4851.0</v>
      </c>
      <c r="B4857" s="90" t="s">
        <v>8001</v>
      </c>
      <c r="C4857" s="82" t="str">
        <f>VLOOKUP($B$7:$B$5000,SUM!$L$6:$L$500,1,FALSE)</f>
        <v>#N/A</v>
      </c>
      <c r="D4857" s="190" t="s">
        <v>7974</v>
      </c>
      <c r="E4857" s="198" t="s">
        <v>58</v>
      </c>
      <c r="F4857" s="199" t="s">
        <v>105</v>
      </c>
      <c r="G4857" s="191" t="s">
        <v>1362</v>
      </c>
      <c r="H4857" s="199" t="s">
        <v>7991</v>
      </c>
      <c r="I4857" s="197" t="s">
        <v>7993</v>
      </c>
      <c r="J4857" s="148" t="s">
        <v>63</v>
      </c>
      <c r="K4857" s="148" t="s">
        <v>64</v>
      </c>
      <c r="L4857" s="148" t="s">
        <v>65</v>
      </c>
      <c r="M4857" s="148" t="s">
        <v>185</v>
      </c>
      <c r="N4857" s="212">
        <v>46202.0</v>
      </c>
      <c r="O4857" s="148" t="s">
        <v>67</v>
      </c>
      <c r="P4857" s="148" t="s">
        <v>68</v>
      </c>
      <c r="Q4857" s="103"/>
      <c r="R4857" s="103"/>
      <c r="S4857" s="103"/>
      <c r="T4857" s="103"/>
      <c r="U4857" s="148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1">
        <v>4852.0</v>
      </c>
      <c r="B4858" s="90" t="s">
        <v>8002</v>
      </c>
      <c r="C4858" s="82" t="str">
        <f>VLOOKUP($B$7:$B$5000,SUM!$L$6:$L$500,1,FALSE)</f>
        <v>#N/A</v>
      </c>
      <c r="D4858" s="231" t="s">
        <v>8003</v>
      </c>
      <c r="E4858" s="198" t="s">
        <v>58</v>
      </c>
      <c r="F4858" s="191" t="s">
        <v>8004</v>
      </c>
      <c r="G4858" s="256" t="s">
        <v>3428</v>
      </c>
      <c r="H4858" s="199" t="s">
        <v>8005</v>
      </c>
      <c r="I4858" s="197" t="s">
        <v>6511</v>
      </c>
      <c r="J4858" s="148" t="s">
        <v>108</v>
      </c>
      <c r="K4858" s="148" t="s">
        <v>4434</v>
      </c>
      <c r="L4858" s="148" t="s">
        <v>65</v>
      </c>
      <c r="M4858" s="148" t="s">
        <v>185</v>
      </c>
      <c r="N4858" s="212">
        <v>46199.0</v>
      </c>
      <c r="O4858" s="148" t="s">
        <v>67</v>
      </c>
      <c r="P4858" s="148" t="s">
        <v>68</v>
      </c>
      <c r="Q4858" s="103"/>
      <c r="R4858" s="103"/>
      <c r="S4858" s="103"/>
      <c r="T4858" s="103"/>
      <c r="U4858" s="148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1">
        <v>4853.0</v>
      </c>
      <c r="B4859" s="90" t="s">
        <v>8006</v>
      </c>
      <c r="C4859" s="82" t="str">
        <f>VLOOKUP($B$7:$B$5000,SUM!$L$6:$L$500,1,FALSE)</f>
        <v>#N/A</v>
      </c>
      <c r="D4859" s="231" t="s">
        <v>8003</v>
      </c>
      <c r="E4859" s="198" t="s">
        <v>58</v>
      </c>
      <c r="F4859" s="191" t="s">
        <v>8004</v>
      </c>
      <c r="G4859" s="256" t="s">
        <v>8007</v>
      </c>
      <c r="H4859" s="199" t="s">
        <v>8008</v>
      </c>
      <c r="I4859" s="197" t="s">
        <v>8009</v>
      </c>
      <c r="J4859" s="148" t="s">
        <v>108</v>
      </c>
      <c r="K4859" s="148" t="s">
        <v>4434</v>
      </c>
      <c r="L4859" s="148" t="s">
        <v>65</v>
      </c>
      <c r="M4859" s="148" t="s">
        <v>185</v>
      </c>
      <c r="N4859" s="212">
        <v>46199.0</v>
      </c>
      <c r="O4859" s="148" t="s">
        <v>67</v>
      </c>
      <c r="P4859" s="148" t="s">
        <v>68</v>
      </c>
      <c r="Q4859" s="103"/>
      <c r="R4859" s="103"/>
      <c r="S4859" s="103"/>
      <c r="T4859" s="103"/>
      <c r="U4859" s="148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1">
        <v>4854.0</v>
      </c>
      <c r="B4860" s="90" t="s">
        <v>8010</v>
      </c>
      <c r="C4860" s="82" t="str">
        <f>VLOOKUP($B$7:$B$5000,SUM!$L$6:$L$500,1,FALSE)</f>
        <v>#N/A</v>
      </c>
      <c r="D4860" s="231" t="s">
        <v>8003</v>
      </c>
      <c r="E4860" s="198" t="s">
        <v>58</v>
      </c>
      <c r="F4860" s="191" t="s">
        <v>8004</v>
      </c>
      <c r="G4860" s="256" t="s">
        <v>8011</v>
      </c>
      <c r="H4860" s="199" t="s">
        <v>8012</v>
      </c>
      <c r="I4860" s="197" t="s">
        <v>8009</v>
      </c>
      <c r="J4860" s="148" t="s">
        <v>108</v>
      </c>
      <c r="K4860" s="148" t="s">
        <v>4434</v>
      </c>
      <c r="L4860" s="148" t="s">
        <v>65</v>
      </c>
      <c r="M4860" s="148" t="s">
        <v>185</v>
      </c>
      <c r="N4860" s="212">
        <v>46199.0</v>
      </c>
      <c r="O4860" s="148" t="s">
        <v>67</v>
      </c>
      <c r="P4860" s="148" t="s">
        <v>68</v>
      </c>
      <c r="Q4860" s="103"/>
      <c r="R4860" s="103"/>
      <c r="S4860" s="103"/>
      <c r="T4860" s="103"/>
      <c r="U4860" s="148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1">
        <v>4855.0</v>
      </c>
      <c r="B4861" s="90" t="s">
        <v>8013</v>
      </c>
      <c r="C4861" s="82" t="str">
        <f>VLOOKUP($B$7:$B$5000,SUM!$L$6:$L$500,1,FALSE)</f>
        <v>#N/A</v>
      </c>
      <c r="D4861" s="190" t="s">
        <v>8014</v>
      </c>
      <c r="E4861" s="198" t="s">
        <v>58</v>
      </c>
      <c r="F4861" s="199" t="s">
        <v>8015</v>
      </c>
      <c r="G4861" s="191" t="s">
        <v>2544</v>
      </c>
      <c r="H4861" s="199" t="s">
        <v>8016</v>
      </c>
      <c r="I4861" s="197" t="s">
        <v>8017</v>
      </c>
      <c r="J4861" s="148" t="s">
        <v>63</v>
      </c>
      <c r="K4861" s="148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1">
        <v>4856.0</v>
      </c>
      <c r="B4862" s="90" t="s">
        <v>8019</v>
      </c>
      <c r="C4862" s="82" t="str">
        <f>VLOOKUP($B$7:$B$5000,SUM!$L$6:$L$500,1,FALSE)</f>
        <v>#N/A</v>
      </c>
      <c r="D4862" s="190" t="s">
        <v>8014</v>
      </c>
      <c r="E4862" s="198" t="s">
        <v>58</v>
      </c>
      <c r="F4862" s="199" t="s">
        <v>8015</v>
      </c>
      <c r="G4862" s="191" t="s">
        <v>8020</v>
      </c>
      <c r="H4862" s="257" t="s">
        <v>8021</v>
      </c>
      <c r="I4862" s="197" t="s">
        <v>8022</v>
      </c>
      <c r="J4862" s="148" t="s">
        <v>63</v>
      </c>
      <c r="K4862" s="148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1">
        <v>4857.0</v>
      </c>
      <c r="B4863" s="90" t="s">
        <v>8023</v>
      </c>
      <c r="C4863" s="82" t="str">
        <f>VLOOKUP($B$7:$B$5000,SUM!$L$6:$L$500,1,FALSE)</f>
        <v>#N/A</v>
      </c>
      <c r="D4863" s="190" t="s">
        <v>8014</v>
      </c>
      <c r="E4863" s="198" t="s">
        <v>58</v>
      </c>
      <c r="F4863" s="199" t="s">
        <v>8015</v>
      </c>
      <c r="G4863" s="191" t="s">
        <v>8020</v>
      </c>
      <c r="H4863" s="257" t="s">
        <v>8024</v>
      </c>
      <c r="I4863" s="197" t="s">
        <v>8022</v>
      </c>
      <c r="J4863" s="148" t="s">
        <v>63</v>
      </c>
      <c r="K4863" s="148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1">
        <v>4858.0</v>
      </c>
      <c r="B4864" s="90" t="s">
        <v>8025</v>
      </c>
      <c r="C4864" s="82" t="str">
        <f>VLOOKUP($B$7:$B$5000,SUM!$L$6:$L$500,1,FALSE)</f>
        <v>#N/A</v>
      </c>
      <c r="D4864" s="190" t="s">
        <v>8014</v>
      </c>
      <c r="E4864" s="198" t="s">
        <v>58</v>
      </c>
      <c r="F4864" s="199" t="s">
        <v>8015</v>
      </c>
      <c r="G4864" s="191" t="s">
        <v>8020</v>
      </c>
      <c r="H4864" s="257" t="s">
        <v>8026</v>
      </c>
      <c r="I4864" s="197" t="s">
        <v>8022</v>
      </c>
      <c r="J4864" s="148" t="s">
        <v>63</v>
      </c>
      <c r="K4864" s="148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1">
        <v>4859.0</v>
      </c>
      <c r="B4865" s="90" t="s">
        <v>8027</v>
      </c>
      <c r="C4865" s="82" t="str">
        <f>VLOOKUP($B$7:$B$5000,SUM!$L$6:$L$500,1,FALSE)</f>
        <v>#N/A</v>
      </c>
      <c r="D4865" s="190" t="s">
        <v>8014</v>
      </c>
      <c r="E4865" s="198" t="s">
        <v>58</v>
      </c>
      <c r="F4865" s="199" t="s">
        <v>8015</v>
      </c>
      <c r="G4865" s="191" t="s">
        <v>8028</v>
      </c>
      <c r="H4865" s="257" t="s">
        <v>8029</v>
      </c>
      <c r="I4865" s="197" t="s">
        <v>8030</v>
      </c>
      <c r="J4865" s="148" t="s">
        <v>63</v>
      </c>
      <c r="K4865" s="148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1">
        <v>4860.0</v>
      </c>
      <c r="B4866" s="90" t="s">
        <v>8031</v>
      </c>
      <c r="C4866" s="82" t="str">
        <f>VLOOKUP($B$7:$B$5000,SUM!$L$6:$L$500,1,FALSE)</f>
        <v>#N/A</v>
      </c>
      <c r="D4866" s="190" t="s">
        <v>8014</v>
      </c>
      <c r="E4866" s="198" t="s">
        <v>58</v>
      </c>
      <c r="F4866" s="199" t="s">
        <v>8015</v>
      </c>
      <c r="G4866" s="191" t="s">
        <v>8028</v>
      </c>
      <c r="H4866" s="257" t="s">
        <v>8032</v>
      </c>
      <c r="I4866" s="197" t="s">
        <v>8030</v>
      </c>
      <c r="J4866" s="148" t="s">
        <v>63</v>
      </c>
      <c r="K4866" s="148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1">
        <v>4861.0</v>
      </c>
      <c r="B4867" s="90" t="s">
        <v>8033</v>
      </c>
      <c r="C4867" s="82" t="str">
        <f>VLOOKUP($B$7:$B$5000,SUM!$L$6:$L$500,1,FALSE)</f>
        <v>#N/A</v>
      </c>
      <c r="D4867" s="190" t="s">
        <v>8014</v>
      </c>
      <c r="E4867" s="198" t="s">
        <v>58</v>
      </c>
      <c r="F4867" s="199" t="s">
        <v>8015</v>
      </c>
      <c r="G4867" s="191" t="s">
        <v>8028</v>
      </c>
      <c r="H4867" s="257" t="s">
        <v>8034</v>
      </c>
      <c r="I4867" s="197" t="s">
        <v>8030</v>
      </c>
      <c r="J4867" s="148" t="s">
        <v>63</v>
      </c>
      <c r="K4867" s="148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1">
        <v>4862.0</v>
      </c>
      <c r="B4868" s="90" t="s">
        <v>8035</v>
      </c>
      <c r="C4868" s="82" t="str">
        <f>VLOOKUP($B$7:$B$5000,SUM!$L$6:$L$500,1,FALSE)</f>
        <v>#N/A</v>
      </c>
      <c r="D4868" s="190" t="s">
        <v>8014</v>
      </c>
      <c r="E4868" s="198" t="s">
        <v>58</v>
      </c>
      <c r="F4868" s="199" t="s">
        <v>8015</v>
      </c>
      <c r="G4868" s="191" t="s">
        <v>8028</v>
      </c>
      <c r="H4868" s="257" t="s">
        <v>8036</v>
      </c>
      <c r="I4868" s="197" t="s">
        <v>8030</v>
      </c>
      <c r="J4868" s="148" t="s">
        <v>63</v>
      </c>
      <c r="K4868" s="148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1">
        <v>4863.0</v>
      </c>
      <c r="B4869" s="90" t="s">
        <v>8037</v>
      </c>
      <c r="C4869" s="82" t="str">
        <f>VLOOKUP($B$7:$B$5000,SUM!$L$6:$L$500,1,FALSE)</f>
        <v>#N/A</v>
      </c>
      <c r="D4869" s="190" t="s">
        <v>8014</v>
      </c>
      <c r="E4869" s="198" t="s">
        <v>58</v>
      </c>
      <c r="F4869" s="199" t="s">
        <v>8015</v>
      </c>
      <c r="G4869" s="191" t="s">
        <v>2544</v>
      </c>
      <c r="H4869" s="258" t="s">
        <v>8038</v>
      </c>
      <c r="I4869" s="197" t="s">
        <v>8017</v>
      </c>
      <c r="J4869" s="148" t="s">
        <v>63</v>
      </c>
      <c r="K4869" s="148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1">
        <v>4864.0</v>
      </c>
      <c r="B4870" s="90" t="s">
        <v>8039</v>
      </c>
      <c r="C4870" s="82" t="str">
        <f>VLOOKUP($B$7:$B$5000,SUM!$L$6:$L$500,1,FALSE)</f>
        <v>#N/A</v>
      </c>
      <c r="D4870" s="190" t="s">
        <v>8014</v>
      </c>
      <c r="E4870" s="198" t="s">
        <v>58</v>
      </c>
      <c r="F4870" s="199" t="s">
        <v>8015</v>
      </c>
      <c r="G4870" s="256" t="s">
        <v>2544</v>
      </c>
      <c r="H4870" s="258" t="s">
        <v>8040</v>
      </c>
      <c r="I4870" s="197" t="s">
        <v>8017</v>
      </c>
      <c r="J4870" s="148" t="s">
        <v>63</v>
      </c>
      <c r="K4870" s="148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1">
        <v>4865.0</v>
      </c>
      <c r="B4871" s="90" t="s">
        <v>8041</v>
      </c>
      <c r="C4871" s="82" t="str">
        <f>VLOOKUP($B$7:$B$5000,SUM!$L$6:$L$500,1,FALSE)</f>
        <v>#N/A</v>
      </c>
      <c r="D4871" s="190" t="s">
        <v>8014</v>
      </c>
      <c r="E4871" s="198" t="s">
        <v>58</v>
      </c>
      <c r="F4871" s="199" t="s">
        <v>8015</v>
      </c>
      <c r="G4871" s="191" t="s">
        <v>8042</v>
      </c>
      <c r="H4871" s="258" t="s">
        <v>8043</v>
      </c>
      <c r="I4871" s="197" t="s">
        <v>8044</v>
      </c>
      <c r="J4871" s="148" t="s">
        <v>63</v>
      </c>
      <c r="K4871" s="148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1">
        <v>4866.0</v>
      </c>
      <c r="B4872" s="90" t="s">
        <v>8045</v>
      </c>
      <c r="C4872" s="82" t="str">
        <f>VLOOKUP($B$7:$B$5000,SUM!$L$6:$L$500,1,FALSE)</f>
        <v>#N/A</v>
      </c>
      <c r="D4872" s="190" t="s">
        <v>8014</v>
      </c>
      <c r="E4872" s="198" t="s">
        <v>58</v>
      </c>
      <c r="F4872" s="199" t="s">
        <v>8015</v>
      </c>
      <c r="G4872" s="191" t="s">
        <v>8046</v>
      </c>
      <c r="H4872" s="199" t="s">
        <v>8016</v>
      </c>
      <c r="I4872" s="197" t="s">
        <v>8047</v>
      </c>
      <c r="J4872" s="148" t="s">
        <v>108</v>
      </c>
      <c r="K4872" s="148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1">
        <v>4867.0</v>
      </c>
      <c r="B4873" s="90" t="s">
        <v>8048</v>
      </c>
      <c r="C4873" s="82"/>
      <c r="D4873" s="190" t="s">
        <v>8049</v>
      </c>
      <c r="E4873" s="198" t="s">
        <v>58</v>
      </c>
      <c r="F4873" s="199" t="s">
        <v>105</v>
      </c>
      <c r="G4873" s="191" t="s">
        <v>1871</v>
      </c>
      <c r="H4873" s="199" t="s">
        <v>8050</v>
      </c>
      <c r="I4873" s="197" t="s">
        <v>7925</v>
      </c>
      <c r="J4873" s="148" t="s">
        <v>63</v>
      </c>
      <c r="K4873" s="148" t="s">
        <v>64</v>
      </c>
      <c r="L4873" s="148" t="s">
        <v>65</v>
      </c>
      <c r="M4873" s="148" t="s">
        <v>185</v>
      </c>
      <c r="N4873" s="212">
        <v>46205.0</v>
      </c>
      <c r="O4873" s="148" t="s">
        <v>67</v>
      </c>
      <c r="P4873" s="148" t="s">
        <v>68</v>
      </c>
      <c r="Q4873" s="103"/>
      <c r="R4873" s="103"/>
      <c r="S4873" s="103"/>
      <c r="T4873" s="103"/>
      <c r="U4873" s="148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1">
        <v>4868.0</v>
      </c>
      <c r="B4874" s="90" t="s">
        <v>8051</v>
      </c>
      <c r="C4874" s="82"/>
      <c r="D4874" s="190" t="s">
        <v>8049</v>
      </c>
      <c r="E4874" s="198" t="s">
        <v>58</v>
      </c>
      <c r="F4874" s="199" t="s">
        <v>105</v>
      </c>
      <c r="G4874" s="191" t="s">
        <v>1871</v>
      </c>
      <c r="H4874" s="199" t="s">
        <v>8052</v>
      </c>
      <c r="I4874" s="197" t="s">
        <v>7925</v>
      </c>
      <c r="J4874" s="148" t="s">
        <v>63</v>
      </c>
      <c r="K4874" s="148" t="s">
        <v>64</v>
      </c>
      <c r="L4874" s="148" t="s">
        <v>65</v>
      </c>
      <c r="M4874" s="148" t="s">
        <v>185</v>
      </c>
      <c r="N4874" s="212">
        <v>46205.0</v>
      </c>
      <c r="O4874" s="148" t="s">
        <v>67</v>
      </c>
      <c r="P4874" s="148" t="s">
        <v>68</v>
      </c>
      <c r="Q4874" s="103"/>
      <c r="R4874" s="103"/>
      <c r="S4874" s="103"/>
      <c r="T4874" s="103"/>
      <c r="U4874" s="148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1">
        <v>4869.0</v>
      </c>
      <c r="B4875" s="90" t="s">
        <v>8053</v>
      </c>
      <c r="C4875" s="82" t="str">
        <f>VLOOKUP($B$7:$B$5000,SUM!$L$6:$L$500,1,FALSE)</f>
        <v>#N/A</v>
      </c>
      <c r="D4875" s="190" t="s">
        <v>8049</v>
      </c>
      <c r="E4875" s="198" t="s">
        <v>58</v>
      </c>
      <c r="F4875" s="199" t="s">
        <v>105</v>
      </c>
      <c r="G4875" s="191" t="s">
        <v>1871</v>
      </c>
      <c r="H4875" s="199" t="s">
        <v>8054</v>
      </c>
      <c r="I4875" s="197" t="s">
        <v>7925</v>
      </c>
      <c r="J4875" s="148" t="s">
        <v>63</v>
      </c>
      <c r="K4875" s="148" t="s">
        <v>64</v>
      </c>
      <c r="L4875" s="148" t="s">
        <v>65</v>
      </c>
      <c r="M4875" s="148" t="s">
        <v>185</v>
      </c>
      <c r="N4875" s="212">
        <v>46205.0</v>
      </c>
      <c r="O4875" s="148" t="s">
        <v>67</v>
      </c>
      <c r="P4875" s="148" t="s">
        <v>68</v>
      </c>
      <c r="Q4875" s="103"/>
      <c r="R4875" s="103"/>
      <c r="S4875" s="103"/>
      <c r="T4875" s="103"/>
      <c r="U4875" s="148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1">
        <v>4870.0</v>
      </c>
      <c r="B4876" s="90" t="s">
        <v>8055</v>
      </c>
      <c r="C4876" s="82" t="str">
        <f>VLOOKUP($B$7:$B$5000,SUM!$L$6:$L$500,1,FALSE)</f>
        <v>#N/A</v>
      </c>
      <c r="D4876" s="190" t="s">
        <v>8049</v>
      </c>
      <c r="E4876" s="198" t="s">
        <v>58</v>
      </c>
      <c r="F4876" s="199" t="s">
        <v>105</v>
      </c>
      <c r="G4876" s="191" t="s">
        <v>1871</v>
      </c>
      <c r="H4876" s="199" t="s">
        <v>8056</v>
      </c>
      <c r="I4876" s="197" t="s">
        <v>7925</v>
      </c>
      <c r="J4876" s="148" t="s">
        <v>63</v>
      </c>
      <c r="K4876" s="148" t="s">
        <v>64</v>
      </c>
      <c r="L4876" s="148" t="s">
        <v>65</v>
      </c>
      <c r="M4876" s="148" t="s">
        <v>185</v>
      </c>
      <c r="N4876" s="212">
        <v>46205.0</v>
      </c>
      <c r="O4876" s="148" t="s">
        <v>67</v>
      </c>
      <c r="P4876" s="148" t="s">
        <v>68</v>
      </c>
      <c r="Q4876" s="103"/>
      <c r="R4876" s="103"/>
      <c r="S4876" s="103"/>
      <c r="T4876" s="103"/>
      <c r="U4876" s="148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1">
        <v>4871.0</v>
      </c>
      <c r="B4877" s="90" t="s">
        <v>8057</v>
      </c>
      <c r="C4877" s="82" t="str">
        <f>VLOOKUP($B$7:$B$5000,SUM!$L$6:$L$500,1,FALSE)</f>
        <v>#N/A</v>
      </c>
      <c r="D4877" s="190" t="s">
        <v>8049</v>
      </c>
      <c r="E4877" s="198" t="s">
        <v>58</v>
      </c>
      <c r="F4877" s="199" t="s">
        <v>105</v>
      </c>
      <c r="G4877" s="191" t="s">
        <v>1871</v>
      </c>
      <c r="H4877" s="199" t="s">
        <v>8058</v>
      </c>
      <c r="I4877" s="197" t="s">
        <v>7925</v>
      </c>
      <c r="J4877" s="148" t="s">
        <v>63</v>
      </c>
      <c r="K4877" s="148" t="s">
        <v>64</v>
      </c>
      <c r="L4877" s="148" t="s">
        <v>65</v>
      </c>
      <c r="M4877" s="148" t="s">
        <v>185</v>
      </c>
      <c r="N4877" s="212">
        <v>46205.0</v>
      </c>
      <c r="O4877" s="148" t="s">
        <v>67</v>
      </c>
      <c r="P4877" s="148" t="s">
        <v>68</v>
      </c>
      <c r="Q4877" s="103"/>
      <c r="R4877" s="103"/>
      <c r="S4877" s="103"/>
      <c r="T4877" s="103"/>
      <c r="U4877" s="148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1">
        <v>4872.0</v>
      </c>
      <c r="B4878" s="90" t="s">
        <v>8059</v>
      </c>
      <c r="C4878" s="82" t="str">
        <f>VLOOKUP($B$7:$B$5000,SUM!$L$6:$L$500,1,FALSE)</f>
        <v>#N/A</v>
      </c>
      <c r="D4878" s="190" t="s">
        <v>8049</v>
      </c>
      <c r="E4878" s="198" t="s">
        <v>58</v>
      </c>
      <c r="F4878" s="199" t="s">
        <v>105</v>
      </c>
      <c r="G4878" s="191" t="s">
        <v>1871</v>
      </c>
      <c r="H4878" s="199" t="s">
        <v>8060</v>
      </c>
      <c r="I4878" s="197" t="s">
        <v>8061</v>
      </c>
      <c r="J4878" s="148" t="s">
        <v>63</v>
      </c>
      <c r="K4878" s="148" t="s">
        <v>64</v>
      </c>
      <c r="L4878" s="148" t="s">
        <v>65</v>
      </c>
      <c r="M4878" s="148" t="s">
        <v>185</v>
      </c>
      <c r="N4878" s="212">
        <v>46205.0</v>
      </c>
      <c r="O4878" s="148" t="s">
        <v>67</v>
      </c>
      <c r="P4878" s="148" t="s">
        <v>68</v>
      </c>
      <c r="Q4878" s="103"/>
      <c r="R4878" s="103"/>
      <c r="S4878" s="103"/>
      <c r="T4878" s="103"/>
      <c r="U4878" s="148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1">
        <v>4873.0</v>
      </c>
      <c r="B4879" s="90" t="s">
        <v>8062</v>
      </c>
      <c r="C4879" s="82" t="str">
        <f>VLOOKUP($B$7:$B$5000,SUM!$L$6:$L$500,1,FALSE)</f>
        <v>#N/A</v>
      </c>
      <c r="D4879" s="190" t="s">
        <v>8049</v>
      </c>
      <c r="E4879" s="198" t="s">
        <v>58</v>
      </c>
      <c r="F4879" s="199" t="s">
        <v>105</v>
      </c>
      <c r="G4879" s="191" t="s">
        <v>1871</v>
      </c>
      <c r="H4879" s="199" t="s">
        <v>8063</v>
      </c>
      <c r="I4879" s="197" t="s">
        <v>8061</v>
      </c>
      <c r="J4879" s="148" t="s">
        <v>63</v>
      </c>
      <c r="K4879" s="148" t="s">
        <v>64</v>
      </c>
      <c r="L4879" s="148" t="s">
        <v>65</v>
      </c>
      <c r="M4879" s="148" t="s">
        <v>185</v>
      </c>
      <c r="N4879" s="212">
        <v>46205.0</v>
      </c>
      <c r="O4879" s="148" t="s">
        <v>67</v>
      </c>
      <c r="P4879" s="148" t="s">
        <v>68</v>
      </c>
      <c r="Q4879" s="103"/>
      <c r="R4879" s="103"/>
      <c r="S4879" s="103"/>
      <c r="T4879" s="103"/>
      <c r="U4879" s="148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1">
        <v>4874.0</v>
      </c>
      <c r="B4880" s="90" t="s">
        <v>8064</v>
      </c>
      <c r="C4880" s="82" t="str">
        <f>VLOOKUP($B$7:$B$5000,SUM!$L$6:$L$500,1,FALSE)</f>
        <v>#N/A</v>
      </c>
      <c r="D4880" s="190" t="s">
        <v>8049</v>
      </c>
      <c r="E4880" s="198" t="s">
        <v>58</v>
      </c>
      <c r="F4880" s="199" t="s">
        <v>105</v>
      </c>
      <c r="G4880" s="191" t="s">
        <v>1871</v>
      </c>
      <c r="H4880" s="199" t="s">
        <v>8065</v>
      </c>
      <c r="I4880" s="197" t="s">
        <v>8061</v>
      </c>
      <c r="J4880" s="148" t="s">
        <v>63</v>
      </c>
      <c r="K4880" s="148" t="s">
        <v>64</v>
      </c>
      <c r="L4880" s="148" t="s">
        <v>65</v>
      </c>
      <c r="M4880" s="148" t="s">
        <v>185</v>
      </c>
      <c r="N4880" s="212">
        <v>46205.0</v>
      </c>
      <c r="O4880" s="148" t="s">
        <v>67</v>
      </c>
      <c r="P4880" s="148" t="s">
        <v>68</v>
      </c>
      <c r="Q4880" s="103"/>
      <c r="R4880" s="103"/>
      <c r="S4880" s="103"/>
      <c r="T4880" s="103"/>
      <c r="U4880" s="148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1">
        <v>4875.0</v>
      </c>
      <c r="B4881" s="90" t="s">
        <v>8066</v>
      </c>
      <c r="C4881" s="82" t="str">
        <f>VLOOKUP($B$7:$B$5000,SUM!$L$6:$L$500,1,FALSE)</f>
        <v>#N/A</v>
      </c>
      <c r="D4881" s="190" t="s">
        <v>8049</v>
      </c>
      <c r="E4881" s="198" t="s">
        <v>58</v>
      </c>
      <c r="F4881" s="199" t="s">
        <v>105</v>
      </c>
      <c r="G4881" s="191" t="s">
        <v>1871</v>
      </c>
      <c r="H4881" s="199" t="s">
        <v>8050</v>
      </c>
      <c r="I4881" s="197" t="s">
        <v>8067</v>
      </c>
      <c r="J4881" s="148" t="s">
        <v>63</v>
      </c>
      <c r="K4881" s="148" t="s">
        <v>64</v>
      </c>
      <c r="L4881" s="148" t="s">
        <v>65</v>
      </c>
      <c r="M4881" s="148" t="s">
        <v>185</v>
      </c>
      <c r="N4881" s="212">
        <v>46205.0</v>
      </c>
      <c r="O4881" s="148" t="s">
        <v>67</v>
      </c>
      <c r="P4881" s="148" t="s">
        <v>68</v>
      </c>
      <c r="Q4881" s="103"/>
      <c r="R4881" s="103"/>
      <c r="S4881" s="103"/>
      <c r="T4881" s="103"/>
      <c r="U4881" s="148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1">
        <v>4876.0</v>
      </c>
      <c r="B4882" s="90" t="s">
        <v>8068</v>
      </c>
      <c r="C4882" s="82" t="str">
        <f>VLOOKUP($B$7:$B$5000,SUM!$L$6:$L$500,1,FALSE)</f>
        <v>#N/A</v>
      </c>
      <c r="D4882" s="190" t="s">
        <v>8049</v>
      </c>
      <c r="E4882" s="198" t="s">
        <v>58</v>
      </c>
      <c r="F4882" s="199" t="s">
        <v>105</v>
      </c>
      <c r="G4882" s="191" t="s">
        <v>1871</v>
      </c>
      <c r="H4882" s="199" t="s">
        <v>8052</v>
      </c>
      <c r="I4882" s="197" t="s">
        <v>8067</v>
      </c>
      <c r="J4882" s="148" t="s">
        <v>63</v>
      </c>
      <c r="K4882" s="148" t="s">
        <v>64</v>
      </c>
      <c r="L4882" s="148" t="s">
        <v>65</v>
      </c>
      <c r="M4882" s="148" t="s">
        <v>185</v>
      </c>
      <c r="N4882" s="212">
        <v>46205.0</v>
      </c>
      <c r="O4882" s="148" t="s">
        <v>67</v>
      </c>
      <c r="P4882" s="148" t="s">
        <v>68</v>
      </c>
      <c r="Q4882" s="103"/>
      <c r="R4882" s="103"/>
      <c r="S4882" s="103"/>
      <c r="T4882" s="103"/>
      <c r="U4882" s="148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1">
        <v>4877.0</v>
      </c>
      <c r="B4883" s="90" t="s">
        <v>8069</v>
      </c>
      <c r="C4883" s="82" t="str">
        <f>VLOOKUP($B$7:$B$5000,SUM!$L$6:$L$500,1,FALSE)</f>
        <v>#N/A</v>
      </c>
      <c r="D4883" s="190" t="s">
        <v>8049</v>
      </c>
      <c r="E4883" s="198" t="s">
        <v>58</v>
      </c>
      <c r="F4883" s="199" t="s">
        <v>105</v>
      </c>
      <c r="G4883" s="191" t="s">
        <v>1871</v>
      </c>
      <c r="H4883" s="199" t="s">
        <v>8054</v>
      </c>
      <c r="I4883" s="197" t="s">
        <v>8067</v>
      </c>
      <c r="J4883" s="148" t="s">
        <v>63</v>
      </c>
      <c r="K4883" s="148" t="s">
        <v>64</v>
      </c>
      <c r="L4883" s="148" t="s">
        <v>65</v>
      </c>
      <c r="M4883" s="148" t="s">
        <v>185</v>
      </c>
      <c r="N4883" s="212">
        <v>46205.0</v>
      </c>
      <c r="O4883" s="148" t="s">
        <v>67</v>
      </c>
      <c r="P4883" s="148" t="s">
        <v>68</v>
      </c>
      <c r="Q4883" s="103"/>
      <c r="R4883" s="103"/>
      <c r="S4883" s="103"/>
      <c r="T4883" s="103"/>
      <c r="U4883" s="148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1">
        <v>4878.0</v>
      </c>
      <c r="B4884" s="90" t="s">
        <v>8070</v>
      </c>
      <c r="C4884" s="82" t="str">
        <f>VLOOKUP($B$7:$B$5000,SUM!$L$6:$L$500,1,FALSE)</f>
        <v>#N/A</v>
      </c>
      <c r="D4884" s="190" t="s">
        <v>8049</v>
      </c>
      <c r="E4884" s="198" t="s">
        <v>58</v>
      </c>
      <c r="F4884" s="199" t="s">
        <v>105</v>
      </c>
      <c r="G4884" s="191" t="s">
        <v>1871</v>
      </c>
      <c r="H4884" s="199" t="s">
        <v>8056</v>
      </c>
      <c r="I4884" s="197" t="s">
        <v>8067</v>
      </c>
      <c r="J4884" s="148" t="s">
        <v>63</v>
      </c>
      <c r="K4884" s="148" t="s">
        <v>64</v>
      </c>
      <c r="L4884" s="148" t="s">
        <v>65</v>
      </c>
      <c r="M4884" s="148" t="s">
        <v>185</v>
      </c>
      <c r="N4884" s="212">
        <v>46205.0</v>
      </c>
      <c r="O4884" s="148" t="s">
        <v>67</v>
      </c>
      <c r="P4884" s="148" t="s">
        <v>68</v>
      </c>
      <c r="Q4884" s="103"/>
      <c r="R4884" s="103"/>
      <c r="S4884" s="103"/>
      <c r="T4884" s="103"/>
      <c r="U4884" s="148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1">
        <v>4879.0</v>
      </c>
      <c r="B4885" s="90" t="s">
        <v>8071</v>
      </c>
      <c r="C4885" s="82" t="str">
        <f>VLOOKUP($B$7:$B$5000,SUM!$L$6:$L$500,1,FALSE)</f>
        <v>#N/A</v>
      </c>
      <c r="D4885" s="190" t="s">
        <v>8049</v>
      </c>
      <c r="E4885" s="198" t="s">
        <v>58</v>
      </c>
      <c r="F4885" s="199" t="s">
        <v>105</v>
      </c>
      <c r="G4885" s="191" t="s">
        <v>1871</v>
      </c>
      <c r="H4885" s="199" t="s">
        <v>8058</v>
      </c>
      <c r="I4885" s="197" t="s">
        <v>8067</v>
      </c>
      <c r="J4885" s="148" t="s">
        <v>63</v>
      </c>
      <c r="K4885" s="148" t="s">
        <v>64</v>
      </c>
      <c r="L4885" s="148" t="s">
        <v>65</v>
      </c>
      <c r="M4885" s="148" t="s">
        <v>185</v>
      </c>
      <c r="N4885" s="212">
        <v>46205.0</v>
      </c>
      <c r="O4885" s="148" t="s">
        <v>67</v>
      </c>
      <c r="P4885" s="148" t="s">
        <v>68</v>
      </c>
      <c r="Q4885" s="103"/>
      <c r="R4885" s="103"/>
      <c r="S4885" s="103"/>
      <c r="T4885" s="103"/>
      <c r="U4885" s="148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1">
        <v>4880.0</v>
      </c>
      <c r="B4886" s="90" t="s">
        <v>8072</v>
      </c>
      <c r="C4886" s="82" t="str">
        <f>VLOOKUP($B$7:$B$5000,SUM!$L$6:$L$500,1,FALSE)</f>
        <v>#N/A</v>
      </c>
      <c r="D4886" s="190" t="s">
        <v>8049</v>
      </c>
      <c r="E4886" s="198" t="s">
        <v>58</v>
      </c>
      <c r="F4886" s="199" t="s">
        <v>105</v>
      </c>
      <c r="G4886" s="191" t="s">
        <v>1871</v>
      </c>
      <c r="H4886" s="199" t="s">
        <v>8060</v>
      </c>
      <c r="I4886" s="197" t="s">
        <v>8073</v>
      </c>
      <c r="J4886" s="148" t="s">
        <v>63</v>
      </c>
      <c r="K4886" s="148" t="s">
        <v>64</v>
      </c>
      <c r="L4886" s="148" t="s">
        <v>65</v>
      </c>
      <c r="M4886" s="148" t="s">
        <v>185</v>
      </c>
      <c r="N4886" s="212">
        <v>46205.0</v>
      </c>
      <c r="O4886" s="148" t="s">
        <v>67</v>
      </c>
      <c r="P4886" s="148" t="s">
        <v>68</v>
      </c>
      <c r="Q4886" s="103"/>
      <c r="R4886" s="103"/>
      <c r="S4886" s="103"/>
      <c r="T4886" s="103"/>
      <c r="U4886" s="148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1">
        <v>4881.0</v>
      </c>
      <c r="B4887" s="90" t="s">
        <v>8074</v>
      </c>
      <c r="C4887" s="82" t="str">
        <f>VLOOKUP($B$7:$B$5000,SUM!$L$6:$L$500,1,FALSE)</f>
        <v>#N/A</v>
      </c>
      <c r="D4887" s="190" t="s">
        <v>8049</v>
      </c>
      <c r="E4887" s="198" t="s">
        <v>58</v>
      </c>
      <c r="F4887" s="199" t="s">
        <v>105</v>
      </c>
      <c r="G4887" s="191" t="s">
        <v>1871</v>
      </c>
      <c r="H4887" s="199" t="s">
        <v>8063</v>
      </c>
      <c r="I4887" s="197" t="s">
        <v>8073</v>
      </c>
      <c r="J4887" s="148" t="s">
        <v>63</v>
      </c>
      <c r="K4887" s="148" t="s">
        <v>64</v>
      </c>
      <c r="L4887" s="148" t="s">
        <v>65</v>
      </c>
      <c r="M4887" s="148" t="s">
        <v>185</v>
      </c>
      <c r="N4887" s="212">
        <v>46205.0</v>
      </c>
      <c r="O4887" s="148" t="s">
        <v>67</v>
      </c>
      <c r="P4887" s="148" t="s">
        <v>68</v>
      </c>
      <c r="Q4887" s="103"/>
      <c r="R4887" s="103"/>
      <c r="S4887" s="103"/>
      <c r="T4887" s="103"/>
      <c r="U4887" s="148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1">
        <v>4882.0</v>
      </c>
      <c r="B4888" s="90" t="s">
        <v>8075</v>
      </c>
      <c r="C4888" s="82" t="str">
        <f>VLOOKUP($B$7:$B$5000,SUM!$L$6:$L$500,1,FALSE)</f>
        <v>#N/A</v>
      </c>
      <c r="D4888" s="190" t="s">
        <v>8049</v>
      </c>
      <c r="E4888" s="198" t="s">
        <v>58</v>
      </c>
      <c r="F4888" s="199" t="s">
        <v>105</v>
      </c>
      <c r="G4888" s="191" t="s">
        <v>1871</v>
      </c>
      <c r="H4888" s="199" t="s">
        <v>8065</v>
      </c>
      <c r="I4888" s="197" t="s">
        <v>8073</v>
      </c>
      <c r="J4888" s="148" t="s">
        <v>63</v>
      </c>
      <c r="K4888" s="148" t="s">
        <v>64</v>
      </c>
      <c r="L4888" s="148" t="s">
        <v>65</v>
      </c>
      <c r="M4888" s="148" t="s">
        <v>185</v>
      </c>
      <c r="N4888" s="212">
        <v>46205.0</v>
      </c>
      <c r="O4888" s="148" t="s">
        <v>67</v>
      </c>
      <c r="P4888" s="148" t="s">
        <v>68</v>
      </c>
      <c r="Q4888" s="103"/>
      <c r="R4888" s="103"/>
      <c r="S4888" s="103"/>
      <c r="T4888" s="103"/>
      <c r="U4888" s="148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1">
        <v>4883.0</v>
      </c>
      <c r="B4889" s="90" t="s">
        <v>8076</v>
      </c>
      <c r="C4889" s="82" t="str">
        <f>VLOOKUP($B$7:$B$5000,SUM!$L$6:$L$500,1,FALSE)</f>
        <v>#N/A</v>
      </c>
      <c r="D4889" s="190" t="s">
        <v>8049</v>
      </c>
      <c r="E4889" s="198" t="s">
        <v>58</v>
      </c>
      <c r="F4889" s="199" t="s">
        <v>105</v>
      </c>
      <c r="G4889" s="191" t="s">
        <v>1871</v>
      </c>
      <c r="H4889" s="199" t="s">
        <v>8050</v>
      </c>
      <c r="I4889" s="197" t="s">
        <v>8077</v>
      </c>
      <c r="J4889" s="148" t="s">
        <v>108</v>
      </c>
      <c r="K4889" s="148" t="s">
        <v>64</v>
      </c>
      <c r="L4889" s="148" t="s">
        <v>65</v>
      </c>
      <c r="M4889" s="148" t="s">
        <v>185</v>
      </c>
      <c r="N4889" s="212">
        <v>46205.0</v>
      </c>
      <c r="O4889" s="148" t="s">
        <v>67</v>
      </c>
      <c r="P4889" s="148" t="s">
        <v>68</v>
      </c>
      <c r="Q4889" s="103"/>
      <c r="R4889" s="103"/>
      <c r="S4889" s="103"/>
      <c r="T4889" s="103"/>
      <c r="U4889" s="148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1">
        <v>4884.0</v>
      </c>
      <c r="B4890" s="90" t="s">
        <v>8078</v>
      </c>
      <c r="C4890" s="82" t="str">
        <f>VLOOKUP($B$7:$B$5000,SUM!$L$6:$L$500,1,FALSE)</f>
        <v>#N/A</v>
      </c>
      <c r="D4890" s="190" t="s">
        <v>8049</v>
      </c>
      <c r="E4890" s="198" t="s">
        <v>58</v>
      </c>
      <c r="F4890" s="199" t="s">
        <v>105</v>
      </c>
      <c r="G4890" s="191" t="s">
        <v>1871</v>
      </c>
      <c r="H4890" s="199" t="s">
        <v>8052</v>
      </c>
      <c r="I4890" s="197" t="s">
        <v>8077</v>
      </c>
      <c r="J4890" s="148" t="s">
        <v>108</v>
      </c>
      <c r="K4890" s="148" t="s">
        <v>64</v>
      </c>
      <c r="L4890" s="148" t="s">
        <v>65</v>
      </c>
      <c r="M4890" s="148" t="s">
        <v>185</v>
      </c>
      <c r="N4890" s="212">
        <v>46205.0</v>
      </c>
      <c r="O4890" s="148" t="s">
        <v>67</v>
      </c>
      <c r="P4890" s="148" t="s">
        <v>68</v>
      </c>
      <c r="Q4890" s="103"/>
      <c r="R4890" s="103"/>
      <c r="S4890" s="103"/>
      <c r="T4890" s="103"/>
      <c r="U4890" s="148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1">
        <v>4885.0</v>
      </c>
      <c r="B4891" s="90" t="s">
        <v>8079</v>
      </c>
      <c r="C4891" s="82" t="str">
        <f>VLOOKUP($B$7:$B$5000,SUM!$L$6:$L$500,1,FALSE)</f>
        <v>#N/A</v>
      </c>
      <c r="D4891" s="190" t="s">
        <v>8049</v>
      </c>
      <c r="E4891" s="198" t="s">
        <v>58</v>
      </c>
      <c r="F4891" s="199" t="s">
        <v>105</v>
      </c>
      <c r="G4891" s="191" t="s">
        <v>1871</v>
      </c>
      <c r="H4891" s="199" t="s">
        <v>8054</v>
      </c>
      <c r="I4891" s="197" t="s">
        <v>8077</v>
      </c>
      <c r="J4891" s="148" t="s">
        <v>108</v>
      </c>
      <c r="K4891" s="148" t="s">
        <v>64</v>
      </c>
      <c r="L4891" s="148" t="s">
        <v>65</v>
      </c>
      <c r="M4891" s="148" t="s">
        <v>185</v>
      </c>
      <c r="N4891" s="212">
        <v>46205.0</v>
      </c>
      <c r="O4891" s="148" t="s">
        <v>67</v>
      </c>
      <c r="P4891" s="148" t="s">
        <v>68</v>
      </c>
      <c r="Q4891" s="103"/>
      <c r="R4891" s="103"/>
      <c r="S4891" s="103"/>
      <c r="T4891" s="103"/>
      <c r="U4891" s="148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1">
        <v>4886.0</v>
      </c>
      <c r="B4892" s="90" t="s">
        <v>8080</v>
      </c>
      <c r="C4892" s="82" t="str">
        <f>VLOOKUP($B$7:$B$5000,SUM!$L$6:$L$500,1,FALSE)</f>
        <v>#N/A</v>
      </c>
      <c r="D4892" s="190" t="s">
        <v>8049</v>
      </c>
      <c r="E4892" s="198" t="s">
        <v>58</v>
      </c>
      <c r="F4892" s="199" t="s">
        <v>105</v>
      </c>
      <c r="G4892" s="191" t="s">
        <v>1871</v>
      </c>
      <c r="H4892" s="199" t="s">
        <v>8056</v>
      </c>
      <c r="I4892" s="197" t="s">
        <v>8077</v>
      </c>
      <c r="J4892" s="148" t="s">
        <v>108</v>
      </c>
      <c r="K4892" s="148" t="s">
        <v>64</v>
      </c>
      <c r="L4892" s="148" t="s">
        <v>65</v>
      </c>
      <c r="M4892" s="148" t="s">
        <v>185</v>
      </c>
      <c r="N4892" s="212">
        <v>46205.0</v>
      </c>
      <c r="O4892" s="148" t="s">
        <v>67</v>
      </c>
      <c r="P4892" s="148" t="s">
        <v>68</v>
      </c>
      <c r="Q4892" s="103"/>
      <c r="R4892" s="103"/>
      <c r="S4892" s="103"/>
      <c r="T4892" s="103"/>
      <c r="U4892" s="148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1">
        <v>4887.0</v>
      </c>
      <c r="B4893" s="90" t="s">
        <v>8081</v>
      </c>
      <c r="C4893" s="82" t="str">
        <f>VLOOKUP($B$7:$B$5000,SUM!$L$6:$L$500,1,FALSE)</f>
        <v>#N/A</v>
      </c>
      <c r="D4893" s="190" t="s">
        <v>8049</v>
      </c>
      <c r="E4893" s="198" t="s">
        <v>58</v>
      </c>
      <c r="F4893" s="199" t="s">
        <v>105</v>
      </c>
      <c r="G4893" s="191" t="s">
        <v>1871</v>
      </c>
      <c r="H4893" s="199" t="s">
        <v>8058</v>
      </c>
      <c r="I4893" s="197" t="s">
        <v>8077</v>
      </c>
      <c r="J4893" s="148" t="s">
        <v>108</v>
      </c>
      <c r="K4893" s="148" t="s">
        <v>64</v>
      </c>
      <c r="L4893" s="148" t="s">
        <v>65</v>
      </c>
      <c r="M4893" s="148" t="s">
        <v>185</v>
      </c>
      <c r="N4893" s="212">
        <v>46205.0</v>
      </c>
      <c r="O4893" s="148" t="s">
        <v>67</v>
      </c>
      <c r="P4893" s="148" t="s">
        <v>68</v>
      </c>
      <c r="Q4893" s="103"/>
      <c r="R4893" s="103"/>
      <c r="S4893" s="103"/>
      <c r="T4893" s="103"/>
      <c r="U4893" s="148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1">
        <v>4888.0</v>
      </c>
      <c r="B4894" s="90" t="s">
        <v>8082</v>
      </c>
      <c r="C4894" s="82" t="str">
        <f>VLOOKUP($B$7:$B$5000,SUM!$L$6:$L$500,1,FALSE)</f>
        <v>#N/A</v>
      </c>
      <c r="D4894" s="190" t="s">
        <v>8049</v>
      </c>
      <c r="E4894" s="198" t="s">
        <v>58</v>
      </c>
      <c r="F4894" s="199" t="s">
        <v>105</v>
      </c>
      <c r="G4894" s="191" t="s">
        <v>1871</v>
      </c>
      <c r="H4894" s="199" t="s">
        <v>8060</v>
      </c>
      <c r="I4894" s="197" t="s">
        <v>8083</v>
      </c>
      <c r="J4894" s="148" t="s">
        <v>108</v>
      </c>
      <c r="K4894" s="148" t="s">
        <v>64</v>
      </c>
      <c r="L4894" s="148" t="s">
        <v>65</v>
      </c>
      <c r="M4894" s="148" t="s">
        <v>185</v>
      </c>
      <c r="N4894" s="212">
        <v>46205.0</v>
      </c>
      <c r="O4894" s="148" t="s">
        <v>67</v>
      </c>
      <c r="P4894" s="148" t="s">
        <v>68</v>
      </c>
      <c r="Q4894" s="103"/>
      <c r="R4894" s="103"/>
      <c r="S4894" s="103"/>
      <c r="T4894" s="103"/>
      <c r="U4894" s="148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1">
        <v>4889.0</v>
      </c>
      <c r="B4895" s="90" t="s">
        <v>8084</v>
      </c>
      <c r="C4895" s="82" t="str">
        <f>VLOOKUP($B$7:$B$5000,SUM!$L$6:$L$500,1,FALSE)</f>
        <v>#N/A</v>
      </c>
      <c r="D4895" s="190" t="s">
        <v>8049</v>
      </c>
      <c r="E4895" s="198" t="s">
        <v>58</v>
      </c>
      <c r="F4895" s="199" t="s">
        <v>105</v>
      </c>
      <c r="G4895" s="191" t="s">
        <v>1871</v>
      </c>
      <c r="H4895" s="199" t="s">
        <v>8063</v>
      </c>
      <c r="I4895" s="197" t="s">
        <v>8083</v>
      </c>
      <c r="J4895" s="148" t="s">
        <v>108</v>
      </c>
      <c r="K4895" s="148" t="s">
        <v>64</v>
      </c>
      <c r="L4895" s="148" t="s">
        <v>65</v>
      </c>
      <c r="M4895" s="148" t="s">
        <v>185</v>
      </c>
      <c r="N4895" s="212">
        <v>46205.0</v>
      </c>
      <c r="O4895" s="148" t="s">
        <v>67</v>
      </c>
      <c r="P4895" s="148" t="s">
        <v>68</v>
      </c>
      <c r="Q4895" s="103"/>
      <c r="R4895" s="103"/>
      <c r="S4895" s="103"/>
      <c r="T4895" s="103"/>
      <c r="U4895" s="148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1">
        <v>4890.0</v>
      </c>
      <c r="B4896" s="90" t="s">
        <v>8085</v>
      </c>
      <c r="C4896" s="82" t="str">
        <f>VLOOKUP($B$7:$B$5000,SUM!$L$6:$L$500,1,FALSE)</f>
        <v>#N/A</v>
      </c>
      <c r="D4896" s="190" t="s">
        <v>8049</v>
      </c>
      <c r="E4896" s="198" t="s">
        <v>58</v>
      </c>
      <c r="F4896" s="199" t="s">
        <v>105</v>
      </c>
      <c r="G4896" s="191" t="s">
        <v>1871</v>
      </c>
      <c r="H4896" s="199" t="s">
        <v>8065</v>
      </c>
      <c r="I4896" s="197" t="s">
        <v>8083</v>
      </c>
      <c r="J4896" s="148" t="s">
        <v>108</v>
      </c>
      <c r="K4896" s="148" t="s">
        <v>64</v>
      </c>
      <c r="L4896" s="148" t="s">
        <v>65</v>
      </c>
      <c r="M4896" s="148" t="s">
        <v>185</v>
      </c>
      <c r="N4896" s="212">
        <v>46205.0</v>
      </c>
      <c r="O4896" s="148" t="s">
        <v>67</v>
      </c>
      <c r="P4896" s="148" t="s">
        <v>68</v>
      </c>
      <c r="Q4896" s="103"/>
      <c r="R4896" s="103"/>
      <c r="S4896" s="103"/>
      <c r="T4896" s="103"/>
      <c r="U4896" s="148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1">
        <v>4891.0</v>
      </c>
      <c r="B4897" s="90" t="s">
        <v>8086</v>
      </c>
      <c r="C4897" s="82" t="str">
        <f>VLOOKUP($B$7:$B$5000,SUM!$L$6:$L$500,1,FALSE)</f>
        <v>#N/A</v>
      </c>
      <c r="D4897" s="190" t="s">
        <v>8087</v>
      </c>
      <c r="E4897" s="198" t="s">
        <v>58</v>
      </c>
      <c r="F4897" s="199" t="s">
        <v>8015</v>
      </c>
      <c r="G4897" s="259" t="s">
        <v>8088</v>
      </c>
      <c r="H4897" s="260" t="s">
        <v>8089</v>
      </c>
      <c r="I4897" s="197" t="s">
        <v>8090</v>
      </c>
      <c r="J4897" s="148" t="s">
        <v>63</v>
      </c>
      <c r="K4897" s="148" t="s">
        <v>8018</v>
      </c>
      <c r="L4897" s="148" t="s">
        <v>65</v>
      </c>
      <c r="M4897" s="148" t="s">
        <v>185</v>
      </c>
      <c r="N4897" s="261">
        <v>46209.0</v>
      </c>
      <c r="O4897" s="148" t="s">
        <v>67</v>
      </c>
      <c r="P4897" s="148" t="s">
        <v>68</v>
      </c>
      <c r="Q4897" s="103"/>
      <c r="R4897" s="103"/>
      <c r="S4897" s="103"/>
      <c r="T4897" s="103"/>
      <c r="U4897" s="148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1">
        <v>4892.0</v>
      </c>
      <c r="B4898" s="90" t="s">
        <v>8091</v>
      </c>
      <c r="C4898" s="82" t="str">
        <f>VLOOKUP($B$7:$B$5000,SUM!$L$6:$L$500,1,FALSE)</f>
        <v>#N/A</v>
      </c>
      <c r="D4898" s="190" t="s">
        <v>8087</v>
      </c>
      <c r="E4898" s="198" t="s">
        <v>58</v>
      </c>
      <c r="F4898" s="199" t="s">
        <v>8015</v>
      </c>
      <c r="H4898" s="262" t="s">
        <v>8092</v>
      </c>
      <c r="I4898" s="263" t="s">
        <v>8090</v>
      </c>
      <c r="J4898" s="264" t="s">
        <v>63</v>
      </c>
      <c r="K4898" s="148" t="s">
        <v>8018</v>
      </c>
      <c r="L4898" s="148" t="s">
        <v>65</v>
      </c>
      <c r="M4898" s="148" t="s">
        <v>185</v>
      </c>
      <c r="N4898" s="261">
        <v>46209.0</v>
      </c>
      <c r="O4898" s="148" t="s">
        <v>67</v>
      </c>
      <c r="P4898" s="148" t="s">
        <v>68</v>
      </c>
      <c r="Q4898" s="103"/>
      <c r="R4898" s="103"/>
      <c r="S4898" s="103"/>
      <c r="T4898" s="103"/>
      <c r="U4898" s="148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1">
        <v>4893.0</v>
      </c>
      <c r="B4899" s="90" t="s">
        <v>8093</v>
      </c>
      <c r="C4899" s="82" t="str">
        <f>VLOOKUP($B$7:$B$5000,SUM!$L$6:$L$500,1,FALSE)</f>
        <v>#N/A</v>
      </c>
      <c r="D4899" s="190" t="s">
        <v>8087</v>
      </c>
      <c r="E4899" s="198" t="s">
        <v>58</v>
      </c>
      <c r="F4899" s="199" t="s">
        <v>8015</v>
      </c>
      <c r="G4899" s="259" t="s">
        <v>8088</v>
      </c>
      <c r="H4899" s="262" t="s">
        <v>8094</v>
      </c>
      <c r="I4899" s="263" t="s">
        <v>8095</v>
      </c>
      <c r="J4899" s="264" t="s">
        <v>63</v>
      </c>
      <c r="K4899" s="148" t="s">
        <v>8018</v>
      </c>
      <c r="L4899" s="148" t="s">
        <v>65</v>
      </c>
      <c r="M4899" s="148" t="s">
        <v>185</v>
      </c>
      <c r="N4899" s="261">
        <v>46209.0</v>
      </c>
      <c r="O4899" s="148" t="s">
        <v>67</v>
      </c>
      <c r="P4899" s="148" t="s">
        <v>68</v>
      </c>
      <c r="Q4899" s="103"/>
      <c r="R4899" s="103"/>
      <c r="S4899" s="103"/>
      <c r="T4899" s="103"/>
      <c r="U4899" s="148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1">
        <v>4894.0</v>
      </c>
      <c r="B4900" s="90" t="s">
        <v>8096</v>
      </c>
      <c r="C4900" s="82" t="str">
        <f>VLOOKUP($B$7:$B$5000,SUM!$L$6:$L$500,1,FALSE)</f>
        <v>#N/A</v>
      </c>
      <c r="D4900" s="190" t="s">
        <v>8087</v>
      </c>
      <c r="E4900" s="198" t="s">
        <v>58</v>
      </c>
      <c r="F4900" s="199" t="s">
        <v>8015</v>
      </c>
      <c r="G4900" s="259" t="s">
        <v>8088</v>
      </c>
      <c r="H4900" s="262" t="s">
        <v>8097</v>
      </c>
      <c r="I4900" s="263" t="s">
        <v>8090</v>
      </c>
      <c r="J4900" s="264" t="s">
        <v>63</v>
      </c>
      <c r="K4900" s="148" t="s">
        <v>8018</v>
      </c>
      <c r="L4900" s="148" t="s">
        <v>65</v>
      </c>
      <c r="M4900" s="148" t="s">
        <v>185</v>
      </c>
      <c r="N4900" s="261">
        <v>46209.0</v>
      </c>
      <c r="O4900" s="148" t="s">
        <v>67</v>
      </c>
      <c r="P4900" s="148" t="s">
        <v>68</v>
      </c>
      <c r="Q4900" s="103"/>
      <c r="R4900" s="103"/>
      <c r="S4900" s="103"/>
      <c r="T4900" s="103"/>
      <c r="U4900" s="148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1">
        <v>4895.0</v>
      </c>
      <c r="B4901" s="90" t="s">
        <v>8098</v>
      </c>
      <c r="C4901" s="82" t="str">
        <f>VLOOKUP($B$7:$B$5000,SUM!$L$6:$L$500,1,FALSE)</f>
        <v>#N/A</v>
      </c>
      <c r="D4901" s="190" t="s">
        <v>8087</v>
      </c>
      <c r="E4901" s="198" t="s">
        <v>58</v>
      </c>
      <c r="F4901" s="199" t="s">
        <v>8015</v>
      </c>
      <c r="G4901" s="259" t="s">
        <v>8088</v>
      </c>
      <c r="H4901" s="262" t="s">
        <v>8099</v>
      </c>
      <c r="I4901" s="263" t="s">
        <v>8095</v>
      </c>
      <c r="J4901" s="264" t="s">
        <v>63</v>
      </c>
      <c r="K4901" s="148" t="s">
        <v>8018</v>
      </c>
      <c r="L4901" s="148" t="s">
        <v>65</v>
      </c>
      <c r="M4901" s="148" t="s">
        <v>185</v>
      </c>
      <c r="N4901" s="261">
        <v>46209.0</v>
      </c>
      <c r="O4901" s="148" t="s">
        <v>67</v>
      </c>
      <c r="P4901" s="148" t="s">
        <v>68</v>
      </c>
      <c r="Q4901" s="103"/>
      <c r="R4901" s="103"/>
      <c r="S4901" s="103"/>
      <c r="T4901" s="103"/>
      <c r="U4901" s="148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1">
        <v>4896.0</v>
      </c>
      <c r="B4902" s="90" t="s">
        <v>8100</v>
      </c>
      <c r="C4902" s="82" t="str">
        <f>VLOOKUP($B$7:$B$5000,SUM!$L$6:$L$500,1,FALSE)</f>
        <v>#N/A</v>
      </c>
      <c r="D4902" s="190" t="s">
        <v>8087</v>
      </c>
      <c r="E4902" s="198" t="s">
        <v>58</v>
      </c>
      <c r="F4902" s="199" t="s">
        <v>8015</v>
      </c>
      <c r="G4902" s="259" t="s">
        <v>2544</v>
      </c>
      <c r="H4902" s="262" t="s">
        <v>8101</v>
      </c>
      <c r="I4902" s="263" t="s">
        <v>8102</v>
      </c>
      <c r="J4902" s="264" t="s">
        <v>63</v>
      </c>
      <c r="K4902" s="148" t="s">
        <v>8018</v>
      </c>
      <c r="L4902" s="148" t="s">
        <v>65</v>
      </c>
      <c r="M4902" s="148" t="s">
        <v>185</v>
      </c>
      <c r="N4902" s="261">
        <v>46209.0</v>
      </c>
      <c r="O4902" s="148" t="s">
        <v>67</v>
      </c>
      <c r="P4902" s="148" t="s">
        <v>68</v>
      </c>
      <c r="Q4902" s="103"/>
      <c r="R4902" s="103"/>
      <c r="S4902" s="103"/>
      <c r="T4902" s="103"/>
      <c r="U4902" s="148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1">
        <v>4897.0</v>
      </c>
      <c r="B4903" s="90" t="s">
        <v>8103</v>
      </c>
      <c r="C4903" s="82" t="str">
        <f>VLOOKUP($B$7:$B$5000,SUM!$L$6:$L$500,1,FALSE)</f>
        <v>#N/A</v>
      </c>
      <c r="D4903" s="190" t="s">
        <v>8087</v>
      </c>
      <c r="E4903" s="198" t="s">
        <v>58</v>
      </c>
      <c r="F4903" s="199" t="s">
        <v>8015</v>
      </c>
      <c r="G4903" s="259" t="s">
        <v>2544</v>
      </c>
      <c r="H4903" s="262" t="s">
        <v>8104</v>
      </c>
      <c r="I4903" s="263" t="s">
        <v>8102</v>
      </c>
      <c r="J4903" s="264" t="s">
        <v>63</v>
      </c>
      <c r="K4903" s="148" t="s">
        <v>8018</v>
      </c>
      <c r="L4903" s="148" t="s">
        <v>65</v>
      </c>
      <c r="M4903" s="148" t="s">
        <v>185</v>
      </c>
      <c r="N4903" s="261">
        <v>46209.0</v>
      </c>
      <c r="O4903" s="148" t="s">
        <v>67</v>
      </c>
      <c r="P4903" s="148" t="s">
        <v>68</v>
      </c>
      <c r="Q4903" s="103"/>
      <c r="R4903" s="103"/>
      <c r="S4903" s="103"/>
      <c r="T4903" s="103"/>
      <c r="U4903" s="148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1">
        <v>4898.0</v>
      </c>
      <c r="B4904" s="90" t="s">
        <v>8105</v>
      </c>
      <c r="C4904" s="82" t="str">
        <f>VLOOKUP($B$7:$B$5000,SUM!$L$6:$L$500,1,FALSE)</f>
        <v>#N/A</v>
      </c>
      <c r="D4904" s="190" t="s">
        <v>8087</v>
      </c>
      <c r="E4904" s="198" t="s">
        <v>58</v>
      </c>
      <c r="F4904" s="199" t="s">
        <v>8015</v>
      </c>
      <c r="G4904" s="259" t="s">
        <v>8106</v>
      </c>
      <c r="H4904" s="262" t="s">
        <v>8107</v>
      </c>
      <c r="I4904" s="263" t="s">
        <v>8108</v>
      </c>
      <c r="J4904" s="264" t="s">
        <v>63</v>
      </c>
      <c r="K4904" s="148" t="s">
        <v>8018</v>
      </c>
      <c r="L4904" s="148" t="s">
        <v>65</v>
      </c>
      <c r="M4904" s="148" t="s">
        <v>185</v>
      </c>
      <c r="N4904" s="261">
        <v>46209.0</v>
      </c>
      <c r="O4904" s="148" t="s">
        <v>67</v>
      </c>
      <c r="P4904" s="148" t="s">
        <v>68</v>
      </c>
      <c r="Q4904" s="103"/>
      <c r="R4904" s="103"/>
      <c r="S4904" s="103"/>
      <c r="T4904" s="103"/>
      <c r="U4904" s="148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1">
        <v>4899.0</v>
      </c>
      <c r="B4905" s="90" t="s">
        <v>8109</v>
      </c>
      <c r="C4905" s="82" t="str">
        <f>VLOOKUP($B$7:$B$5000,SUM!$L$6:$L$500,1,FALSE)</f>
        <v>#N/A</v>
      </c>
      <c r="D4905" s="190" t="s">
        <v>8087</v>
      </c>
      <c r="E4905" s="198" t="s">
        <v>58</v>
      </c>
      <c r="F4905" s="199" t="s">
        <v>8015</v>
      </c>
      <c r="G4905" s="259" t="s">
        <v>8106</v>
      </c>
      <c r="H4905" s="262" t="s">
        <v>8110</v>
      </c>
      <c r="I4905" s="263" t="s">
        <v>8108</v>
      </c>
      <c r="J4905" s="264" t="s">
        <v>63</v>
      </c>
      <c r="K4905" s="148" t="s">
        <v>8018</v>
      </c>
      <c r="L4905" s="148" t="s">
        <v>65</v>
      </c>
      <c r="M4905" s="148" t="s">
        <v>185</v>
      </c>
      <c r="N4905" s="261">
        <v>46209.0</v>
      </c>
      <c r="O4905" s="148" t="s">
        <v>67</v>
      </c>
      <c r="P4905" s="148" t="s">
        <v>68</v>
      </c>
      <c r="Q4905" s="103"/>
      <c r="R4905" s="103"/>
      <c r="S4905" s="103"/>
      <c r="T4905" s="103"/>
      <c r="U4905" s="148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1">
        <v>4900.0</v>
      </c>
      <c r="B4906" s="90" t="s">
        <v>8111</v>
      </c>
      <c r="C4906" s="82" t="str">
        <f>VLOOKUP($B$7:$B$5000,SUM!$L$6:$L$500,1,FALSE)</f>
        <v>#N/A</v>
      </c>
      <c r="D4906" s="190" t="s">
        <v>8087</v>
      </c>
      <c r="E4906" s="198" t="s">
        <v>58</v>
      </c>
      <c r="F4906" s="199" t="s">
        <v>8015</v>
      </c>
      <c r="G4906" s="259" t="s">
        <v>8112</v>
      </c>
      <c r="H4906" s="262" t="s">
        <v>8113</v>
      </c>
      <c r="I4906" s="263" t="s">
        <v>8114</v>
      </c>
      <c r="J4906" s="264" t="s">
        <v>63</v>
      </c>
      <c r="K4906" s="148" t="s">
        <v>8018</v>
      </c>
      <c r="L4906" s="148" t="s">
        <v>65</v>
      </c>
      <c r="M4906" s="148" t="s">
        <v>185</v>
      </c>
      <c r="N4906" s="261">
        <v>46209.0</v>
      </c>
      <c r="O4906" s="148" t="s">
        <v>67</v>
      </c>
      <c r="P4906" s="148" t="s">
        <v>68</v>
      </c>
      <c r="Q4906" s="103"/>
      <c r="R4906" s="103"/>
      <c r="S4906" s="103"/>
      <c r="T4906" s="103"/>
      <c r="U4906" s="148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1">
        <v>4901.0</v>
      </c>
      <c r="B4907" s="90" t="s">
        <v>8115</v>
      </c>
      <c r="C4907" s="82" t="str">
        <f>VLOOKUP($B$7:$B$5000,SUM!$L$6:$L$500,1,FALSE)</f>
        <v>#N/A</v>
      </c>
      <c r="D4907" s="190" t="s">
        <v>8087</v>
      </c>
      <c r="E4907" s="198" t="s">
        <v>58</v>
      </c>
      <c r="F4907" s="199" t="s">
        <v>8015</v>
      </c>
      <c r="G4907" s="259" t="s">
        <v>8116</v>
      </c>
      <c r="H4907" s="262" t="s">
        <v>8117</v>
      </c>
      <c r="I4907" s="263" t="s">
        <v>8118</v>
      </c>
      <c r="J4907" s="264" t="s">
        <v>63</v>
      </c>
      <c r="K4907" s="148" t="s">
        <v>8018</v>
      </c>
      <c r="L4907" s="148" t="s">
        <v>65</v>
      </c>
      <c r="M4907" s="148" t="s">
        <v>185</v>
      </c>
      <c r="N4907" s="261">
        <v>46209.0</v>
      </c>
      <c r="O4907" s="148" t="s">
        <v>67</v>
      </c>
      <c r="P4907" s="148" t="s">
        <v>68</v>
      </c>
      <c r="Q4907" s="103"/>
      <c r="R4907" s="103"/>
      <c r="S4907" s="103"/>
      <c r="T4907" s="103"/>
      <c r="U4907" s="148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1">
        <v>4902.0</v>
      </c>
      <c r="B4908" s="90" t="s">
        <v>8119</v>
      </c>
      <c r="C4908" s="82" t="str">
        <f>VLOOKUP($B$7:$B$5000,SUM!$L$6:$L$500,1,FALSE)</f>
        <v>#N/A</v>
      </c>
      <c r="D4908" s="190" t="s">
        <v>8087</v>
      </c>
      <c r="E4908" s="198" t="s">
        <v>58</v>
      </c>
      <c r="F4908" s="199" t="s">
        <v>8015</v>
      </c>
      <c r="G4908" s="259" t="s">
        <v>8088</v>
      </c>
      <c r="H4908" s="262" t="s">
        <v>8120</v>
      </c>
      <c r="I4908" s="263" t="s">
        <v>8095</v>
      </c>
      <c r="J4908" s="264" t="s">
        <v>63</v>
      </c>
      <c r="K4908" s="148" t="s">
        <v>8018</v>
      </c>
      <c r="L4908" s="148" t="s">
        <v>65</v>
      </c>
      <c r="M4908" s="148" t="s">
        <v>185</v>
      </c>
      <c r="N4908" s="261">
        <v>46209.0</v>
      </c>
      <c r="O4908" s="148" t="s">
        <v>67</v>
      </c>
      <c r="P4908" s="148" t="s">
        <v>68</v>
      </c>
      <c r="Q4908" s="103"/>
      <c r="R4908" s="103"/>
      <c r="S4908" s="103"/>
      <c r="T4908" s="103"/>
      <c r="U4908" s="148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1">
        <v>4903.0</v>
      </c>
      <c r="B4909" s="90" t="s">
        <v>8121</v>
      </c>
      <c r="C4909" s="82" t="str">
        <f>VLOOKUP($B$7:$B$5000,SUM!$L$6:$L$500,1,FALSE)</f>
        <v>#N/A</v>
      </c>
      <c r="D4909" s="190" t="s">
        <v>8087</v>
      </c>
      <c r="E4909" s="198" t="s">
        <v>58</v>
      </c>
      <c r="F4909" s="199" t="s">
        <v>8015</v>
      </c>
      <c r="G4909" s="259" t="s">
        <v>8112</v>
      </c>
      <c r="H4909" s="262" t="s">
        <v>8122</v>
      </c>
      <c r="I4909" s="263" t="s">
        <v>8123</v>
      </c>
      <c r="J4909" s="264" t="s">
        <v>63</v>
      </c>
      <c r="K4909" s="148" t="s">
        <v>8018</v>
      </c>
      <c r="L4909" s="148" t="s">
        <v>65</v>
      </c>
      <c r="M4909" s="148" t="s">
        <v>185</v>
      </c>
      <c r="N4909" s="261">
        <v>46209.0</v>
      </c>
      <c r="O4909" s="148" t="s">
        <v>67</v>
      </c>
      <c r="P4909" s="148" t="s">
        <v>68</v>
      </c>
      <c r="Q4909" s="103"/>
      <c r="R4909" s="103"/>
      <c r="S4909" s="103"/>
      <c r="T4909" s="103"/>
      <c r="U4909" s="148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1">
        <v>4904.0</v>
      </c>
      <c r="B4910" s="90" t="s">
        <v>8124</v>
      </c>
      <c r="C4910" s="82" t="str">
        <f>VLOOKUP($B$7:$B$5000,SUM!$L$6:$L$500,1,FALSE)</f>
        <v>#N/A</v>
      </c>
      <c r="D4910" s="190" t="s">
        <v>8087</v>
      </c>
      <c r="E4910" s="198" t="s">
        <v>58</v>
      </c>
      <c r="F4910" s="199" t="s">
        <v>8015</v>
      </c>
      <c r="G4910" s="259" t="s">
        <v>8112</v>
      </c>
      <c r="H4910" s="262" t="s">
        <v>8125</v>
      </c>
      <c r="I4910" s="263" t="s">
        <v>8123</v>
      </c>
      <c r="J4910" s="264" t="s">
        <v>63</v>
      </c>
      <c r="K4910" s="148" t="s">
        <v>8018</v>
      </c>
      <c r="L4910" s="148" t="s">
        <v>65</v>
      </c>
      <c r="M4910" s="148" t="s">
        <v>185</v>
      </c>
      <c r="N4910" s="261">
        <v>46209.0</v>
      </c>
      <c r="O4910" s="148" t="s">
        <v>67</v>
      </c>
      <c r="P4910" s="148" t="s">
        <v>68</v>
      </c>
      <c r="Q4910" s="103"/>
      <c r="R4910" s="103"/>
      <c r="S4910" s="103"/>
      <c r="T4910" s="103"/>
      <c r="U4910" s="148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1">
        <v>4905.0</v>
      </c>
      <c r="B4911" s="90" t="s">
        <v>8126</v>
      </c>
      <c r="C4911" s="82" t="str">
        <f>VLOOKUP($B$7:$B$5000,SUM!$L$6:$L$500,1,FALSE)</f>
        <v>#N/A</v>
      </c>
      <c r="D4911" s="190" t="s">
        <v>8087</v>
      </c>
      <c r="E4911" s="198" t="s">
        <v>58</v>
      </c>
      <c r="F4911" s="199" t="s">
        <v>8015</v>
      </c>
      <c r="G4911" s="259" t="s">
        <v>8112</v>
      </c>
      <c r="H4911" s="262" t="s">
        <v>8127</v>
      </c>
      <c r="I4911" s="263" t="s">
        <v>8123</v>
      </c>
      <c r="J4911" s="264" t="s">
        <v>63</v>
      </c>
      <c r="K4911" s="148" t="s">
        <v>8018</v>
      </c>
      <c r="L4911" s="148" t="s">
        <v>65</v>
      </c>
      <c r="M4911" s="148" t="s">
        <v>185</v>
      </c>
      <c r="N4911" s="261">
        <v>46209.0</v>
      </c>
      <c r="O4911" s="148" t="s">
        <v>67</v>
      </c>
      <c r="P4911" s="148" t="s">
        <v>68</v>
      </c>
      <c r="Q4911" s="103"/>
      <c r="R4911" s="103"/>
      <c r="S4911" s="103"/>
      <c r="T4911" s="103"/>
      <c r="U4911" s="148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1">
        <v>4906.0</v>
      </c>
      <c r="B4912" s="90" t="s">
        <v>8128</v>
      </c>
      <c r="C4912" s="82" t="str">
        <f>VLOOKUP($B$7:$B$5000,SUM!$L$6:$L$500,1,FALSE)</f>
        <v>#N/A</v>
      </c>
      <c r="D4912" s="190" t="s">
        <v>8087</v>
      </c>
      <c r="E4912" s="198" t="s">
        <v>58</v>
      </c>
      <c r="F4912" s="199" t="s">
        <v>8015</v>
      </c>
      <c r="G4912" s="259" t="s">
        <v>8129</v>
      </c>
      <c r="H4912" s="262" t="s">
        <v>8089</v>
      </c>
      <c r="I4912" s="263" t="s">
        <v>8130</v>
      </c>
      <c r="J4912" s="264" t="s">
        <v>63</v>
      </c>
      <c r="K4912" s="148" t="s">
        <v>8018</v>
      </c>
      <c r="L4912" s="148" t="s">
        <v>65</v>
      </c>
      <c r="M4912" s="148" t="s">
        <v>185</v>
      </c>
      <c r="N4912" s="261">
        <v>46209.0</v>
      </c>
      <c r="O4912" s="148" t="s">
        <v>67</v>
      </c>
      <c r="P4912" s="148" t="s">
        <v>68</v>
      </c>
      <c r="Q4912" s="103"/>
      <c r="R4912" s="103"/>
      <c r="S4912" s="103"/>
      <c r="T4912" s="103"/>
      <c r="U4912" s="148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1">
        <v>4907.0</v>
      </c>
      <c r="B4913" s="90" t="s">
        <v>8131</v>
      </c>
      <c r="C4913" s="82" t="str">
        <f>VLOOKUP($B$7:$B$5000,SUM!$L$6:$L$500,1,FALSE)</f>
        <v>#N/A</v>
      </c>
      <c r="D4913" s="190" t="s">
        <v>8087</v>
      </c>
      <c r="E4913" s="198" t="s">
        <v>58</v>
      </c>
      <c r="F4913" s="199" t="s">
        <v>8015</v>
      </c>
      <c r="G4913" s="259" t="s">
        <v>8116</v>
      </c>
      <c r="H4913" s="262" t="s">
        <v>8117</v>
      </c>
      <c r="I4913" s="265" t="s">
        <v>8132</v>
      </c>
      <c r="J4913" s="264" t="s">
        <v>63</v>
      </c>
      <c r="K4913" s="148" t="s">
        <v>8018</v>
      </c>
      <c r="L4913" s="148" t="s">
        <v>65</v>
      </c>
      <c r="M4913" s="148" t="s">
        <v>185</v>
      </c>
      <c r="N4913" s="261">
        <v>46209.0</v>
      </c>
      <c r="O4913" s="148" t="s">
        <v>67</v>
      </c>
      <c r="P4913" s="148" t="s">
        <v>68</v>
      </c>
      <c r="Q4913" s="103"/>
      <c r="R4913" s="103"/>
      <c r="S4913" s="103"/>
      <c r="T4913" s="103"/>
      <c r="U4913" s="148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1">
        <v>4908.0</v>
      </c>
      <c r="B4914" s="90" t="s">
        <v>8133</v>
      </c>
      <c r="C4914" s="82" t="str">
        <f>VLOOKUP($B$7:$B$5000,SUM!$L$6:$L$500,1,FALSE)</f>
        <v>#N/A</v>
      </c>
      <c r="D4914" s="190" t="s">
        <v>8087</v>
      </c>
      <c r="E4914" s="198" t="s">
        <v>58</v>
      </c>
      <c r="F4914" s="199" t="s">
        <v>8015</v>
      </c>
      <c r="G4914" s="259" t="s">
        <v>8112</v>
      </c>
      <c r="H4914" s="262" t="s">
        <v>8122</v>
      </c>
      <c r="I4914" s="266" t="s">
        <v>8134</v>
      </c>
      <c r="J4914" s="264" t="s">
        <v>108</v>
      </c>
      <c r="K4914" s="148" t="s">
        <v>8018</v>
      </c>
      <c r="L4914" s="148" t="s">
        <v>65</v>
      </c>
      <c r="M4914" s="148" t="s">
        <v>185</v>
      </c>
      <c r="N4914" s="261">
        <v>46209.0</v>
      </c>
      <c r="O4914" s="148" t="s">
        <v>67</v>
      </c>
      <c r="P4914" s="148" t="s">
        <v>68</v>
      </c>
      <c r="Q4914" s="103"/>
      <c r="R4914" s="103"/>
      <c r="S4914" s="103"/>
      <c r="T4914" s="103"/>
      <c r="U4914" s="148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1">
        <v>4909.0</v>
      </c>
      <c r="B4915" s="90" t="s">
        <v>8135</v>
      </c>
      <c r="C4915" s="82"/>
      <c r="D4915" s="190" t="s">
        <v>8136</v>
      </c>
      <c r="E4915" s="198" t="s">
        <v>58</v>
      </c>
      <c r="F4915" s="199" t="s">
        <v>8137</v>
      </c>
      <c r="G4915" s="199" t="s">
        <v>8138</v>
      </c>
      <c r="H4915" s="267" t="s">
        <v>8139</v>
      </c>
      <c r="I4915" s="201" t="s">
        <v>8140</v>
      </c>
      <c r="J4915" s="148" t="s">
        <v>74</v>
      </c>
      <c r="K4915" s="148" t="s">
        <v>64</v>
      </c>
      <c r="L4915" s="148" t="s">
        <v>65</v>
      </c>
      <c r="M4915" s="148" t="s">
        <v>185</v>
      </c>
      <c r="N4915" s="261">
        <v>46211.0</v>
      </c>
      <c r="O4915" s="148" t="s">
        <v>67</v>
      </c>
      <c r="P4915" s="148" t="s">
        <v>68</v>
      </c>
      <c r="Q4915" s="103"/>
      <c r="R4915" s="103"/>
      <c r="S4915" s="103"/>
      <c r="T4915" s="103"/>
      <c r="U4915" s="148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1">
        <v>4910.0</v>
      </c>
      <c r="B4916" s="90" t="s">
        <v>8141</v>
      </c>
      <c r="C4916" s="82"/>
      <c r="D4916" s="190" t="s">
        <v>8136</v>
      </c>
      <c r="E4916" s="198" t="s">
        <v>58</v>
      </c>
      <c r="F4916" s="199" t="s">
        <v>8142</v>
      </c>
      <c r="G4916" s="199" t="s">
        <v>8138</v>
      </c>
      <c r="H4916" s="267" t="s">
        <v>8143</v>
      </c>
      <c r="I4916" s="201" t="s">
        <v>8144</v>
      </c>
      <c r="J4916" s="148" t="s">
        <v>74</v>
      </c>
      <c r="K4916" s="148" t="s">
        <v>64</v>
      </c>
      <c r="L4916" s="148" t="s">
        <v>65</v>
      </c>
      <c r="M4916" s="148" t="s">
        <v>185</v>
      </c>
      <c r="N4916" s="261">
        <v>46211.0</v>
      </c>
      <c r="O4916" s="148" t="s">
        <v>67</v>
      </c>
      <c r="P4916" s="148" t="s">
        <v>68</v>
      </c>
      <c r="Q4916" s="103"/>
      <c r="R4916" s="103"/>
      <c r="S4916" s="103"/>
      <c r="T4916" s="103"/>
      <c r="U4916" s="148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1">
        <v>4911.0</v>
      </c>
      <c r="B4917" s="90" t="s">
        <v>8145</v>
      </c>
      <c r="C4917" s="82"/>
      <c r="D4917" s="190" t="s">
        <v>8136</v>
      </c>
      <c r="E4917" s="198" t="s">
        <v>58</v>
      </c>
      <c r="F4917" s="199" t="s">
        <v>8146</v>
      </c>
      <c r="G4917" s="199" t="s">
        <v>8138</v>
      </c>
      <c r="H4917" s="267" t="s">
        <v>8147</v>
      </c>
      <c r="I4917" s="201" t="s">
        <v>8144</v>
      </c>
      <c r="J4917" s="148" t="s">
        <v>74</v>
      </c>
      <c r="K4917" s="148" t="s">
        <v>64</v>
      </c>
      <c r="L4917" s="148" t="s">
        <v>65</v>
      </c>
      <c r="M4917" s="148" t="s">
        <v>185</v>
      </c>
      <c r="N4917" s="261">
        <v>46211.0</v>
      </c>
      <c r="O4917" s="148" t="s">
        <v>67</v>
      </c>
      <c r="P4917" s="148" t="s">
        <v>68</v>
      </c>
      <c r="Q4917" s="103"/>
      <c r="R4917" s="103"/>
      <c r="S4917" s="103"/>
      <c r="T4917" s="103"/>
      <c r="U4917" s="148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1">
        <v>4912.0</v>
      </c>
      <c r="B4918" s="90" t="s">
        <v>8148</v>
      </c>
      <c r="C4918" s="82"/>
      <c r="D4918" s="190" t="s">
        <v>8136</v>
      </c>
      <c r="E4918" s="198" t="s">
        <v>58</v>
      </c>
      <c r="F4918" s="199" t="s">
        <v>8149</v>
      </c>
      <c r="G4918" s="199" t="s">
        <v>8138</v>
      </c>
      <c r="H4918" s="267" t="s">
        <v>8150</v>
      </c>
      <c r="I4918" s="201" t="s">
        <v>8151</v>
      </c>
      <c r="J4918" s="148" t="s">
        <v>74</v>
      </c>
      <c r="K4918" s="148" t="s">
        <v>64</v>
      </c>
      <c r="L4918" s="148" t="s">
        <v>65</v>
      </c>
      <c r="M4918" s="148" t="s">
        <v>185</v>
      </c>
      <c r="N4918" s="261">
        <v>46211.0</v>
      </c>
      <c r="O4918" s="148" t="s">
        <v>67</v>
      </c>
      <c r="P4918" s="148" t="s">
        <v>68</v>
      </c>
      <c r="Q4918" s="103"/>
      <c r="R4918" s="103"/>
      <c r="S4918" s="103"/>
      <c r="T4918" s="103"/>
      <c r="U4918" s="148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1">
        <v>4913.0</v>
      </c>
      <c r="B4919" s="90" t="s">
        <v>8152</v>
      </c>
      <c r="C4919" s="82"/>
      <c r="D4919" s="190" t="s">
        <v>8136</v>
      </c>
      <c r="E4919" s="198" t="s">
        <v>58</v>
      </c>
      <c r="F4919" s="199" t="s">
        <v>8153</v>
      </c>
      <c r="G4919" s="199" t="s">
        <v>8138</v>
      </c>
      <c r="H4919" s="267" t="s">
        <v>8154</v>
      </c>
      <c r="I4919" s="201" t="s">
        <v>8151</v>
      </c>
      <c r="J4919" s="148" t="s">
        <v>74</v>
      </c>
      <c r="K4919" s="148" t="s">
        <v>64</v>
      </c>
      <c r="L4919" s="148" t="s">
        <v>65</v>
      </c>
      <c r="M4919" s="148" t="s">
        <v>185</v>
      </c>
      <c r="N4919" s="261">
        <v>46211.0</v>
      </c>
      <c r="O4919" s="148" t="s">
        <v>67</v>
      </c>
      <c r="P4919" s="148" t="s">
        <v>68</v>
      </c>
      <c r="Q4919" s="103"/>
      <c r="R4919" s="103"/>
      <c r="S4919" s="103"/>
      <c r="T4919" s="103"/>
      <c r="U4919" s="148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1">
        <v>4914.0</v>
      </c>
      <c r="B4920" s="90" t="s">
        <v>8155</v>
      </c>
      <c r="C4920" s="82"/>
      <c r="D4920" s="190" t="s">
        <v>8136</v>
      </c>
      <c r="E4920" s="198" t="s">
        <v>58</v>
      </c>
      <c r="F4920" s="199" t="s">
        <v>8137</v>
      </c>
      <c r="G4920" s="199" t="s">
        <v>8138</v>
      </c>
      <c r="H4920" s="267" t="s">
        <v>8139</v>
      </c>
      <c r="I4920" s="201" t="s">
        <v>8156</v>
      </c>
      <c r="J4920" s="148" t="s">
        <v>74</v>
      </c>
      <c r="K4920" s="148" t="s">
        <v>64</v>
      </c>
      <c r="L4920" s="148" t="s">
        <v>65</v>
      </c>
      <c r="M4920" s="148" t="s">
        <v>185</v>
      </c>
      <c r="N4920" s="261">
        <v>46211.0</v>
      </c>
      <c r="O4920" s="148" t="s">
        <v>67</v>
      </c>
      <c r="P4920" s="148" t="s">
        <v>68</v>
      </c>
      <c r="Q4920" s="103"/>
      <c r="R4920" s="103"/>
      <c r="S4920" s="103"/>
      <c r="T4920" s="103"/>
      <c r="U4920" s="148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1">
        <v>4915.0</v>
      </c>
      <c r="B4921" s="90" t="s">
        <v>8157</v>
      </c>
      <c r="C4921" s="82"/>
      <c r="D4921" s="190" t="s">
        <v>8136</v>
      </c>
      <c r="E4921" s="198" t="s">
        <v>58</v>
      </c>
      <c r="F4921" s="199" t="s">
        <v>8142</v>
      </c>
      <c r="G4921" s="199" t="s">
        <v>8138</v>
      </c>
      <c r="H4921" s="267" t="s">
        <v>8143</v>
      </c>
      <c r="I4921" s="201" t="s">
        <v>8158</v>
      </c>
      <c r="J4921" s="148" t="s">
        <v>74</v>
      </c>
      <c r="K4921" s="148" t="s">
        <v>64</v>
      </c>
      <c r="L4921" s="148" t="s">
        <v>65</v>
      </c>
      <c r="M4921" s="148" t="s">
        <v>185</v>
      </c>
      <c r="N4921" s="261">
        <v>46211.0</v>
      </c>
      <c r="O4921" s="148" t="s">
        <v>67</v>
      </c>
      <c r="P4921" s="148" t="s">
        <v>68</v>
      </c>
      <c r="Q4921" s="103"/>
      <c r="R4921" s="103"/>
      <c r="S4921" s="103"/>
      <c r="T4921" s="103"/>
      <c r="U4921" s="148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1">
        <v>4916.0</v>
      </c>
      <c r="B4922" s="90" t="s">
        <v>8159</v>
      </c>
      <c r="C4922" s="82"/>
      <c r="D4922" s="190" t="s">
        <v>8136</v>
      </c>
      <c r="E4922" s="198" t="s">
        <v>58</v>
      </c>
      <c r="F4922" s="199" t="s">
        <v>8146</v>
      </c>
      <c r="G4922" s="199" t="s">
        <v>8138</v>
      </c>
      <c r="H4922" s="267" t="s">
        <v>8147</v>
      </c>
      <c r="I4922" s="201" t="s">
        <v>8158</v>
      </c>
      <c r="J4922" s="148" t="s">
        <v>74</v>
      </c>
      <c r="K4922" s="148" t="s">
        <v>64</v>
      </c>
      <c r="L4922" s="148" t="s">
        <v>65</v>
      </c>
      <c r="M4922" s="148" t="s">
        <v>185</v>
      </c>
      <c r="N4922" s="261">
        <v>46211.0</v>
      </c>
      <c r="O4922" s="148" t="s">
        <v>67</v>
      </c>
      <c r="P4922" s="148" t="s">
        <v>68</v>
      </c>
      <c r="Q4922" s="103"/>
      <c r="R4922" s="103"/>
      <c r="S4922" s="103"/>
      <c r="T4922" s="103"/>
      <c r="U4922" s="148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1">
        <v>4917.0</v>
      </c>
      <c r="B4923" s="90" t="s">
        <v>8160</v>
      </c>
      <c r="C4923" s="82"/>
      <c r="D4923" s="190" t="s">
        <v>8136</v>
      </c>
      <c r="E4923" s="198" t="s">
        <v>58</v>
      </c>
      <c r="F4923" s="199" t="s">
        <v>8149</v>
      </c>
      <c r="G4923" s="199" t="s">
        <v>8138</v>
      </c>
      <c r="H4923" s="267" t="s">
        <v>8150</v>
      </c>
      <c r="I4923" s="201" t="s">
        <v>8161</v>
      </c>
      <c r="J4923" s="148" t="s">
        <v>74</v>
      </c>
      <c r="K4923" s="148" t="s">
        <v>64</v>
      </c>
      <c r="L4923" s="148" t="s">
        <v>65</v>
      </c>
      <c r="M4923" s="148" t="s">
        <v>185</v>
      </c>
      <c r="N4923" s="261">
        <v>46211.0</v>
      </c>
      <c r="O4923" s="148" t="s">
        <v>67</v>
      </c>
      <c r="P4923" s="148" t="s">
        <v>68</v>
      </c>
      <c r="Q4923" s="103"/>
      <c r="R4923" s="103"/>
      <c r="S4923" s="103"/>
      <c r="T4923" s="103"/>
      <c r="U4923" s="148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1">
        <v>4918.0</v>
      </c>
      <c r="B4924" s="90" t="s">
        <v>8162</v>
      </c>
      <c r="C4924" s="82"/>
      <c r="D4924" s="190" t="s">
        <v>8136</v>
      </c>
      <c r="E4924" s="198" t="s">
        <v>58</v>
      </c>
      <c r="F4924" s="199" t="s">
        <v>8153</v>
      </c>
      <c r="G4924" s="199" t="s">
        <v>8138</v>
      </c>
      <c r="H4924" s="267" t="s">
        <v>8154</v>
      </c>
      <c r="I4924" s="201" t="s">
        <v>8161</v>
      </c>
      <c r="J4924" s="148" t="s">
        <v>74</v>
      </c>
      <c r="K4924" s="148" t="s">
        <v>64</v>
      </c>
      <c r="L4924" s="148" t="s">
        <v>65</v>
      </c>
      <c r="M4924" s="148" t="s">
        <v>185</v>
      </c>
      <c r="N4924" s="261">
        <v>46211.0</v>
      </c>
      <c r="O4924" s="148" t="s">
        <v>67</v>
      </c>
      <c r="P4924" s="148" t="s">
        <v>68</v>
      </c>
      <c r="Q4924" s="103"/>
      <c r="R4924" s="103"/>
      <c r="S4924" s="103"/>
      <c r="T4924" s="103"/>
      <c r="U4924" s="148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1">
        <v>4919.0</v>
      </c>
      <c r="B4925" s="90" t="s">
        <v>8163</v>
      </c>
      <c r="C4925" s="82"/>
      <c r="D4925" s="190" t="s">
        <v>8136</v>
      </c>
      <c r="E4925" s="198" t="s">
        <v>58</v>
      </c>
      <c r="F4925" s="199" t="s">
        <v>8137</v>
      </c>
      <c r="G4925" s="199" t="s">
        <v>8138</v>
      </c>
      <c r="H4925" s="267" t="s">
        <v>8139</v>
      </c>
      <c r="I4925" s="201" t="s">
        <v>8164</v>
      </c>
      <c r="J4925" s="148" t="s">
        <v>63</v>
      </c>
      <c r="K4925" s="148" t="s">
        <v>64</v>
      </c>
      <c r="L4925" s="148" t="s">
        <v>65</v>
      </c>
      <c r="M4925" s="148" t="s">
        <v>185</v>
      </c>
      <c r="N4925" s="261">
        <v>46211.0</v>
      </c>
      <c r="O4925" s="148" t="s">
        <v>67</v>
      </c>
      <c r="P4925" s="148" t="s">
        <v>68</v>
      </c>
      <c r="Q4925" s="103"/>
      <c r="R4925" s="103"/>
      <c r="S4925" s="103"/>
      <c r="T4925" s="103"/>
      <c r="U4925" s="148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1">
        <v>4920.0</v>
      </c>
      <c r="B4926" s="90" t="s">
        <v>8165</v>
      </c>
      <c r="C4926" s="82"/>
      <c r="D4926" s="190" t="s">
        <v>8136</v>
      </c>
      <c r="E4926" s="198" t="s">
        <v>58</v>
      </c>
      <c r="F4926" s="199" t="s">
        <v>8149</v>
      </c>
      <c r="G4926" s="199" t="s">
        <v>8138</v>
      </c>
      <c r="H4926" s="267" t="s">
        <v>8150</v>
      </c>
      <c r="I4926" s="201" t="s">
        <v>8166</v>
      </c>
      <c r="J4926" s="148" t="s">
        <v>63</v>
      </c>
      <c r="K4926" s="148" t="s">
        <v>64</v>
      </c>
      <c r="L4926" s="148" t="s">
        <v>65</v>
      </c>
      <c r="M4926" s="148" t="s">
        <v>185</v>
      </c>
      <c r="N4926" s="261">
        <v>46211.0</v>
      </c>
      <c r="O4926" s="148" t="s">
        <v>67</v>
      </c>
      <c r="P4926" s="148" t="s">
        <v>68</v>
      </c>
      <c r="Q4926" s="103"/>
      <c r="R4926" s="103"/>
      <c r="S4926" s="103"/>
      <c r="T4926" s="103"/>
      <c r="U4926" s="148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1">
        <v>4921.0</v>
      </c>
      <c r="B4927" s="90" t="s">
        <v>8167</v>
      </c>
      <c r="C4927" s="82"/>
      <c r="D4927" s="190" t="s">
        <v>8136</v>
      </c>
      <c r="E4927" s="198" t="s">
        <v>58</v>
      </c>
      <c r="F4927" s="199" t="s">
        <v>8153</v>
      </c>
      <c r="G4927" s="199" t="s">
        <v>8138</v>
      </c>
      <c r="H4927" s="267" t="s">
        <v>8154</v>
      </c>
      <c r="I4927" s="201" t="s">
        <v>8168</v>
      </c>
      <c r="J4927" s="148" t="s">
        <v>63</v>
      </c>
      <c r="K4927" s="148" t="s">
        <v>64</v>
      </c>
      <c r="L4927" s="148" t="s">
        <v>65</v>
      </c>
      <c r="M4927" s="148" t="s">
        <v>185</v>
      </c>
      <c r="N4927" s="261">
        <v>46211.0</v>
      </c>
      <c r="O4927" s="148" t="s">
        <v>67</v>
      </c>
      <c r="P4927" s="148" t="s">
        <v>68</v>
      </c>
      <c r="Q4927" s="103"/>
      <c r="R4927" s="103"/>
      <c r="S4927" s="103"/>
      <c r="T4927" s="103"/>
      <c r="U4927" s="148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1">
        <v>4922.0</v>
      </c>
      <c r="B4928" s="90" t="s">
        <v>8169</v>
      </c>
      <c r="C4928" s="82"/>
      <c r="D4928" s="190" t="s">
        <v>8170</v>
      </c>
      <c r="E4928" s="198" t="s">
        <v>58</v>
      </c>
      <c r="F4928" s="199" t="s">
        <v>8171</v>
      </c>
      <c r="G4928" s="199" t="s">
        <v>8138</v>
      </c>
      <c r="H4928" s="268" t="s">
        <v>8172</v>
      </c>
      <c r="I4928" s="197" t="s">
        <v>6046</v>
      </c>
      <c r="J4928" s="148" t="s">
        <v>108</v>
      </c>
      <c r="K4928" s="148" t="s">
        <v>64</v>
      </c>
      <c r="L4928" s="148" t="s">
        <v>65</v>
      </c>
      <c r="M4928" s="148" t="s">
        <v>185</v>
      </c>
      <c r="N4928" s="261">
        <v>46211.0</v>
      </c>
      <c r="O4928" s="148" t="s">
        <v>67</v>
      </c>
      <c r="P4928" s="148" t="s">
        <v>68</v>
      </c>
      <c r="Q4928" s="103"/>
      <c r="R4928" s="103"/>
      <c r="S4928" s="103"/>
      <c r="T4928" s="103"/>
      <c r="U4928" s="148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1">
        <v>4923.0</v>
      </c>
      <c r="B4929" s="90" t="s">
        <v>8173</v>
      </c>
      <c r="C4929" s="82"/>
      <c r="D4929" s="190" t="s">
        <v>8170</v>
      </c>
      <c r="E4929" s="198" t="s">
        <v>58</v>
      </c>
      <c r="F4929" s="199" t="s">
        <v>8171</v>
      </c>
      <c r="G4929" s="199" t="s">
        <v>8138</v>
      </c>
      <c r="H4929" s="269" t="s">
        <v>222</v>
      </c>
      <c r="I4929" s="197" t="s">
        <v>8174</v>
      </c>
      <c r="J4929" s="148" t="s">
        <v>108</v>
      </c>
      <c r="K4929" s="148" t="s">
        <v>64</v>
      </c>
      <c r="L4929" s="148" t="s">
        <v>65</v>
      </c>
      <c r="M4929" s="148" t="s">
        <v>185</v>
      </c>
      <c r="N4929" s="261">
        <v>46211.0</v>
      </c>
      <c r="O4929" s="148" t="s">
        <v>67</v>
      </c>
      <c r="P4929" s="148" t="s">
        <v>68</v>
      </c>
      <c r="Q4929" s="103"/>
      <c r="R4929" s="103"/>
      <c r="S4929" s="103"/>
      <c r="T4929" s="103"/>
      <c r="U4929" s="148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1">
        <v>4924.0</v>
      </c>
      <c r="B4930" s="90" t="s">
        <v>8175</v>
      </c>
      <c r="C4930" s="82"/>
      <c r="D4930" s="190" t="s">
        <v>8170</v>
      </c>
      <c r="E4930" s="198" t="s">
        <v>58</v>
      </c>
      <c r="F4930" s="199" t="s">
        <v>8171</v>
      </c>
      <c r="G4930" s="199" t="s">
        <v>8138</v>
      </c>
      <c r="H4930" s="269" t="s">
        <v>439</v>
      </c>
      <c r="I4930" s="197" t="s">
        <v>8174</v>
      </c>
      <c r="J4930" s="148" t="s">
        <v>108</v>
      </c>
      <c r="K4930" s="148" t="s">
        <v>64</v>
      </c>
      <c r="L4930" s="148" t="s">
        <v>65</v>
      </c>
      <c r="M4930" s="148" t="s">
        <v>185</v>
      </c>
      <c r="N4930" s="261">
        <v>46211.0</v>
      </c>
      <c r="O4930" s="148" t="s">
        <v>67</v>
      </c>
      <c r="P4930" s="148" t="s">
        <v>68</v>
      </c>
      <c r="Q4930" s="103"/>
      <c r="R4930" s="103"/>
      <c r="S4930" s="103"/>
      <c r="T4930" s="103"/>
      <c r="U4930" s="148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1">
        <v>4925.0</v>
      </c>
      <c r="B4931" s="90" t="s">
        <v>8176</v>
      </c>
      <c r="C4931" s="82"/>
      <c r="D4931" s="190" t="s">
        <v>8170</v>
      </c>
      <c r="E4931" s="198" t="s">
        <v>58</v>
      </c>
      <c r="F4931" s="199" t="s">
        <v>8171</v>
      </c>
      <c r="G4931" s="199" t="s">
        <v>8138</v>
      </c>
      <c r="H4931" s="269" t="s">
        <v>448</v>
      </c>
      <c r="I4931" s="197" t="s">
        <v>8174</v>
      </c>
      <c r="J4931" s="148" t="s">
        <v>108</v>
      </c>
      <c r="K4931" s="148" t="s">
        <v>64</v>
      </c>
      <c r="L4931" s="148" t="s">
        <v>65</v>
      </c>
      <c r="M4931" s="148" t="s">
        <v>185</v>
      </c>
      <c r="N4931" s="261">
        <v>46211.0</v>
      </c>
      <c r="O4931" s="148" t="s">
        <v>67</v>
      </c>
      <c r="P4931" s="148" t="s">
        <v>68</v>
      </c>
      <c r="Q4931" s="103"/>
      <c r="R4931" s="103"/>
      <c r="S4931" s="103"/>
      <c r="T4931" s="103"/>
      <c r="U4931" s="148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1">
        <v>4926.0</v>
      </c>
      <c r="B4932" s="90" t="s">
        <v>8177</v>
      </c>
      <c r="C4932" s="82"/>
      <c r="D4932" s="190" t="s">
        <v>8170</v>
      </c>
      <c r="E4932" s="198" t="s">
        <v>58</v>
      </c>
      <c r="F4932" s="199" t="s">
        <v>8171</v>
      </c>
      <c r="G4932" s="199" t="s">
        <v>8138</v>
      </c>
      <c r="H4932" s="269" t="s">
        <v>457</v>
      </c>
      <c r="I4932" s="197" t="s">
        <v>8174</v>
      </c>
      <c r="J4932" s="148" t="s">
        <v>108</v>
      </c>
      <c r="K4932" s="148" t="s">
        <v>64</v>
      </c>
      <c r="L4932" s="148" t="s">
        <v>65</v>
      </c>
      <c r="M4932" s="148" t="s">
        <v>185</v>
      </c>
      <c r="N4932" s="261">
        <v>46211.0</v>
      </c>
      <c r="O4932" s="148" t="s">
        <v>67</v>
      </c>
      <c r="P4932" s="148" t="s">
        <v>68</v>
      </c>
      <c r="Q4932" s="103"/>
      <c r="R4932" s="103"/>
      <c r="S4932" s="103"/>
      <c r="T4932" s="103"/>
      <c r="U4932" s="148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1">
        <v>4927.0</v>
      </c>
      <c r="B4933" s="90" t="s">
        <v>8178</v>
      </c>
      <c r="C4933" s="82" t="str">
        <f>VLOOKUP($B$7:$B$5000,SUM!$L$6:$L$500,1,FALSE)</f>
        <v>#N/A</v>
      </c>
      <c r="D4933" s="190" t="s">
        <v>8170</v>
      </c>
      <c r="E4933" s="198" t="s">
        <v>58</v>
      </c>
      <c r="F4933" s="199" t="s">
        <v>8171</v>
      </c>
      <c r="G4933" s="199" t="s">
        <v>8138</v>
      </c>
      <c r="H4933" s="268" t="s">
        <v>8172</v>
      </c>
      <c r="I4933" s="197" t="s">
        <v>8179</v>
      </c>
      <c r="J4933" s="148" t="s">
        <v>108</v>
      </c>
      <c r="K4933" s="148" t="s">
        <v>64</v>
      </c>
      <c r="L4933" s="148" t="s">
        <v>65</v>
      </c>
      <c r="M4933" s="148" t="s">
        <v>185</v>
      </c>
      <c r="N4933" s="261">
        <v>46211.0</v>
      </c>
      <c r="O4933" s="148" t="s">
        <v>67</v>
      </c>
      <c r="P4933" s="148" t="s">
        <v>68</v>
      </c>
      <c r="Q4933" s="103"/>
      <c r="R4933" s="103"/>
      <c r="S4933" s="103"/>
      <c r="T4933" s="103"/>
      <c r="U4933" s="148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1">
        <v>4928.0</v>
      </c>
      <c r="B4934" s="90" t="s">
        <v>8180</v>
      </c>
      <c r="C4934" s="82" t="str">
        <f>VLOOKUP($B$7:$B$5000,SUM!$L$6:$L$500,1,FALSE)</f>
        <v>#N/A</v>
      </c>
      <c r="D4934" s="190" t="s">
        <v>8170</v>
      </c>
      <c r="E4934" s="198" t="s">
        <v>58</v>
      </c>
      <c r="F4934" s="199" t="s">
        <v>8171</v>
      </c>
      <c r="G4934" s="199" t="s">
        <v>8138</v>
      </c>
      <c r="H4934" s="269" t="s">
        <v>222</v>
      </c>
      <c r="I4934" s="197" t="s">
        <v>8181</v>
      </c>
      <c r="J4934" s="148" t="s">
        <v>108</v>
      </c>
      <c r="K4934" s="148" t="s">
        <v>64</v>
      </c>
      <c r="L4934" s="148" t="s">
        <v>65</v>
      </c>
      <c r="M4934" s="148" t="s">
        <v>185</v>
      </c>
      <c r="N4934" s="261">
        <v>46211.0</v>
      </c>
      <c r="O4934" s="148" t="s">
        <v>67</v>
      </c>
      <c r="P4934" s="148" t="s">
        <v>68</v>
      </c>
      <c r="Q4934" s="103"/>
      <c r="R4934" s="103"/>
      <c r="S4934" s="103"/>
      <c r="T4934" s="103"/>
      <c r="U4934" s="148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1">
        <v>4929.0</v>
      </c>
      <c r="B4935" s="90" t="s">
        <v>8182</v>
      </c>
      <c r="C4935" s="82" t="str">
        <f>VLOOKUP($B$7:$B$5000,SUM!$L$6:$L$500,1,FALSE)</f>
        <v>#N/A</v>
      </c>
      <c r="D4935" s="190" t="s">
        <v>8170</v>
      </c>
      <c r="E4935" s="198" t="s">
        <v>58</v>
      </c>
      <c r="F4935" s="199" t="s">
        <v>8171</v>
      </c>
      <c r="G4935" s="199" t="s">
        <v>8138</v>
      </c>
      <c r="H4935" s="269" t="s">
        <v>439</v>
      </c>
      <c r="I4935" s="197" t="s">
        <v>8181</v>
      </c>
      <c r="J4935" s="148" t="s">
        <v>108</v>
      </c>
      <c r="K4935" s="148" t="s">
        <v>64</v>
      </c>
      <c r="L4935" s="148" t="s">
        <v>65</v>
      </c>
      <c r="M4935" s="148" t="s">
        <v>185</v>
      </c>
      <c r="N4935" s="261">
        <v>46211.0</v>
      </c>
      <c r="O4935" s="148" t="s">
        <v>67</v>
      </c>
      <c r="P4935" s="148" t="s">
        <v>68</v>
      </c>
      <c r="Q4935" s="103"/>
      <c r="R4935" s="103"/>
      <c r="S4935" s="103"/>
      <c r="T4935" s="103"/>
      <c r="U4935" s="148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1">
        <v>4930.0</v>
      </c>
      <c r="B4936" s="90" t="s">
        <v>8183</v>
      </c>
      <c r="C4936" s="82" t="str">
        <f>VLOOKUP($B$7:$B$5000,SUM!$L$6:$L$500,1,FALSE)</f>
        <v>#N/A</v>
      </c>
      <c r="D4936" s="190" t="s">
        <v>8170</v>
      </c>
      <c r="E4936" s="198" t="s">
        <v>58</v>
      </c>
      <c r="F4936" s="199" t="s">
        <v>8171</v>
      </c>
      <c r="G4936" s="199" t="s">
        <v>8138</v>
      </c>
      <c r="H4936" s="269" t="s">
        <v>448</v>
      </c>
      <c r="I4936" s="197" t="s">
        <v>8181</v>
      </c>
      <c r="J4936" s="148" t="s">
        <v>108</v>
      </c>
      <c r="K4936" s="148" t="s">
        <v>64</v>
      </c>
      <c r="L4936" s="148" t="s">
        <v>65</v>
      </c>
      <c r="M4936" s="148" t="s">
        <v>185</v>
      </c>
      <c r="N4936" s="261">
        <v>46211.0</v>
      </c>
      <c r="O4936" s="148" t="s">
        <v>67</v>
      </c>
      <c r="P4936" s="148" t="s">
        <v>68</v>
      </c>
      <c r="Q4936" s="103"/>
      <c r="R4936" s="103"/>
      <c r="S4936" s="103"/>
      <c r="T4936" s="103"/>
      <c r="U4936" s="148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1">
        <v>4931.0</v>
      </c>
      <c r="B4937" s="90" t="s">
        <v>8184</v>
      </c>
      <c r="C4937" s="82" t="str">
        <f>VLOOKUP($B$7:$B$5000,SUM!$L$6:$L$500,1,FALSE)</f>
        <v>#N/A</v>
      </c>
      <c r="D4937" s="190" t="s">
        <v>8170</v>
      </c>
      <c r="E4937" s="198" t="s">
        <v>58</v>
      </c>
      <c r="F4937" s="199" t="s">
        <v>8171</v>
      </c>
      <c r="G4937" s="199" t="s">
        <v>8138</v>
      </c>
      <c r="H4937" s="269" t="s">
        <v>457</v>
      </c>
      <c r="I4937" s="197" t="s">
        <v>8181</v>
      </c>
      <c r="J4937" s="148" t="s">
        <v>108</v>
      </c>
      <c r="K4937" s="148" t="s">
        <v>64</v>
      </c>
      <c r="L4937" s="148" t="s">
        <v>65</v>
      </c>
      <c r="M4937" s="148" t="s">
        <v>185</v>
      </c>
      <c r="N4937" s="261">
        <v>46211.0</v>
      </c>
      <c r="O4937" s="148" t="s">
        <v>67</v>
      </c>
      <c r="P4937" s="148" t="s">
        <v>68</v>
      </c>
      <c r="Q4937" s="103"/>
      <c r="R4937" s="103"/>
      <c r="S4937" s="103"/>
      <c r="T4937" s="103"/>
      <c r="U4937" s="148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1">
        <v>4932.0</v>
      </c>
      <c r="B4938" s="90" t="s">
        <v>8185</v>
      </c>
      <c r="C4938" s="82" t="str">
        <f>VLOOKUP($B$7:$B$5000,SUM!$L$6:$L$500,1,FALSE)</f>
        <v>#N/A</v>
      </c>
      <c r="D4938" s="190" t="s">
        <v>8186</v>
      </c>
      <c r="E4938" s="198" t="s">
        <v>58</v>
      </c>
      <c r="F4938" s="199" t="s">
        <v>105</v>
      </c>
      <c r="G4938" s="191" t="s">
        <v>1871</v>
      </c>
      <c r="H4938" s="199" t="s">
        <v>8187</v>
      </c>
      <c r="I4938" s="197" t="s">
        <v>8188</v>
      </c>
      <c r="J4938" s="148" t="s">
        <v>63</v>
      </c>
      <c r="K4938" s="148" t="s">
        <v>64</v>
      </c>
      <c r="L4938" s="148" t="s">
        <v>65</v>
      </c>
      <c r="M4938" s="148" t="s">
        <v>185</v>
      </c>
      <c r="N4938" s="212">
        <v>46212.0</v>
      </c>
      <c r="O4938" s="148" t="s">
        <v>67</v>
      </c>
      <c r="P4938" s="148" t="s">
        <v>68</v>
      </c>
      <c r="Q4938" s="103"/>
      <c r="R4938" s="103"/>
      <c r="S4938" s="103"/>
      <c r="T4938" s="103"/>
      <c r="U4938" s="148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1">
        <v>4933.0</v>
      </c>
      <c r="B4939" s="90" t="s">
        <v>8189</v>
      </c>
      <c r="C4939" s="82" t="str">
        <f>VLOOKUP($B$7:$B$5000,SUM!$L$6:$L$500,1,FALSE)</f>
        <v>#N/A</v>
      </c>
      <c r="D4939" s="190" t="s">
        <v>8186</v>
      </c>
      <c r="E4939" s="198" t="s">
        <v>58</v>
      </c>
      <c r="F4939" s="199" t="s">
        <v>105</v>
      </c>
      <c r="G4939" s="191" t="s">
        <v>1871</v>
      </c>
      <c r="H4939" s="199" t="s">
        <v>8190</v>
      </c>
      <c r="I4939" s="197" t="s">
        <v>8191</v>
      </c>
      <c r="J4939" s="148" t="s">
        <v>63</v>
      </c>
      <c r="K4939" s="148" t="s">
        <v>64</v>
      </c>
      <c r="L4939" s="148" t="s">
        <v>65</v>
      </c>
      <c r="M4939" s="148" t="s">
        <v>185</v>
      </c>
      <c r="N4939" s="212">
        <v>46212.0</v>
      </c>
      <c r="O4939" s="148" t="s">
        <v>67</v>
      </c>
      <c r="P4939" s="148" t="s">
        <v>68</v>
      </c>
      <c r="Q4939" s="103"/>
      <c r="R4939" s="103"/>
      <c r="S4939" s="103"/>
      <c r="T4939" s="103"/>
      <c r="U4939" s="148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1">
        <v>4934.0</v>
      </c>
      <c r="B4940" s="90" t="s">
        <v>8192</v>
      </c>
      <c r="C4940" s="82" t="str">
        <f>VLOOKUP($B$7:$B$5000,SUM!$L$6:$L$500,1,FALSE)</f>
        <v>#N/A</v>
      </c>
      <c r="D4940" s="190" t="s">
        <v>8186</v>
      </c>
      <c r="E4940" s="198" t="s">
        <v>58</v>
      </c>
      <c r="F4940" s="199" t="s">
        <v>105</v>
      </c>
      <c r="G4940" s="191" t="s">
        <v>1871</v>
      </c>
      <c r="H4940" s="199" t="s">
        <v>8193</v>
      </c>
      <c r="I4940" s="197" t="s">
        <v>8191</v>
      </c>
      <c r="J4940" s="148" t="s">
        <v>63</v>
      </c>
      <c r="K4940" s="148" t="s">
        <v>64</v>
      </c>
      <c r="L4940" s="148" t="s">
        <v>65</v>
      </c>
      <c r="M4940" s="148" t="s">
        <v>185</v>
      </c>
      <c r="N4940" s="212">
        <v>46212.0</v>
      </c>
      <c r="O4940" s="148" t="s">
        <v>67</v>
      </c>
      <c r="P4940" s="148" t="s">
        <v>68</v>
      </c>
      <c r="Q4940" s="103"/>
      <c r="R4940" s="103"/>
      <c r="S4940" s="103"/>
      <c r="T4940" s="103"/>
      <c r="U4940" s="148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1">
        <v>4935.0</v>
      </c>
      <c r="B4941" s="90" t="s">
        <v>8194</v>
      </c>
      <c r="C4941" s="82" t="str">
        <f>VLOOKUP($B$7:$B$5000,SUM!$L$6:$L$500,1,FALSE)</f>
        <v>#N/A</v>
      </c>
      <c r="D4941" s="190" t="s">
        <v>8186</v>
      </c>
      <c r="E4941" s="198" t="s">
        <v>58</v>
      </c>
      <c r="F4941" s="199" t="s">
        <v>105</v>
      </c>
      <c r="G4941" s="191" t="s">
        <v>1871</v>
      </c>
      <c r="H4941" s="199" t="s">
        <v>8195</v>
      </c>
      <c r="I4941" s="197" t="s">
        <v>8191</v>
      </c>
      <c r="J4941" s="148" t="s">
        <v>63</v>
      </c>
      <c r="K4941" s="148" t="s">
        <v>64</v>
      </c>
      <c r="L4941" s="148" t="s">
        <v>65</v>
      </c>
      <c r="M4941" s="148" t="s">
        <v>185</v>
      </c>
      <c r="N4941" s="212">
        <v>46212.0</v>
      </c>
      <c r="O4941" s="148" t="s">
        <v>67</v>
      </c>
      <c r="P4941" s="148" t="s">
        <v>68</v>
      </c>
      <c r="Q4941" s="103"/>
      <c r="R4941" s="103"/>
      <c r="S4941" s="103"/>
      <c r="T4941" s="103"/>
      <c r="U4941" s="148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1">
        <v>4936.0</v>
      </c>
      <c r="B4942" s="90" t="s">
        <v>8196</v>
      </c>
      <c r="C4942" s="82" t="str">
        <f>VLOOKUP($B$7:$B$5000,SUM!$L$6:$L$500,1,FALSE)</f>
        <v>#N/A</v>
      </c>
      <c r="D4942" s="190" t="s">
        <v>8186</v>
      </c>
      <c r="E4942" s="198" t="s">
        <v>58</v>
      </c>
      <c r="F4942" s="199" t="s">
        <v>105</v>
      </c>
      <c r="G4942" s="191" t="s">
        <v>1871</v>
      </c>
      <c r="H4942" s="199" t="s">
        <v>8197</v>
      </c>
      <c r="I4942" s="197" t="s">
        <v>8198</v>
      </c>
      <c r="J4942" s="148" t="s">
        <v>63</v>
      </c>
      <c r="K4942" s="148" t="s">
        <v>64</v>
      </c>
      <c r="L4942" s="148" t="s">
        <v>65</v>
      </c>
      <c r="M4942" s="148" t="s">
        <v>185</v>
      </c>
      <c r="N4942" s="212">
        <v>46212.0</v>
      </c>
      <c r="O4942" s="148" t="s">
        <v>67</v>
      </c>
      <c r="P4942" s="148" t="s">
        <v>68</v>
      </c>
      <c r="Q4942" s="103"/>
      <c r="R4942" s="103"/>
      <c r="S4942" s="103"/>
      <c r="T4942" s="103"/>
      <c r="U4942" s="148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1">
        <v>4937.0</v>
      </c>
      <c r="B4943" s="90" t="s">
        <v>8199</v>
      </c>
      <c r="C4943" s="82" t="str">
        <f>VLOOKUP($B$7:$B$5000,SUM!$L$6:$L$500,1,FALSE)</f>
        <v>#N/A</v>
      </c>
      <c r="D4943" s="190" t="s">
        <v>8186</v>
      </c>
      <c r="E4943" s="198" t="s">
        <v>58</v>
      </c>
      <c r="F4943" s="199" t="s">
        <v>105</v>
      </c>
      <c r="G4943" s="191" t="s">
        <v>1871</v>
      </c>
      <c r="H4943" s="199" t="s">
        <v>8200</v>
      </c>
      <c r="I4943" s="197" t="s">
        <v>8198</v>
      </c>
      <c r="J4943" s="148" t="s">
        <v>63</v>
      </c>
      <c r="K4943" s="148" t="s">
        <v>64</v>
      </c>
      <c r="L4943" s="148" t="s">
        <v>65</v>
      </c>
      <c r="M4943" s="148" t="s">
        <v>185</v>
      </c>
      <c r="N4943" s="212">
        <v>46212.0</v>
      </c>
      <c r="O4943" s="148" t="s">
        <v>67</v>
      </c>
      <c r="P4943" s="148" t="s">
        <v>68</v>
      </c>
      <c r="Q4943" s="103"/>
      <c r="R4943" s="103"/>
      <c r="S4943" s="103"/>
      <c r="T4943" s="103"/>
      <c r="U4943" s="148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1">
        <v>4938.0</v>
      </c>
      <c r="B4944" s="90" t="s">
        <v>8201</v>
      </c>
      <c r="C4944" s="82" t="str">
        <f>VLOOKUP($B$7:$B$5000,SUM!$L$6:$L$500,1,FALSE)</f>
        <v>#N/A</v>
      </c>
      <c r="D4944" s="190" t="s">
        <v>8186</v>
      </c>
      <c r="E4944" s="198" t="s">
        <v>58</v>
      </c>
      <c r="F4944" s="199" t="s">
        <v>105</v>
      </c>
      <c r="G4944" s="191" t="s">
        <v>1871</v>
      </c>
      <c r="H4944" s="199" t="s">
        <v>8202</v>
      </c>
      <c r="I4944" s="197" t="s">
        <v>8191</v>
      </c>
      <c r="J4944" s="148" t="s">
        <v>63</v>
      </c>
      <c r="K4944" s="148" t="s">
        <v>64</v>
      </c>
      <c r="L4944" s="148" t="s">
        <v>65</v>
      </c>
      <c r="M4944" s="148" t="s">
        <v>185</v>
      </c>
      <c r="N4944" s="212">
        <v>46212.0</v>
      </c>
      <c r="O4944" s="148" t="s">
        <v>67</v>
      </c>
      <c r="P4944" s="148" t="s">
        <v>68</v>
      </c>
      <c r="Q4944" s="103"/>
      <c r="R4944" s="103"/>
      <c r="S4944" s="103"/>
      <c r="T4944" s="103"/>
      <c r="U4944" s="148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1">
        <v>4939.0</v>
      </c>
      <c r="B4945" s="90" t="s">
        <v>8203</v>
      </c>
      <c r="C4945" s="82" t="str">
        <f>VLOOKUP($B$7:$B$5000,SUM!$L$6:$L$500,1,FALSE)</f>
        <v>#N/A</v>
      </c>
      <c r="D4945" s="190" t="s">
        <v>8186</v>
      </c>
      <c r="E4945" s="198" t="s">
        <v>58</v>
      </c>
      <c r="F4945" s="199" t="s">
        <v>105</v>
      </c>
      <c r="G4945" s="191" t="s">
        <v>1871</v>
      </c>
      <c r="H4945" s="199" t="s">
        <v>8204</v>
      </c>
      <c r="I4945" s="197" t="s">
        <v>8198</v>
      </c>
      <c r="J4945" s="148" t="s">
        <v>63</v>
      </c>
      <c r="K4945" s="148" t="s">
        <v>64</v>
      </c>
      <c r="L4945" s="148" t="s">
        <v>65</v>
      </c>
      <c r="M4945" s="148" t="s">
        <v>185</v>
      </c>
      <c r="N4945" s="212">
        <v>46212.0</v>
      </c>
      <c r="O4945" s="148" t="s">
        <v>67</v>
      </c>
      <c r="P4945" s="148" t="s">
        <v>68</v>
      </c>
      <c r="Q4945" s="103"/>
      <c r="R4945" s="103"/>
      <c r="S4945" s="103"/>
      <c r="T4945" s="103"/>
      <c r="U4945" s="148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1">
        <v>4940.0</v>
      </c>
      <c r="B4946" s="90" t="s">
        <v>8205</v>
      </c>
      <c r="C4946" s="82" t="str">
        <f>VLOOKUP($B$7:$B$5000,SUM!$L$6:$L$500,1,FALSE)</f>
        <v>#N/A</v>
      </c>
      <c r="D4946" s="190" t="s">
        <v>8186</v>
      </c>
      <c r="E4946" s="198" t="s">
        <v>58</v>
      </c>
      <c r="F4946" s="199" t="s">
        <v>105</v>
      </c>
      <c r="G4946" s="191" t="s">
        <v>1871</v>
      </c>
      <c r="H4946" s="199" t="s">
        <v>8206</v>
      </c>
      <c r="I4946" s="197" t="s">
        <v>8191</v>
      </c>
      <c r="J4946" s="148" t="s">
        <v>63</v>
      </c>
      <c r="K4946" s="148" t="s">
        <v>64</v>
      </c>
      <c r="L4946" s="148" t="s">
        <v>65</v>
      </c>
      <c r="M4946" s="148" t="s">
        <v>185</v>
      </c>
      <c r="N4946" s="212">
        <v>46212.0</v>
      </c>
      <c r="O4946" s="148" t="s">
        <v>67</v>
      </c>
      <c r="P4946" s="148" t="s">
        <v>68</v>
      </c>
      <c r="Q4946" s="103"/>
      <c r="R4946" s="103"/>
      <c r="S4946" s="103"/>
      <c r="T4946" s="103"/>
      <c r="U4946" s="148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1">
        <v>4941.0</v>
      </c>
      <c r="B4947" s="90" t="s">
        <v>8207</v>
      </c>
      <c r="C4947" s="82" t="str">
        <f>VLOOKUP($B$7:$B$5000,SUM!$L$6:$L$500,1,FALSE)</f>
        <v>#N/A</v>
      </c>
      <c r="D4947" s="190" t="s">
        <v>8186</v>
      </c>
      <c r="E4947" s="198" t="s">
        <v>58</v>
      </c>
      <c r="F4947" s="199" t="s">
        <v>105</v>
      </c>
      <c r="G4947" s="191" t="s">
        <v>1871</v>
      </c>
      <c r="H4947" s="199" t="s">
        <v>8208</v>
      </c>
      <c r="I4947" s="197" t="s">
        <v>8198</v>
      </c>
      <c r="J4947" s="148" t="s">
        <v>63</v>
      </c>
      <c r="K4947" s="148" t="s">
        <v>64</v>
      </c>
      <c r="L4947" s="148" t="s">
        <v>65</v>
      </c>
      <c r="M4947" s="148" t="s">
        <v>185</v>
      </c>
      <c r="N4947" s="212">
        <v>46212.0</v>
      </c>
      <c r="O4947" s="148" t="s">
        <v>67</v>
      </c>
      <c r="P4947" s="148" t="s">
        <v>68</v>
      </c>
      <c r="Q4947" s="103"/>
      <c r="R4947" s="103"/>
      <c r="S4947" s="103"/>
      <c r="T4947" s="103"/>
      <c r="U4947" s="148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1">
        <v>4942.0</v>
      </c>
      <c r="B4948" s="90" t="s">
        <v>8209</v>
      </c>
      <c r="C4948" s="82" t="str">
        <f>VLOOKUP($B$7:$B$5000,SUM!$L$6:$L$500,1,FALSE)</f>
        <v>#N/A</v>
      </c>
      <c r="D4948" s="190" t="s">
        <v>8186</v>
      </c>
      <c r="E4948" s="198" t="s">
        <v>58</v>
      </c>
      <c r="F4948" s="199" t="s">
        <v>105</v>
      </c>
      <c r="G4948" s="191" t="s">
        <v>1871</v>
      </c>
      <c r="H4948" s="199" t="s">
        <v>8210</v>
      </c>
      <c r="I4948" s="197" t="s">
        <v>8211</v>
      </c>
      <c r="J4948" s="148" t="s">
        <v>63</v>
      </c>
      <c r="K4948" s="148" t="s">
        <v>64</v>
      </c>
      <c r="L4948" s="148" t="s">
        <v>65</v>
      </c>
      <c r="M4948" s="148" t="s">
        <v>185</v>
      </c>
      <c r="N4948" s="212">
        <v>46212.0</v>
      </c>
      <c r="O4948" s="148" t="s">
        <v>67</v>
      </c>
      <c r="P4948" s="148" t="s">
        <v>68</v>
      </c>
      <c r="Q4948" s="103"/>
      <c r="R4948" s="103"/>
      <c r="S4948" s="103"/>
      <c r="T4948" s="103"/>
      <c r="U4948" s="148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1">
        <v>4943.0</v>
      </c>
      <c r="B4949" s="90" t="s">
        <v>8212</v>
      </c>
      <c r="C4949" s="82" t="str">
        <f>VLOOKUP($B$7:$B$5000,SUM!$L$6:$L$500,1,FALSE)</f>
        <v>#N/A</v>
      </c>
      <c r="D4949" s="190" t="s">
        <v>8186</v>
      </c>
      <c r="E4949" s="198" t="s">
        <v>58</v>
      </c>
      <c r="F4949" s="199" t="s">
        <v>105</v>
      </c>
      <c r="G4949" s="191" t="s">
        <v>1871</v>
      </c>
      <c r="H4949" s="199" t="s">
        <v>8213</v>
      </c>
      <c r="I4949" s="197" t="s">
        <v>8211</v>
      </c>
      <c r="J4949" s="148" t="s">
        <v>63</v>
      </c>
      <c r="K4949" s="148" t="s">
        <v>64</v>
      </c>
      <c r="L4949" s="148" t="s">
        <v>65</v>
      </c>
      <c r="M4949" s="148" t="s">
        <v>185</v>
      </c>
      <c r="N4949" s="212">
        <v>46212.0</v>
      </c>
      <c r="O4949" s="148" t="s">
        <v>67</v>
      </c>
      <c r="P4949" s="148" t="s">
        <v>68</v>
      </c>
      <c r="Q4949" s="103"/>
      <c r="R4949" s="103"/>
      <c r="S4949" s="103"/>
      <c r="T4949" s="103"/>
      <c r="U4949" s="148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1">
        <v>4944.0</v>
      </c>
      <c r="B4950" s="90" t="s">
        <v>8214</v>
      </c>
      <c r="C4950" s="82" t="str">
        <f>VLOOKUP($B$7:$B$5000,SUM!$L$6:$L$500,1,FALSE)</f>
        <v>#N/A</v>
      </c>
      <c r="D4950" s="190" t="s">
        <v>8186</v>
      </c>
      <c r="E4950" s="198" t="s">
        <v>58</v>
      </c>
      <c r="F4950" s="199" t="s">
        <v>105</v>
      </c>
      <c r="G4950" s="191" t="s">
        <v>1871</v>
      </c>
      <c r="H4950" s="199" t="s">
        <v>8215</v>
      </c>
      <c r="I4950" s="197" t="s">
        <v>8211</v>
      </c>
      <c r="J4950" s="148" t="s">
        <v>63</v>
      </c>
      <c r="K4950" s="148" t="s">
        <v>64</v>
      </c>
      <c r="L4950" s="148" t="s">
        <v>65</v>
      </c>
      <c r="M4950" s="148" t="s">
        <v>185</v>
      </c>
      <c r="N4950" s="212">
        <v>46212.0</v>
      </c>
      <c r="O4950" s="148" t="s">
        <v>67</v>
      </c>
      <c r="P4950" s="148" t="s">
        <v>68</v>
      </c>
      <c r="Q4950" s="103"/>
      <c r="R4950" s="103"/>
      <c r="S4950" s="103"/>
      <c r="T4950" s="103"/>
      <c r="U4950" s="148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1">
        <v>4945.0</v>
      </c>
      <c r="B4951" s="90" t="s">
        <v>8216</v>
      </c>
      <c r="C4951" s="82" t="str">
        <f>VLOOKUP($B$7:$B$5000,SUM!$L$6:$L$500,1,FALSE)</f>
        <v>#N/A</v>
      </c>
      <c r="D4951" s="190" t="s">
        <v>8186</v>
      </c>
      <c r="E4951" s="198" t="s">
        <v>58</v>
      </c>
      <c r="F4951" s="199" t="s">
        <v>105</v>
      </c>
      <c r="G4951" s="191" t="s">
        <v>1362</v>
      </c>
      <c r="H4951" s="199" t="s">
        <v>8217</v>
      </c>
      <c r="I4951" s="197" t="s">
        <v>8218</v>
      </c>
      <c r="J4951" s="148" t="s">
        <v>63</v>
      </c>
      <c r="K4951" s="148" t="s">
        <v>64</v>
      </c>
      <c r="L4951" s="148" t="s">
        <v>65</v>
      </c>
      <c r="M4951" s="148" t="s">
        <v>185</v>
      </c>
      <c r="N4951" s="212">
        <v>46212.0</v>
      </c>
      <c r="O4951" s="148" t="s">
        <v>67</v>
      </c>
      <c r="P4951" s="148" t="s">
        <v>68</v>
      </c>
      <c r="Q4951" s="103"/>
      <c r="R4951" s="103"/>
      <c r="S4951" s="103"/>
      <c r="T4951" s="103"/>
      <c r="U4951" s="148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1">
        <v>4946.0</v>
      </c>
      <c r="B4952" s="90" t="s">
        <v>8219</v>
      </c>
      <c r="C4952" s="82" t="str">
        <f>VLOOKUP($B$7:$B$5000,SUM!$L$6:$L$500,1,FALSE)</f>
        <v>#N/A</v>
      </c>
      <c r="D4952" s="190" t="s">
        <v>8186</v>
      </c>
      <c r="E4952" s="198" t="s">
        <v>58</v>
      </c>
      <c r="F4952" s="199" t="s">
        <v>105</v>
      </c>
      <c r="G4952" s="191" t="s">
        <v>1362</v>
      </c>
      <c r="H4952" s="199" t="s">
        <v>8220</v>
      </c>
      <c r="I4952" s="197" t="s">
        <v>8218</v>
      </c>
      <c r="J4952" s="148" t="s">
        <v>63</v>
      </c>
      <c r="K4952" s="148" t="s">
        <v>64</v>
      </c>
      <c r="L4952" s="148" t="s">
        <v>65</v>
      </c>
      <c r="M4952" s="148" t="s">
        <v>185</v>
      </c>
      <c r="N4952" s="212">
        <v>46212.0</v>
      </c>
      <c r="O4952" s="148" t="s">
        <v>67</v>
      </c>
      <c r="P4952" s="148" t="s">
        <v>68</v>
      </c>
      <c r="Q4952" s="103"/>
      <c r="R4952" s="103"/>
      <c r="S4952" s="103"/>
      <c r="T4952" s="103"/>
      <c r="U4952" s="148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1">
        <v>4947.0</v>
      </c>
      <c r="B4953" s="90" t="s">
        <v>8221</v>
      </c>
      <c r="C4953" s="82" t="str">
        <f>VLOOKUP($B$7:$B$5000,SUM!$L$6:$L$500,1,FALSE)</f>
        <v>#N/A</v>
      </c>
      <c r="D4953" s="190" t="s">
        <v>8186</v>
      </c>
      <c r="E4953" s="198" t="s">
        <v>58</v>
      </c>
      <c r="F4953" s="199" t="s">
        <v>105</v>
      </c>
      <c r="G4953" s="191" t="s">
        <v>1362</v>
      </c>
      <c r="H4953" s="199" t="s">
        <v>8222</v>
      </c>
      <c r="I4953" s="197" t="s">
        <v>8218</v>
      </c>
      <c r="J4953" s="148" t="s">
        <v>63</v>
      </c>
      <c r="K4953" s="148" t="s">
        <v>64</v>
      </c>
      <c r="L4953" s="148" t="s">
        <v>65</v>
      </c>
      <c r="M4953" s="148" t="s">
        <v>185</v>
      </c>
      <c r="N4953" s="212">
        <v>46212.0</v>
      </c>
      <c r="O4953" s="148" t="s">
        <v>67</v>
      </c>
      <c r="P4953" s="148" t="s">
        <v>68</v>
      </c>
      <c r="Q4953" s="103"/>
      <c r="R4953" s="103"/>
      <c r="S4953" s="103"/>
      <c r="T4953" s="103"/>
      <c r="U4953" s="148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1">
        <v>4948.0</v>
      </c>
      <c r="B4954" s="90" t="s">
        <v>8223</v>
      </c>
      <c r="C4954" s="82" t="str">
        <f>VLOOKUP($B$7:$B$5000,SUM!$L$6:$L$500,1,FALSE)</f>
        <v>#N/A</v>
      </c>
      <c r="D4954" s="190" t="s">
        <v>8186</v>
      </c>
      <c r="E4954" s="198" t="s">
        <v>58</v>
      </c>
      <c r="F4954" s="199" t="s">
        <v>105</v>
      </c>
      <c r="G4954" s="191" t="s">
        <v>1362</v>
      </c>
      <c r="H4954" s="199" t="s">
        <v>8224</v>
      </c>
      <c r="I4954" s="197" t="s">
        <v>8218</v>
      </c>
      <c r="J4954" s="148" t="s">
        <v>63</v>
      </c>
      <c r="K4954" s="148" t="s">
        <v>64</v>
      </c>
      <c r="L4954" s="148" t="s">
        <v>65</v>
      </c>
      <c r="M4954" s="148" t="s">
        <v>185</v>
      </c>
      <c r="N4954" s="212">
        <v>46212.0</v>
      </c>
      <c r="O4954" s="148" t="s">
        <v>67</v>
      </c>
      <c r="P4954" s="148" t="s">
        <v>68</v>
      </c>
      <c r="Q4954" s="103"/>
      <c r="R4954" s="103"/>
      <c r="S4954" s="103"/>
      <c r="T4954" s="103"/>
      <c r="U4954" s="148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1">
        <v>4949.0</v>
      </c>
      <c r="B4955" s="90" t="s">
        <v>8225</v>
      </c>
      <c r="C4955" s="82" t="str">
        <f>VLOOKUP($B$7:$B$5000,SUM!$L$6:$L$500,1,FALSE)</f>
        <v>#N/A</v>
      </c>
      <c r="D4955" s="190" t="s">
        <v>8186</v>
      </c>
      <c r="E4955" s="198" t="s">
        <v>58</v>
      </c>
      <c r="F4955" s="199" t="s">
        <v>105</v>
      </c>
      <c r="G4955" s="191" t="s">
        <v>1362</v>
      </c>
      <c r="H4955" s="199" t="s">
        <v>8226</v>
      </c>
      <c r="I4955" s="197" t="s">
        <v>8218</v>
      </c>
      <c r="J4955" s="148" t="s">
        <v>63</v>
      </c>
      <c r="K4955" s="148" t="s">
        <v>64</v>
      </c>
      <c r="L4955" s="148" t="s">
        <v>65</v>
      </c>
      <c r="M4955" s="148" t="s">
        <v>185</v>
      </c>
      <c r="N4955" s="212">
        <v>46212.0</v>
      </c>
      <c r="O4955" s="148" t="s">
        <v>67</v>
      </c>
      <c r="P4955" s="148" t="s">
        <v>68</v>
      </c>
      <c r="Q4955" s="103"/>
      <c r="R4955" s="103"/>
      <c r="S4955" s="103"/>
      <c r="T4955" s="103"/>
      <c r="U4955" s="148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1">
        <v>4950.0</v>
      </c>
      <c r="B4956" s="90" t="s">
        <v>8227</v>
      </c>
      <c r="C4956" s="82" t="str">
        <f>VLOOKUP($B$7:$B$5000,SUM!$L$6:$L$500,1,FALSE)</f>
        <v>#N/A</v>
      </c>
      <c r="D4956" s="190" t="s">
        <v>8186</v>
      </c>
      <c r="E4956" s="198" t="s">
        <v>58</v>
      </c>
      <c r="F4956" s="199" t="s">
        <v>105</v>
      </c>
      <c r="G4956" s="191" t="s">
        <v>8228</v>
      </c>
      <c r="H4956" s="199" t="s">
        <v>8229</v>
      </c>
      <c r="I4956" s="197" t="s">
        <v>8191</v>
      </c>
      <c r="J4956" s="148" t="s">
        <v>63</v>
      </c>
      <c r="K4956" s="148" t="s">
        <v>64</v>
      </c>
      <c r="L4956" s="148" t="s">
        <v>65</v>
      </c>
      <c r="M4956" s="148" t="s">
        <v>185</v>
      </c>
      <c r="N4956" s="212">
        <v>46212.0</v>
      </c>
      <c r="O4956" s="148" t="s">
        <v>67</v>
      </c>
      <c r="P4956" s="148" t="s">
        <v>68</v>
      </c>
      <c r="Q4956" s="103"/>
      <c r="R4956" s="103"/>
      <c r="S4956" s="103"/>
      <c r="T4956" s="103"/>
      <c r="U4956" s="148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1">
        <v>4951.0</v>
      </c>
      <c r="B4957" s="90" t="s">
        <v>8230</v>
      </c>
      <c r="C4957" s="82" t="str">
        <f>VLOOKUP($B$7:$B$5000,SUM!$L$6:$L$500,1,FALSE)</f>
        <v>#N/A</v>
      </c>
      <c r="D4957" s="190" t="s">
        <v>8186</v>
      </c>
      <c r="E4957" s="198" t="s">
        <v>58</v>
      </c>
      <c r="F4957" s="199" t="s">
        <v>105</v>
      </c>
      <c r="G4957" s="191" t="s">
        <v>8228</v>
      </c>
      <c r="H4957" s="199" t="s">
        <v>8231</v>
      </c>
      <c r="I4957" s="197" t="s">
        <v>8191</v>
      </c>
      <c r="J4957" s="148" t="s">
        <v>63</v>
      </c>
      <c r="K4957" s="148" t="s">
        <v>64</v>
      </c>
      <c r="L4957" s="148" t="s">
        <v>65</v>
      </c>
      <c r="M4957" s="148" t="s">
        <v>185</v>
      </c>
      <c r="N4957" s="212">
        <v>46212.0</v>
      </c>
      <c r="O4957" s="148" t="s">
        <v>67</v>
      </c>
      <c r="P4957" s="148" t="s">
        <v>68</v>
      </c>
      <c r="Q4957" s="103"/>
      <c r="R4957" s="103"/>
      <c r="S4957" s="103"/>
      <c r="T4957" s="103"/>
      <c r="U4957" s="148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1">
        <v>4952.0</v>
      </c>
      <c r="B4958" s="90" t="s">
        <v>8232</v>
      </c>
      <c r="C4958" s="82" t="str">
        <f>VLOOKUP($B$7:$B$5000,SUM!$L$6:$L$500,1,FALSE)</f>
        <v>#N/A</v>
      </c>
      <c r="D4958" s="190" t="s">
        <v>8186</v>
      </c>
      <c r="E4958" s="198" t="s">
        <v>58</v>
      </c>
      <c r="F4958" s="199" t="s">
        <v>105</v>
      </c>
      <c r="G4958" s="191" t="s">
        <v>1871</v>
      </c>
      <c r="H4958" s="199" t="s">
        <v>8233</v>
      </c>
      <c r="I4958" s="197" t="s">
        <v>8191</v>
      </c>
      <c r="J4958" s="148" t="s">
        <v>63</v>
      </c>
      <c r="K4958" s="148" t="s">
        <v>64</v>
      </c>
      <c r="L4958" s="148" t="s">
        <v>65</v>
      </c>
      <c r="M4958" s="148" t="s">
        <v>185</v>
      </c>
      <c r="N4958" s="212">
        <v>46212.0</v>
      </c>
      <c r="O4958" s="148" t="s">
        <v>67</v>
      </c>
      <c r="P4958" s="148" t="s">
        <v>68</v>
      </c>
      <c r="Q4958" s="103"/>
      <c r="R4958" s="103"/>
      <c r="S4958" s="103"/>
      <c r="T4958" s="103"/>
      <c r="U4958" s="148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1">
        <v>4953.0</v>
      </c>
      <c r="B4959" s="90" t="s">
        <v>8234</v>
      </c>
      <c r="C4959" s="82" t="str">
        <f>VLOOKUP($B$7:$B$5000,SUM!$L$6:$L$500,1,FALSE)</f>
        <v>#N/A</v>
      </c>
      <c r="D4959" s="190" t="s">
        <v>8186</v>
      </c>
      <c r="E4959" s="198" t="s">
        <v>58</v>
      </c>
      <c r="F4959" s="199" t="s">
        <v>105</v>
      </c>
      <c r="G4959" s="191" t="s">
        <v>1362</v>
      </c>
      <c r="H4959" s="199" t="s">
        <v>8235</v>
      </c>
      <c r="I4959" s="197" t="s">
        <v>8218</v>
      </c>
      <c r="J4959" s="148" t="s">
        <v>63</v>
      </c>
      <c r="K4959" s="148" t="s">
        <v>64</v>
      </c>
      <c r="L4959" s="148" t="s">
        <v>65</v>
      </c>
      <c r="M4959" s="148" t="s">
        <v>185</v>
      </c>
      <c r="N4959" s="212">
        <v>46212.0</v>
      </c>
      <c r="O4959" s="148" t="s">
        <v>67</v>
      </c>
      <c r="P4959" s="148" t="s">
        <v>68</v>
      </c>
      <c r="Q4959" s="103"/>
      <c r="R4959" s="103"/>
      <c r="S4959" s="103"/>
      <c r="T4959" s="103"/>
      <c r="U4959" s="148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1">
        <v>4954.0</v>
      </c>
      <c r="B4960" s="90" t="s">
        <v>8236</v>
      </c>
      <c r="C4960" s="82" t="str">
        <f>VLOOKUP($B$7:$B$5000,SUM!$L$6:$L$500,1,FALSE)</f>
        <v>#N/A</v>
      </c>
      <c r="D4960" s="190" t="s">
        <v>8186</v>
      </c>
      <c r="E4960" s="198" t="s">
        <v>58</v>
      </c>
      <c r="F4960" s="199" t="s">
        <v>105</v>
      </c>
      <c r="G4960" s="191" t="s">
        <v>1362</v>
      </c>
      <c r="H4960" s="199" t="s">
        <v>8237</v>
      </c>
      <c r="I4960" s="197" t="s">
        <v>8218</v>
      </c>
      <c r="J4960" s="148" t="s">
        <v>63</v>
      </c>
      <c r="K4960" s="148" t="s">
        <v>64</v>
      </c>
      <c r="L4960" s="148" t="s">
        <v>65</v>
      </c>
      <c r="M4960" s="148" t="s">
        <v>185</v>
      </c>
      <c r="N4960" s="212">
        <v>46212.0</v>
      </c>
      <c r="O4960" s="148" t="s">
        <v>67</v>
      </c>
      <c r="P4960" s="148" t="s">
        <v>68</v>
      </c>
      <c r="Q4960" s="103"/>
      <c r="R4960" s="103"/>
      <c r="S4960" s="103"/>
      <c r="T4960" s="103"/>
      <c r="U4960" s="148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1">
        <v>4955.0</v>
      </c>
      <c r="B4961" s="90" t="s">
        <v>8238</v>
      </c>
      <c r="C4961" s="82" t="str">
        <f>VLOOKUP($B$7:$B$5000,SUM!$L$6:$L$500,1,FALSE)</f>
        <v>#N/A</v>
      </c>
      <c r="D4961" s="190" t="s">
        <v>8186</v>
      </c>
      <c r="E4961" s="198" t="s">
        <v>58</v>
      </c>
      <c r="F4961" s="199" t="s">
        <v>105</v>
      </c>
      <c r="G4961" s="191" t="s">
        <v>1871</v>
      </c>
      <c r="H4961" s="199" t="s">
        <v>8187</v>
      </c>
      <c r="I4961" s="197" t="s">
        <v>8239</v>
      </c>
      <c r="J4961" s="148" t="s">
        <v>63</v>
      </c>
      <c r="K4961" s="148" t="s">
        <v>64</v>
      </c>
      <c r="L4961" s="148" t="s">
        <v>65</v>
      </c>
      <c r="M4961" s="148" t="s">
        <v>185</v>
      </c>
      <c r="N4961" s="212">
        <v>46212.0</v>
      </c>
      <c r="O4961" s="148" t="s">
        <v>67</v>
      </c>
      <c r="P4961" s="148" t="s">
        <v>68</v>
      </c>
      <c r="Q4961" s="103"/>
      <c r="R4961" s="103"/>
      <c r="S4961" s="103"/>
      <c r="T4961" s="103"/>
      <c r="U4961" s="148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1">
        <v>4956.0</v>
      </c>
      <c r="B4962" s="90" t="s">
        <v>8240</v>
      </c>
      <c r="C4962" s="82" t="str">
        <f>VLOOKUP($B$7:$B$5000,SUM!$L$6:$L$500,1,FALSE)</f>
        <v>#N/A</v>
      </c>
      <c r="D4962" s="190" t="s">
        <v>8186</v>
      </c>
      <c r="E4962" s="198" t="s">
        <v>58</v>
      </c>
      <c r="F4962" s="199" t="s">
        <v>105</v>
      </c>
      <c r="G4962" s="191" t="s">
        <v>1871</v>
      </c>
      <c r="H4962" s="199" t="s">
        <v>8190</v>
      </c>
      <c r="I4962" s="197" t="s">
        <v>8241</v>
      </c>
      <c r="J4962" s="148" t="s">
        <v>63</v>
      </c>
      <c r="K4962" s="148" t="s">
        <v>64</v>
      </c>
      <c r="L4962" s="148" t="s">
        <v>65</v>
      </c>
      <c r="M4962" s="148" t="s">
        <v>185</v>
      </c>
      <c r="N4962" s="212">
        <v>46212.0</v>
      </c>
      <c r="O4962" s="148" t="s">
        <v>67</v>
      </c>
      <c r="P4962" s="148" t="s">
        <v>68</v>
      </c>
      <c r="Q4962" s="103"/>
      <c r="R4962" s="103"/>
      <c r="S4962" s="103"/>
      <c r="T4962" s="103"/>
      <c r="U4962" s="148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1">
        <v>4957.0</v>
      </c>
      <c r="B4963" s="90" t="s">
        <v>8242</v>
      </c>
      <c r="C4963" s="82" t="str">
        <f>VLOOKUP($B$7:$B$5000,SUM!$L$6:$L$500,1,FALSE)</f>
        <v>#N/A</v>
      </c>
      <c r="D4963" s="190" t="s">
        <v>8186</v>
      </c>
      <c r="E4963" s="198" t="s">
        <v>58</v>
      </c>
      <c r="F4963" s="199" t="s">
        <v>105</v>
      </c>
      <c r="G4963" s="191" t="s">
        <v>1871</v>
      </c>
      <c r="H4963" s="199" t="s">
        <v>8193</v>
      </c>
      <c r="I4963" s="197" t="s">
        <v>8241</v>
      </c>
      <c r="J4963" s="148" t="s">
        <v>63</v>
      </c>
      <c r="K4963" s="148" t="s">
        <v>64</v>
      </c>
      <c r="L4963" s="148" t="s">
        <v>65</v>
      </c>
      <c r="M4963" s="148" t="s">
        <v>185</v>
      </c>
      <c r="N4963" s="212">
        <v>46212.0</v>
      </c>
      <c r="O4963" s="148" t="s">
        <v>67</v>
      </c>
      <c r="P4963" s="148" t="s">
        <v>68</v>
      </c>
      <c r="Q4963" s="103"/>
      <c r="R4963" s="103"/>
      <c r="S4963" s="103"/>
      <c r="T4963" s="103"/>
      <c r="U4963" s="148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1">
        <v>4958.0</v>
      </c>
      <c r="B4964" s="90" t="s">
        <v>8243</v>
      </c>
      <c r="C4964" s="82" t="str">
        <f>VLOOKUP($B$7:$B$5000,SUM!$L$6:$L$500,1,FALSE)</f>
        <v>#N/A</v>
      </c>
      <c r="D4964" s="190" t="s">
        <v>8186</v>
      </c>
      <c r="E4964" s="198" t="s">
        <v>58</v>
      </c>
      <c r="F4964" s="199" t="s">
        <v>105</v>
      </c>
      <c r="G4964" s="191" t="s">
        <v>1871</v>
      </c>
      <c r="H4964" s="199" t="s">
        <v>8195</v>
      </c>
      <c r="I4964" s="197" t="s">
        <v>8241</v>
      </c>
      <c r="J4964" s="148" t="s">
        <v>63</v>
      </c>
      <c r="K4964" s="148" t="s">
        <v>64</v>
      </c>
      <c r="L4964" s="148" t="s">
        <v>65</v>
      </c>
      <c r="M4964" s="148" t="s">
        <v>185</v>
      </c>
      <c r="N4964" s="212">
        <v>46212.0</v>
      </c>
      <c r="O4964" s="148" t="s">
        <v>67</v>
      </c>
      <c r="P4964" s="148" t="s">
        <v>68</v>
      </c>
      <c r="Q4964" s="103"/>
      <c r="R4964" s="103"/>
      <c r="S4964" s="103"/>
      <c r="T4964" s="103"/>
      <c r="U4964" s="148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1">
        <v>4959.0</v>
      </c>
      <c r="B4965" s="90" t="s">
        <v>8244</v>
      </c>
      <c r="C4965" s="82" t="str">
        <f>VLOOKUP($B$7:$B$5000,SUM!$L$6:$L$500,1,FALSE)</f>
        <v>#N/A</v>
      </c>
      <c r="D4965" s="190" t="s">
        <v>8186</v>
      </c>
      <c r="E4965" s="198" t="s">
        <v>58</v>
      </c>
      <c r="F4965" s="199" t="s">
        <v>105</v>
      </c>
      <c r="G4965" s="191" t="s">
        <v>1871</v>
      </c>
      <c r="H4965" s="199" t="s">
        <v>8197</v>
      </c>
      <c r="I4965" s="197" t="s">
        <v>8245</v>
      </c>
      <c r="J4965" s="148" t="s">
        <v>63</v>
      </c>
      <c r="K4965" s="148" t="s">
        <v>64</v>
      </c>
      <c r="L4965" s="148" t="s">
        <v>65</v>
      </c>
      <c r="M4965" s="148" t="s">
        <v>185</v>
      </c>
      <c r="N4965" s="212">
        <v>46212.0</v>
      </c>
      <c r="O4965" s="148" t="s">
        <v>67</v>
      </c>
      <c r="P4965" s="148" t="s">
        <v>68</v>
      </c>
      <c r="Q4965" s="103"/>
      <c r="R4965" s="103"/>
      <c r="S4965" s="103"/>
      <c r="T4965" s="103"/>
      <c r="U4965" s="148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1">
        <v>4960.0</v>
      </c>
      <c r="B4966" s="90" t="s">
        <v>8246</v>
      </c>
      <c r="C4966" s="82" t="str">
        <f>VLOOKUP($B$7:$B$5000,SUM!$L$6:$L$500,1,FALSE)</f>
        <v>#N/A</v>
      </c>
      <c r="D4966" s="190" t="s">
        <v>8186</v>
      </c>
      <c r="E4966" s="198" t="s">
        <v>58</v>
      </c>
      <c r="F4966" s="199" t="s">
        <v>105</v>
      </c>
      <c r="G4966" s="191" t="s">
        <v>1871</v>
      </c>
      <c r="H4966" s="199" t="s">
        <v>8200</v>
      </c>
      <c r="I4966" s="197" t="s">
        <v>8245</v>
      </c>
      <c r="J4966" s="148" t="s">
        <v>63</v>
      </c>
      <c r="K4966" s="148" t="s">
        <v>64</v>
      </c>
      <c r="L4966" s="148" t="s">
        <v>65</v>
      </c>
      <c r="M4966" s="148" t="s">
        <v>185</v>
      </c>
      <c r="N4966" s="212">
        <v>46212.0</v>
      </c>
      <c r="O4966" s="148" t="s">
        <v>67</v>
      </c>
      <c r="P4966" s="148" t="s">
        <v>68</v>
      </c>
      <c r="Q4966" s="103"/>
      <c r="R4966" s="103"/>
      <c r="S4966" s="103"/>
      <c r="T4966" s="103"/>
      <c r="U4966" s="148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1">
        <v>4961.0</v>
      </c>
      <c r="B4967" s="90" t="s">
        <v>8247</v>
      </c>
      <c r="C4967" s="82" t="str">
        <f>VLOOKUP($B$7:$B$5000,SUM!$L$6:$L$500,1,FALSE)</f>
        <v>#N/A</v>
      </c>
      <c r="D4967" s="190" t="s">
        <v>8186</v>
      </c>
      <c r="E4967" s="198" t="s">
        <v>58</v>
      </c>
      <c r="F4967" s="199" t="s">
        <v>105</v>
      </c>
      <c r="G4967" s="191" t="s">
        <v>1871</v>
      </c>
      <c r="H4967" s="199" t="s">
        <v>8202</v>
      </c>
      <c r="I4967" s="197" t="s">
        <v>8241</v>
      </c>
      <c r="J4967" s="148" t="s">
        <v>63</v>
      </c>
      <c r="K4967" s="148" t="s">
        <v>64</v>
      </c>
      <c r="L4967" s="148" t="s">
        <v>65</v>
      </c>
      <c r="M4967" s="148" t="s">
        <v>185</v>
      </c>
      <c r="N4967" s="212">
        <v>46212.0</v>
      </c>
      <c r="O4967" s="148" t="s">
        <v>67</v>
      </c>
      <c r="P4967" s="148" t="s">
        <v>68</v>
      </c>
      <c r="Q4967" s="103"/>
      <c r="R4967" s="103"/>
      <c r="S4967" s="103"/>
      <c r="T4967" s="103"/>
      <c r="U4967" s="148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1">
        <v>4962.0</v>
      </c>
      <c r="B4968" s="90" t="s">
        <v>8248</v>
      </c>
      <c r="C4968" s="82" t="str">
        <f>VLOOKUP($B$7:$B$5000,SUM!$L$6:$L$500,1,FALSE)</f>
        <v>#N/A</v>
      </c>
      <c r="D4968" s="190" t="s">
        <v>8186</v>
      </c>
      <c r="E4968" s="198" t="s">
        <v>58</v>
      </c>
      <c r="F4968" s="199" t="s">
        <v>105</v>
      </c>
      <c r="G4968" s="191" t="s">
        <v>1871</v>
      </c>
      <c r="H4968" s="199" t="s">
        <v>8204</v>
      </c>
      <c r="I4968" s="197" t="s">
        <v>8245</v>
      </c>
      <c r="J4968" s="148" t="s">
        <v>63</v>
      </c>
      <c r="K4968" s="148" t="s">
        <v>64</v>
      </c>
      <c r="L4968" s="148" t="s">
        <v>65</v>
      </c>
      <c r="M4968" s="148" t="s">
        <v>185</v>
      </c>
      <c r="N4968" s="212">
        <v>46212.0</v>
      </c>
      <c r="O4968" s="148" t="s">
        <v>67</v>
      </c>
      <c r="P4968" s="148" t="s">
        <v>68</v>
      </c>
      <c r="Q4968" s="103"/>
      <c r="R4968" s="103"/>
      <c r="S4968" s="103"/>
      <c r="T4968" s="103"/>
      <c r="U4968" s="148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1">
        <v>4963.0</v>
      </c>
      <c r="B4969" s="90" t="s">
        <v>8249</v>
      </c>
      <c r="C4969" s="82" t="str">
        <f>VLOOKUP($B$7:$B$5000,SUM!$L$6:$L$500,1,FALSE)</f>
        <v>#N/A</v>
      </c>
      <c r="D4969" s="190" t="s">
        <v>8186</v>
      </c>
      <c r="E4969" s="198" t="s">
        <v>58</v>
      </c>
      <c r="F4969" s="199" t="s">
        <v>105</v>
      </c>
      <c r="G4969" s="191" t="s">
        <v>1871</v>
      </c>
      <c r="H4969" s="199" t="s">
        <v>8206</v>
      </c>
      <c r="I4969" s="197" t="s">
        <v>8241</v>
      </c>
      <c r="J4969" s="148" t="s">
        <v>63</v>
      </c>
      <c r="K4969" s="148" t="s">
        <v>64</v>
      </c>
      <c r="L4969" s="148" t="s">
        <v>65</v>
      </c>
      <c r="M4969" s="148" t="s">
        <v>185</v>
      </c>
      <c r="N4969" s="212">
        <v>46212.0</v>
      </c>
      <c r="O4969" s="148" t="s">
        <v>67</v>
      </c>
      <c r="P4969" s="148" t="s">
        <v>68</v>
      </c>
      <c r="Q4969" s="103"/>
      <c r="R4969" s="103"/>
      <c r="S4969" s="103"/>
      <c r="T4969" s="103"/>
      <c r="U4969" s="148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1">
        <v>4964.0</v>
      </c>
      <c r="B4970" s="90" t="s">
        <v>8250</v>
      </c>
      <c r="C4970" s="82" t="str">
        <f>VLOOKUP($B$7:$B$5000,SUM!$L$6:$L$500,1,FALSE)</f>
        <v>#N/A</v>
      </c>
      <c r="D4970" s="190" t="s">
        <v>8186</v>
      </c>
      <c r="E4970" s="198" t="s">
        <v>58</v>
      </c>
      <c r="F4970" s="199" t="s">
        <v>105</v>
      </c>
      <c r="G4970" s="191" t="s">
        <v>1871</v>
      </c>
      <c r="H4970" s="199" t="s">
        <v>8208</v>
      </c>
      <c r="I4970" s="197" t="s">
        <v>8245</v>
      </c>
      <c r="J4970" s="148" t="s">
        <v>63</v>
      </c>
      <c r="K4970" s="148" t="s">
        <v>64</v>
      </c>
      <c r="L4970" s="148" t="s">
        <v>65</v>
      </c>
      <c r="M4970" s="148" t="s">
        <v>185</v>
      </c>
      <c r="N4970" s="212">
        <v>46212.0</v>
      </c>
      <c r="O4970" s="148" t="s">
        <v>67</v>
      </c>
      <c r="P4970" s="148" t="s">
        <v>68</v>
      </c>
      <c r="Q4970" s="103"/>
      <c r="R4970" s="103"/>
      <c r="S4970" s="103"/>
      <c r="T4970" s="103"/>
      <c r="U4970" s="148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1">
        <v>4965.0</v>
      </c>
      <c r="B4971" s="90" t="s">
        <v>8251</v>
      </c>
      <c r="C4971" s="82" t="str">
        <f>VLOOKUP($B$7:$B$5000,SUM!$L$6:$L$500,1,FALSE)</f>
        <v>#N/A</v>
      </c>
      <c r="D4971" s="190" t="s">
        <v>8186</v>
      </c>
      <c r="E4971" s="198" t="s">
        <v>58</v>
      </c>
      <c r="F4971" s="199" t="s">
        <v>105</v>
      </c>
      <c r="G4971" s="191" t="s">
        <v>1871</v>
      </c>
      <c r="H4971" s="199" t="s">
        <v>8210</v>
      </c>
      <c r="I4971" s="197" t="s">
        <v>8239</v>
      </c>
      <c r="J4971" s="148" t="s">
        <v>63</v>
      </c>
      <c r="K4971" s="148" t="s">
        <v>64</v>
      </c>
      <c r="L4971" s="148" t="s">
        <v>65</v>
      </c>
      <c r="M4971" s="148" t="s">
        <v>185</v>
      </c>
      <c r="N4971" s="212">
        <v>46212.0</v>
      </c>
      <c r="O4971" s="148" t="s">
        <v>67</v>
      </c>
      <c r="P4971" s="148" t="s">
        <v>68</v>
      </c>
      <c r="Q4971" s="103"/>
      <c r="R4971" s="103"/>
      <c r="S4971" s="103"/>
      <c r="T4971" s="103"/>
      <c r="U4971" s="148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1">
        <v>4966.0</v>
      </c>
      <c r="B4972" s="90" t="s">
        <v>8252</v>
      </c>
      <c r="C4972" s="82" t="str">
        <f>VLOOKUP($B$7:$B$5000,SUM!$L$6:$L$500,1,FALSE)</f>
        <v>#N/A</v>
      </c>
      <c r="D4972" s="190" t="s">
        <v>8186</v>
      </c>
      <c r="E4972" s="198" t="s">
        <v>58</v>
      </c>
      <c r="F4972" s="199" t="s">
        <v>105</v>
      </c>
      <c r="G4972" s="191" t="s">
        <v>1871</v>
      </c>
      <c r="H4972" s="199" t="s">
        <v>8213</v>
      </c>
      <c r="I4972" s="197" t="s">
        <v>8239</v>
      </c>
      <c r="J4972" s="148" t="s">
        <v>63</v>
      </c>
      <c r="K4972" s="148" t="s">
        <v>64</v>
      </c>
      <c r="L4972" s="148" t="s">
        <v>65</v>
      </c>
      <c r="M4972" s="148" t="s">
        <v>185</v>
      </c>
      <c r="N4972" s="212">
        <v>46212.0</v>
      </c>
      <c r="O4972" s="148" t="s">
        <v>67</v>
      </c>
      <c r="P4972" s="148" t="s">
        <v>68</v>
      </c>
      <c r="Q4972" s="103"/>
      <c r="R4972" s="103"/>
      <c r="S4972" s="103"/>
      <c r="T4972" s="103"/>
      <c r="U4972" s="148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1">
        <v>4967.0</v>
      </c>
      <c r="B4973" s="90" t="s">
        <v>8253</v>
      </c>
      <c r="C4973" s="82" t="str">
        <f>VLOOKUP($B$7:$B$5000,SUM!$L$6:$L$500,1,FALSE)</f>
        <v>#N/A</v>
      </c>
      <c r="D4973" s="190" t="s">
        <v>8186</v>
      </c>
      <c r="E4973" s="198" t="s">
        <v>58</v>
      </c>
      <c r="F4973" s="199" t="s">
        <v>105</v>
      </c>
      <c r="G4973" s="191" t="s">
        <v>1871</v>
      </c>
      <c r="H4973" s="199" t="s">
        <v>8215</v>
      </c>
      <c r="I4973" s="197" t="s">
        <v>8239</v>
      </c>
      <c r="J4973" s="148" t="s">
        <v>63</v>
      </c>
      <c r="K4973" s="148" t="s">
        <v>64</v>
      </c>
      <c r="L4973" s="148" t="s">
        <v>65</v>
      </c>
      <c r="M4973" s="148" t="s">
        <v>185</v>
      </c>
      <c r="N4973" s="212">
        <v>46212.0</v>
      </c>
      <c r="O4973" s="148" t="s">
        <v>67</v>
      </c>
      <c r="P4973" s="148" t="s">
        <v>68</v>
      </c>
      <c r="Q4973" s="103"/>
      <c r="R4973" s="103"/>
      <c r="S4973" s="103"/>
      <c r="T4973" s="103"/>
      <c r="U4973" s="148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1">
        <v>4968.0</v>
      </c>
      <c r="B4974" s="90" t="s">
        <v>8254</v>
      </c>
      <c r="C4974" s="82" t="str">
        <f>VLOOKUP($B$7:$B$5000,SUM!$L$6:$L$500,1,FALSE)</f>
        <v>#N/A</v>
      </c>
      <c r="D4974" s="190" t="s">
        <v>8186</v>
      </c>
      <c r="E4974" s="198" t="s">
        <v>58</v>
      </c>
      <c r="F4974" s="199" t="s">
        <v>105</v>
      </c>
      <c r="G4974" s="191" t="s">
        <v>1362</v>
      </c>
      <c r="H4974" s="199" t="s">
        <v>8217</v>
      </c>
      <c r="I4974" s="197" t="s">
        <v>8255</v>
      </c>
      <c r="J4974" s="148" t="s">
        <v>63</v>
      </c>
      <c r="K4974" s="148" t="s">
        <v>64</v>
      </c>
      <c r="L4974" s="148" t="s">
        <v>65</v>
      </c>
      <c r="M4974" s="148" t="s">
        <v>185</v>
      </c>
      <c r="N4974" s="212">
        <v>46212.0</v>
      </c>
      <c r="O4974" s="148" t="s">
        <v>67</v>
      </c>
      <c r="P4974" s="148" t="s">
        <v>68</v>
      </c>
      <c r="Q4974" s="103"/>
      <c r="R4974" s="103"/>
      <c r="S4974" s="103"/>
      <c r="T4974" s="103"/>
      <c r="U4974" s="148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1">
        <v>4969.0</v>
      </c>
      <c r="B4975" s="90" t="s">
        <v>8256</v>
      </c>
      <c r="C4975" s="82" t="str">
        <f>VLOOKUP($B$7:$B$5000,SUM!$L$6:$L$500,1,FALSE)</f>
        <v>#N/A</v>
      </c>
      <c r="D4975" s="190" t="s">
        <v>8186</v>
      </c>
      <c r="E4975" s="198" t="s">
        <v>58</v>
      </c>
      <c r="F4975" s="199" t="s">
        <v>105</v>
      </c>
      <c r="G4975" s="191" t="s">
        <v>1362</v>
      </c>
      <c r="H4975" s="199" t="s">
        <v>8220</v>
      </c>
      <c r="I4975" s="197" t="s">
        <v>8255</v>
      </c>
      <c r="J4975" s="148" t="s">
        <v>63</v>
      </c>
      <c r="K4975" s="148" t="s">
        <v>64</v>
      </c>
      <c r="L4975" s="148" t="s">
        <v>65</v>
      </c>
      <c r="M4975" s="148" t="s">
        <v>185</v>
      </c>
      <c r="N4975" s="212">
        <v>46212.0</v>
      </c>
      <c r="O4975" s="148" t="s">
        <v>67</v>
      </c>
      <c r="P4975" s="148" t="s">
        <v>68</v>
      </c>
      <c r="Q4975" s="103"/>
      <c r="R4975" s="103"/>
      <c r="S4975" s="103"/>
      <c r="T4975" s="103"/>
      <c r="U4975" s="148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1">
        <v>4970.0</v>
      </c>
      <c r="B4976" s="90" t="s">
        <v>8257</v>
      </c>
      <c r="C4976" s="82" t="str">
        <f>VLOOKUP($B$7:$B$5000,SUM!$L$6:$L$500,1,FALSE)</f>
        <v>#N/A</v>
      </c>
      <c r="D4976" s="190" t="s">
        <v>8186</v>
      </c>
      <c r="E4976" s="198" t="s">
        <v>58</v>
      </c>
      <c r="F4976" s="199" t="s">
        <v>105</v>
      </c>
      <c r="G4976" s="191" t="s">
        <v>1362</v>
      </c>
      <c r="H4976" s="199" t="s">
        <v>8222</v>
      </c>
      <c r="I4976" s="197" t="s">
        <v>8255</v>
      </c>
      <c r="J4976" s="148" t="s">
        <v>63</v>
      </c>
      <c r="K4976" s="148" t="s">
        <v>64</v>
      </c>
      <c r="L4976" s="148" t="s">
        <v>65</v>
      </c>
      <c r="M4976" s="148" t="s">
        <v>185</v>
      </c>
      <c r="N4976" s="212">
        <v>46212.0</v>
      </c>
      <c r="O4976" s="148" t="s">
        <v>67</v>
      </c>
      <c r="P4976" s="148" t="s">
        <v>68</v>
      </c>
      <c r="Q4976" s="103"/>
      <c r="R4976" s="103"/>
      <c r="S4976" s="103"/>
      <c r="T4976" s="103"/>
      <c r="U4976" s="148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1">
        <v>4971.0</v>
      </c>
      <c r="B4977" s="90" t="s">
        <v>8258</v>
      </c>
      <c r="C4977" s="82" t="str">
        <f>VLOOKUP($B$7:$B$5000,SUM!$L$6:$L$500,1,FALSE)</f>
        <v>#N/A</v>
      </c>
      <c r="D4977" s="190" t="s">
        <v>8186</v>
      </c>
      <c r="E4977" s="198" t="s">
        <v>58</v>
      </c>
      <c r="F4977" s="199" t="s">
        <v>105</v>
      </c>
      <c r="G4977" s="191" t="s">
        <v>1362</v>
      </c>
      <c r="H4977" s="199" t="s">
        <v>8224</v>
      </c>
      <c r="I4977" s="197" t="s">
        <v>8255</v>
      </c>
      <c r="J4977" s="148" t="s">
        <v>63</v>
      </c>
      <c r="K4977" s="148" t="s">
        <v>64</v>
      </c>
      <c r="L4977" s="148" t="s">
        <v>65</v>
      </c>
      <c r="M4977" s="148" t="s">
        <v>185</v>
      </c>
      <c r="N4977" s="212">
        <v>46212.0</v>
      </c>
      <c r="O4977" s="148" t="s">
        <v>67</v>
      </c>
      <c r="P4977" s="148" t="s">
        <v>68</v>
      </c>
      <c r="Q4977" s="103"/>
      <c r="R4977" s="103"/>
      <c r="S4977" s="103"/>
      <c r="T4977" s="103"/>
      <c r="U4977" s="148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1">
        <v>4972.0</v>
      </c>
      <c r="B4978" s="90" t="s">
        <v>8259</v>
      </c>
      <c r="C4978" s="82" t="str">
        <f>VLOOKUP($B$7:$B$5000,SUM!$L$6:$L$500,1,FALSE)</f>
        <v>#N/A</v>
      </c>
      <c r="D4978" s="190" t="s">
        <v>8186</v>
      </c>
      <c r="E4978" s="198" t="s">
        <v>58</v>
      </c>
      <c r="F4978" s="199" t="s">
        <v>105</v>
      </c>
      <c r="G4978" s="191" t="s">
        <v>1362</v>
      </c>
      <c r="H4978" s="199" t="s">
        <v>8226</v>
      </c>
      <c r="I4978" s="197" t="s">
        <v>8255</v>
      </c>
      <c r="J4978" s="148" t="s">
        <v>63</v>
      </c>
      <c r="K4978" s="148" t="s">
        <v>64</v>
      </c>
      <c r="L4978" s="148" t="s">
        <v>65</v>
      </c>
      <c r="M4978" s="148" t="s">
        <v>185</v>
      </c>
      <c r="N4978" s="212">
        <v>46212.0</v>
      </c>
      <c r="O4978" s="148" t="s">
        <v>67</v>
      </c>
      <c r="P4978" s="148" t="s">
        <v>68</v>
      </c>
      <c r="Q4978" s="103"/>
      <c r="R4978" s="103"/>
      <c r="S4978" s="103"/>
      <c r="T4978" s="103"/>
      <c r="U4978" s="148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1">
        <v>4973.0</v>
      </c>
      <c r="B4979" s="90" t="s">
        <v>8260</v>
      </c>
      <c r="C4979" s="82" t="str">
        <f>VLOOKUP($B$7:$B$5000,SUM!$L$6:$L$500,1,FALSE)</f>
        <v>#N/A</v>
      </c>
      <c r="D4979" s="190" t="s">
        <v>8186</v>
      </c>
      <c r="E4979" s="198" t="s">
        <v>58</v>
      </c>
      <c r="F4979" s="199" t="s">
        <v>105</v>
      </c>
      <c r="G4979" s="191" t="s">
        <v>8228</v>
      </c>
      <c r="H4979" s="199" t="s">
        <v>8229</v>
      </c>
      <c r="I4979" s="197" t="s">
        <v>8241</v>
      </c>
      <c r="J4979" s="148" t="s">
        <v>63</v>
      </c>
      <c r="K4979" s="148" t="s">
        <v>64</v>
      </c>
      <c r="L4979" s="148" t="s">
        <v>65</v>
      </c>
      <c r="M4979" s="148" t="s">
        <v>185</v>
      </c>
      <c r="N4979" s="212">
        <v>46212.0</v>
      </c>
      <c r="O4979" s="148" t="s">
        <v>67</v>
      </c>
      <c r="P4979" s="148" t="s">
        <v>68</v>
      </c>
      <c r="Q4979" s="103"/>
      <c r="R4979" s="103"/>
      <c r="S4979" s="103"/>
      <c r="T4979" s="103"/>
      <c r="U4979" s="148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1">
        <v>4974.0</v>
      </c>
      <c r="B4980" s="90" t="s">
        <v>8261</v>
      </c>
      <c r="C4980" s="82" t="str">
        <f>VLOOKUP($B$7:$B$5000,SUM!$L$6:$L$500,1,FALSE)</f>
        <v>#N/A</v>
      </c>
      <c r="D4980" s="190" t="s">
        <v>8186</v>
      </c>
      <c r="E4980" s="198" t="s">
        <v>58</v>
      </c>
      <c r="F4980" s="199" t="s">
        <v>105</v>
      </c>
      <c r="G4980" s="191" t="s">
        <v>8228</v>
      </c>
      <c r="H4980" s="199" t="s">
        <v>8231</v>
      </c>
      <c r="I4980" s="197" t="s">
        <v>8241</v>
      </c>
      <c r="J4980" s="148" t="s">
        <v>63</v>
      </c>
      <c r="K4980" s="148" t="s">
        <v>64</v>
      </c>
      <c r="L4980" s="148" t="s">
        <v>65</v>
      </c>
      <c r="M4980" s="148" t="s">
        <v>185</v>
      </c>
      <c r="N4980" s="212">
        <v>46212.0</v>
      </c>
      <c r="O4980" s="148" t="s">
        <v>67</v>
      </c>
      <c r="P4980" s="148" t="s">
        <v>68</v>
      </c>
      <c r="Q4980" s="103"/>
      <c r="R4980" s="103"/>
      <c r="S4980" s="103"/>
      <c r="T4980" s="103"/>
      <c r="U4980" s="148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1">
        <v>4975.0</v>
      </c>
      <c r="B4981" s="90" t="s">
        <v>8262</v>
      </c>
      <c r="C4981" s="82" t="str">
        <f>VLOOKUP($B$7:$B$5000,SUM!$L$6:$L$500,1,FALSE)</f>
        <v>#N/A</v>
      </c>
      <c r="D4981" s="190" t="s">
        <v>8186</v>
      </c>
      <c r="E4981" s="198" t="s">
        <v>58</v>
      </c>
      <c r="F4981" s="199" t="s">
        <v>105</v>
      </c>
      <c r="G4981" s="191" t="s">
        <v>1871</v>
      </c>
      <c r="H4981" s="199" t="s">
        <v>8233</v>
      </c>
      <c r="I4981" s="197" t="s">
        <v>8241</v>
      </c>
      <c r="J4981" s="148" t="s">
        <v>63</v>
      </c>
      <c r="K4981" s="148" t="s">
        <v>64</v>
      </c>
      <c r="L4981" s="148" t="s">
        <v>65</v>
      </c>
      <c r="M4981" s="148" t="s">
        <v>185</v>
      </c>
      <c r="N4981" s="212">
        <v>46212.0</v>
      </c>
      <c r="O4981" s="148" t="s">
        <v>67</v>
      </c>
      <c r="P4981" s="148" t="s">
        <v>68</v>
      </c>
      <c r="Q4981" s="103"/>
      <c r="R4981" s="103"/>
      <c r="S4981" s="103"/>
      <c r="T4981" s="103"/>
      <c r="U4981" s="148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1">
        <v>4976.0</v>
      </c>
      <c r="B4982" s="90" t="s">
        <v>8263</v>
      </c>
      <c r="C4982" s="82" t="str">
        <f>VLOOKUP($B$7:$B$5000,SUM!$L$6:$L$500,1,FALSE)</f>
        <v>#N/A</v>
      </c>
      <c r="D4982" s="190" t="s">
        <v>8186</v>
      </c>
      <c r="E4982" s="198" t="s">
        <v>58</v>
      </c>
      <c r="F4982" s="199" t="s">
        <v>105</v>
      </c>
      <c r="G4982" s="191" t="s">
        <v>1362</v>
      </c>
      <c r="H4982" s="199" t="s">
        <v>8235</v>
      </c>
      <c r="I4982" s="197" t="s">
        <v>8255</v>
      </c>
      <c r="J4982" s="148" t="s">
        <v>63</v>
      </c>
      <c r="K4982" s="148" t="s">
        <v>64</v>
      </c>
      <c r="L4982" s="148" t="s">
        <v>65</v>
      </c>
      <c r="M4982" s="148" t="s">
        <v>185</v>
      </c>
      <c r="N4982" s="212">
        <v>46212.0</v>
      </c>
      <c r="O4982" s="148" t="s">
        <v>67</v>
      </c>
      <c r="P4982" s="148" t="s">
        <v>68</v>
      </c>
      <c r="Q4982" s="103"/>
      <c r="R4982" s="103"/>
      <c r="S4982" s="103"/>
      <c r="T4982" s="103"/>
      <c r="U4982" s="148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1">
        <v>4977.0</v>
      </c>
      <c r="B4983" s="90" t="s">
        <v>8264</v>
      </c>
      <c r="C4983" s="82" t="str">
        <f>VLOOKUP($B$7:$B$5000,SUM!$L$6:$L$500,1,FALSE)</f>
        <v>#N/A</v>
      </c>
      <c r="D4983" s="190" t="s">
        <v>8186</v>
      </c>
      <c r="E4983" s="198" t="s">
        <v>58</v>
      </c>
      <c r="F4983" s="199" t="s">
        <v>105</v>
      </c>
      <c r="G4983" s="191" t="s">
        <v>1362</v>
      </c>
      <c r="H4983" s="199" t="s">
        <v>8237</v>
      </c>
      <c r="I4983" s="197" t="s">
        <v>8255</v>
      </c>
      <c r="J4983" s="148" t="s">
        <v>63</v>
      </c>
      <c r="K4983" s="148" t="s">
        <v>64</v>
      </c>
      <c r="L4983" s="148" t="s">
        <v>65</v>
      </c>
      <c r="M4983" s="148" t="s">
        <v>185</v>
      </c>
      <c r="N4983" s="212">
        <v>46212.0</v>
      </c>
      <c r="O4983" s="148" t="s">
        <v>67</v>
      </c>
      <c r="P4983" s="148" t="s">
        <v>68</v>
      </c>
      <c r="Q4983" s="103"/>
      <c r="R4983" s="103"/>
      <c r="S4983" s="103"/>
      <c r="T4983" s="103"/>
      <c r="U4983" s="148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1">
        <v>4978.0</v>
      </c>
      <c r="B4984" s="90" t="s">
        <v>8265</v>
      </c>
      <c r="C4984" s="82" t="str">
        <f>VLOOKUP($B$7:$B$5000,SUM!$L$6:$L$500,1,FALSE)</f>
        <v>#N/A</v>
      </c>
      <c r="D4984" s="190" t="s">
        <v>8186</v>
      </c>
      <c r="E4984" s="198" t="s">
        <v>58</v>
      </c>
      <c r="F4984" s="199" t="s">
        <v>105</v>
      </c>
      <c r="G4984" s="191" t="s">
        <v>1871</v>
      </c>
      <c r="H4984" s="199" t="s">
        <v>8187</v>
      </c>
      <c r="I4984" s="197" t="s">
        <v>8266</v>
      </c>
      <c r="J4984" s="148" t="s">
        <v>108</v>
      </c>
      <c r="K4984" s="148" t="s">
        <v>64</v>
      </c>
      <c r="L4984" s="148" t="s">
        <v>65</v>
      </c>
      <c r="M4984" s="148" t="s">
        <v>185</v>
      </c>
      <c r="N4984" s="212">
        <v>46212.0</v>
      </c>
      <c r="O4984" s="148" t="s">
        <v>67</v>
      </c>
      <c r="P4984" s="148" t="s">
        <v>68</v>
      </c>
      <c r="Q4984" s="103"/>
      <c r="R4984" s="103"/>
      <c r="S4984" s="103"/>
      <c r="T4984" s="103"/>
      <c r="U4984" s="148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1">
        <v>4979.0</v>
      </c>
      <c r="B4985" s="90" t="s">
        <v>8267</v>
      </c>
      <c r="C4985" s="82" t="str">
        <f>VLOOKUP($B$7:$B$5000,SUM!$L$6:$L$500,1,FALSE)</f>
        <v>#N/A</v>
      </c>
      <c r="D4985" s="190" t="s">
        <v>8186</v>
      </c>
      <c r="E4985" s="198" t="s">
        <v>58</v>
      </c>
      <c r="F4985" s="199" t="s">
        <v>105</v>
      </c>
      <c r="G4985" s="191" t="s">
        <v>1871</v>
      </c>
      <c r="H4985" s="199" t="s">
        <v>8190</v>
      </c>
      <c r="I4985" s="197" t="s">
        <v>8268</v>
      </c>
      <c r="J4985" s="148" t="s">
        <v>108</v>
      </c>
      <c r="K4985" s="148" t="s">
        <v>64</v>
      </c>
      <c r="L4985" s="148" t="s">
        <v>65</v>
      </c>
      <c r="M4985" s="148" t="s">
        <v>185</v>
      </c>
      <c r="N4985" s="212">
        <v>46212.0</v>
      </c>
      <c r="O4985" s="148" t="s">
        <v>67</v>
      </c>
      <c r="P4985" s="148" t="s">
        <v>68</v>
      </c>
      <c r="Q4985" s="103"/>
      <c r="R4985" s="103"/>
      <c r="S4985" s="103"/>
      <c r="T4985" s="103"/>
      <c r="U4985" s="148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1">
        <v>4980.0</v>
      </c>
      <c r="B4986" s="90" t="s">
        <v>8269</v>
      </c>
      <c r="C4986" s="82" t="str">
        <f>VLOOKUP($B$7:$B$5000,SUM!$L$6:$L$500,1,FALSE)</f>
        <v>#N/A</v>
      </c>
      <c r="D4986" s="190" t="s">
        <v>8186</v>
      </c>
      <c r="E4986" s="198" t="s">
        <v>58</v>
      </c>
      <c r="F4986" s="199" t="s">
        <v>105</v>
      </c>
      <c r="G4986" s="191" t="s">
        <v>1871</v>
      </c>
      <c r="H4986" s="199" t="s">
        <v>8193</v>
      </c>
      <c r="I4986" s="197" t="s">
        <v>8268</v>
      </c>
      <c r="J4986" s="148" t="s">
        <v>108</v>
      </c>
      <c r="K4986" s="148" t="s">
        <v>64</v>
      </c>
      <c r="L4986" s="148" t="s">
        <v>65</v>
      </c>
      <c r="M4986" s="148" t="s">
        <v>185</v>
      </c>
      <c r="N4986" s="212">
        <v>46212.0</v>
      </c>
      <c r="O4986" s="148" t="s">
        <v>67</v>
      </c>
      <c r="P4986" s="148" t="s">
        <v>68</v>
      </c>
      <c r="Q4986" s="103"/>
      <c r="R4986" s="103"/>
      <c r="S4986" s="103"/>
      <c r="T4986" s="103"/>
      <c r="U4986" s="148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1">
        <v>4981.0</v>
      </c>
      <c r="B4987" s="90" t="s">
        <v>8270</v>
      </c>
      <c r="C4987" s="82" t="str">
        <f>VLOOKUP($B$7:$B$5000,SUM!$L$6:$L$500,1,FALSE)</f>
        <v>#N/A</v>
      </c>
      <c r="D4987" s="190" t="s">
        <v>8186</v>
      </c>
      <c r="E4987" s="198" t="s">
        <v>58</v>
      </c>
      <c r="F4987" s="199" t="s">
        <v>105</v>
      </c>
      <c r="G4987" s="191" t="s">
        <v>1871</v>
      </c>
      <c r="H4987" s="199" t="s">
        <v>8195</v>
      </c>
      <c r="I4987" s="197" t="s">
        <v>8268</v>
      </c>
      <c r="J4987" s="148" t="s">
        <v>108</v>
      </c>
      <c r="K4987" s="148" t="s">
        <v>64</v>
      </c>
      <c r="L4987" s="148" t="s">
        <v>65</v>
      </c>
      <c r="M4987" s="148" t="s">
        <v>185</v>
      </c>
      <c r="N4987" s="212">
        <v>46212.0</v>
      </c>
      <c r="O4987" s="148" t="s">
        <v>67</v>
      </c>
      <c r="P4987" s="148" t="s">
        <v>68</v>
      </c>
      <c r="Q4987" s="103"/>
      <c r="R4987" s="103"/>
      <c r="S4987" s="103"/>
      <c r="T4987" s="103"/>
      <c r="U4987" s="148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1">
        <v>4982.0</v>
      </c>
      <c r="B4988" s="90" t="s">
        <v>8271</v>
      </c>
      <c r="C4988" s="82" t="str">
        <f>VLOOKUP($B$7:$B$5000,SUM!$L$6:$L$500,1,FALSE)</f>
        <v>#N/A</v>
      </c>
      <c r="D4988" s="190" t="s">
        <v>8186</v>
      </c>
      <c r="E4988" s="198" t="s">
        <v>58</v>
      </c>
      <c r="F4988" s="199" t="s">
        <v>105</v>
      </c>
      <c r="G4988" s="191" t="s">
        <v>1871</v>
      </c>
      <c r="H4988" s="199" t="s">
        <v>8197</v>
      </c>
      <c r="I4988" s="197" t="s">
        <v>8272</v>
      </c>
      <c r="J4988" s="148" t="s">
        <v>108</v>
      </c>
      <c r="K4988" s="148" t="s">
        <v>64</v>
      </c>
      <c r="L4988" s="148" t="s">
        <v>65</v>
      </c>
      <c r="M4988" s="148" t="s">
        <v>185</v>
      </c>
      <c r="N4988" s="212">
        <v>46212.0</v>
      </c>
      <c r="O4988" s="148" t="s">
        <v>67</v>
      </c>
      <c r="P4988" s="148" t="s">
        <v>68</v>
      </c>
      <c r="Q4988" s="103"/>
      <c r="R4988" s="103"/>
      <c r="S4988" s="103"/>
      <c r="T4988" s="103"/>
      <c r="U4988" s="148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1">
        <v>4983.0</v>
      </c>
      <c r="B4989" s="90" t="s">
        <v>8273</v>
      </c>
      <c r="C4989" s="82" t="str">
        <f>VLOOKUP($B$7:$B$5000,SUM!$L$6:$L$500,1,FALSE)</f>
        <v>#N/A</v>
      </c>
      <c r="D4989" s="190" t="s">
        <v>8186</v>
      </c>
      <c r="E4989" s="198" t="s">
        <v>58</v>
      </c>
      <c r="F4989" s="199" t="s">
        <v>105</v>
      </c>
      <c r="G4989" s="191" t="s">
        <v>8228</v>
      </c>
      <c r="H4989" s="199" t="s">
        <v>8231</v>
      </c>
      <c r="I4989" s="197" t="s">
        <v>8268</v>
      </c>
      <c r="J4989" s="148" t="s">
        <v>108</v>
      </c>
      <c r="K4989" s="148" t="s">
        <v>64</v>
      </c>
      <c r="L4989" s="148" t="s">
        <v>65</v>
      </c>
      <c r="M4989" s="148" t="s">
        <v>185</v>
      </c>
      <c r="N4989" s="212">
        <v>46212.0</v>
      </c>
      <c r="O4989" s="148" t="s">
        <v>67</v>
      </c>
      <c r="P4989" s="148" t="s">
        <v>68</v>
      </c>
      <c r="Q4989" s="103"/>
      <c r="R4989" s="103"/>
      <c r="S4989" s="103"/>
      <c r="T4989" s="103"/>
      <c r="U4989" s="148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1">
        <v>4984.0</v>
      </c>
      <c r="B4990" s="90" t="s">
        <v>8274</v>
      </c>
      <c r="C4990" s="82" t="str">
        <f>VLOOKUP($B$7:$B$5000,SUM!$L$6:$L$500,1,FALSE)</f>
        <v>#N/A</v>
      </c>
      <c r="D4990" s="190" t="s">
        <v>8186</v>
      </c>
      <c r="E4990" s="198" t="s">
        <v>58</v>
      </c>
      <c r="F4990" s="199" t="s">
        <v>105</v>
      </c>
      <c r="G4990" s="191" t="s">
        <v>1871</v>
      </c>
      <c r="H4990" s="199" t="s">
        <v>8233</v>
      </c>
      <c r="I4990" s="197" t="s">
        <v>8268</v>
      </c>
      <c r="J4990" s="148" t="s">
        <v>108</v>
      </c>
      <c r="K4990" s="148" t="s">
        <v>64</v>
      </c>
      <c r="L4990" s="148" t="s">
        <v>65</v>
      </c>
      <c r="M4990" s="148" t="s">
        <v>185</v>
      </c>
      <c r="N4990" s="212">
        <v>46212.0</v>
      </c>
      <c r="O4990" s="148" t="s">
        <v>67</v>
      </c>
      <c r="P4990" s="148" t="s">
        <v>68</v>
      </c>
      <c r="Q4990" s="103"/>
      <c r="R4990" s="103"/>
      <c r="S4990" s="103"/>
      <c r="T4990" s="103"/>
      <c r="U4990" s="148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1">
        <v>4985.0</v>
      </c>
      <c r="B4991" s="90" t="s">
        <v>8275</v>
      </c>
      <c r="C4991" s="82" t="str">
        <f>VLOOKUP($B$7:$B$5000,SUM!$L$6:$L$500,1,FALSE)</f>
        <v>#N/A</v>
      </c>
      <c r="D4991" s="190" t="s">
        <v>8276</v>
      </c>
      <c r="E4991" s="198" t="s">
        <v>58</v>
      </c>
      <c r="F4991" s="199" t="s">
        <v>593</v>
      </c>
      <c r="G4991" s="191" t="s">
        <v>8277</v>
      </c>
      <c r="H4991" s="199" t="s">
        <v>8278</v>
      </c>
      <c r="I4991" s="197" t="s">
        <v>8279</v>
      </c>
      <c r="J4991" s="148" t="s">
        <v>63</v>
      </c>
      <c r="K4991" s="148" t="s">
        <v>4434</v>
      </c>
      <c r="L4991" s="148" t="s">
        <v>65</v>
      </c>
      <c r="M4991" s="148" t="s">
        <v>185</v>
      </c>
      <c r="N4991" s="212">
        <v>46213.0</v>
      </c>
      <c r="O4991" s="148" t="s">
        <v>67</v>
      </c>
      <c r="P4991" s="148" t="s">
        <v>68</v>
      </c>
      <c r="Q4991" s="103"/>
      <c r="R4991" s="103"/>
      <c r="S4991" s="103"/>
      <c r="T4991" s="103"/>
      <c r="U4991" s="148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1">
        <v>4986.0</v>
      </c>
      <c r="B4992" s="90" t="s">
        <v>8280</v>
      </c>
      <c r="C4992" s="82" t="str">
        <f>VLOOKUP($B$7:$B$5000,SUM!$L$6:$L$500,1,FALSE)</f>
        <v>#N/A</v>
      </c>
      <c r="D4992" s="190" t="s">
        <v>8276</v>
      </c>
      <c r="E4992" s="198" t="s">
        <v>58</v>
      </c>
      <c r="F4992" s="199" t="s">
        <v>593</v>
      </c>
      <c r="G4992" s="191" t="s">
        <v>8281</v>
      </c>
      <c r="H4992" s="199" t="s">
        <v>8282</v>
      </c>
      <c r="I4992" s="197" t="s">
        <v>8279</v>
      </c>
      <c r="J4992" s="148" t="s">
        <v>63</v>
      </c>
      <c r="K4992" s="148" t="s">
        <v>4434</v>
      </c>
      <c r="L4992" s="148" t="s">
        <v>65</v>
      </c>
      <c r="M4992" s="148" t="s">
        <v>185</v>
      </c>
      <c r="N4992" s="212">
        <v>46213.0</v>
      </c>
      <c r="O4992" s="148" t="s">
        <v>67</v>
      </c>
      <c r="P4992" s="148" t="s">
        <v>68</v>
      </c>
      <c r="Q4992" s="103"/>
      <c r="R4992" s="103"/>
      <c r="S4992" s="103"/>
      <c r="T4992" s="103"/>
      <c r="U4992" s="148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1">
        <v>4987.0</v>
      </c>
      <c r="B4993" s="90" t="s">
        <v>8283</v>
      </c>
      <c r="C4993" s="82" t="str">
        <f>VLOOKUP($B$7:$B$5000,SUM!$L$6:$L$500,1,FALSE)</f>
        <v>#N/A</v>
      </c>
      <c r="D4993" s="190" t="s">
        <v>8284</v>
      </c>
      <c r="E4993" s="198" t="s">
        <v>58</v>
      </c>
      <c r="F4993" s="199" t="s">
        <v>593</v>
      </c>
      <c r="G4993" s="191" t="s">
        <v>8285</v>
      </c>
      <c r="H4993" s="199" t="s">
        <v>8286</v>
      </c>
      <c r="I4993" s="270" t="s">
        <v>8279</v>
      </c>
      <c r="J4993" s="148" t="s">
        <v>63</v>
      </c>
      <c r="K4993" s="148" t="s">
        <v>4434</v>
      </c>
      <c r="L4993" s="148" t="s">
        <v>65</v>
      </c>
      <c r="M4993" s="148" t="s">
        <v>185</v>
      </c>
      <c r="N4993" s="212">
        <v>46216.0</v>
      </c>
      <c r="O4993" s="148" t="s">
        <v>67</v>
      </c>
      <c r="P4993" s="148" t="s">
        <v>68</v>
      </c>
      <c r="Q4993" s="103"/>
      <c r="R4993" s="103"/>
      <c r="S4993" s="103"/>
      <c r="T4993" s="103"/>
      <c r="U4993" s="148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1">
        <v>4988.0</v>
      </c>
      <c r="B4994" s="90" t="s">
        <v>8287</v>
      </c>
      <c r="C4994" s="82" t="str">
        <f>VLOOKUP($B$7:$B$5000,SUM!$L$6:$L$500,1,FALSE)</f>
        <v>#N/A</v>
      </c>
      <c r="D4994" s="190" t="s">
        <v>8284</v>
      </c>
      <c r="E4994" s="198" t="s">
        <v>58</v>
      </c>
      <c r="F4994" s="199" t="s">
        <v>593</v>
      </c>
      <c r="G4994" s="191" t="s">
        <v>8285</v>
      </c>
      <c r="H4994" s="199" t="s">
        <v>8288</v>
      </c>
      <c r="I4994" s="197" t="s">
        <v>8279</v>
      </c>
      <c r="J4994" s="148" t="s">
        <v>63</v>
      </c>
      <c r="K4994" s="148" t="s">
        <v>4434</v>
      </c>
      <c r="L4994" s="148" t="s">
        <v>65</v>
      </c>
      <c r="M4994" s="148" t="s">
        <v>185</v>
      </c>
      <c r="N4994" s="212">
        <v>46216.0</v>
      </c>
      <c r="O4994" s="148" t="s">
        <v>67</v>
      </c>
      <c r="P4994" s="148" t="s">
        <v>68</v>
      </c>
      <c r="Q4994" s="103"/>
      <c r="R4994" s="103"/>
      <c r="S4994" s="103"/>
      <c r="T4994" s="103"/>
      <c r="U4994" s="148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1">
        <v>4989.0</v>
      </c>
      <c r="B4995" s="90" t="s">
        <v>8289</v>
      </c>
      <c r="C4995" s="82" t="str">
        <f>VLOOKUP($B$7:$B$5000,SUM!$L$6:$L$500,1,FALSE)</f>
        <v>#N/A</v>
      </c>
      <c r="D4995" s="190" t="s">
        <v>8284</v>
      </c>
      <c r="E4995" s="198" t="s">
        <v>58</v>
      </c>
      <c r="F4995" s="199" t="s">
        <v>593</v>
      </c>
      <c r="G4995" s="191" t="s">
        <v>8285</v>
      </c>
      <c r="H4995" s="199" t="s">
        <v>8290</v>
      </c>
      <c r="I4995" s="197" t="s">
        <v>8279</v>
      </c>
      <c r="J4995" s="148" t="s">
        <v>63</v>
      </c>
      <c r="K4995" s="148" t="s">
        <v>4434</v>
      </c>
      <c r="L4995" s="148" t="s">
        <v>65</v>
      </c>
      <c r="M4995" s="148" t="s">
        <v>185</v>
      </c>
      <c r="N4995" s="212">
        <v>46216.0</v>
      </c>
      <c r="O4995" s="148" t="s">
        <v>67</v>
      </c>
      <c r="P4995" s="148" t="s">
        <v>68</v>
      </c>
      <c r="Q4995" s="103"/>
      <c r="R4995" s="103"/>
      <c r="S4995" s="103"/>
      <c r="T4995" s="103"/>
      <c r="U4995" s="148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1">
        <v>4990.0</v>
      </c>
      <c r="B4996" s="90" t="s">
        <v>8291</v>
      </c>
      <c r="C4996" s="82" t="str">
        <f>VLOOKUP($B$7:$B$5000,SUM!$L$6:$L$500,1,FALSE)</f>
        <v>#N/A</v>
      </c>
      <c r="D4996" s="190" t="s">
        <v>8284</v>
      </c>
      <c r="E4996" s="198" t="s">
        <v>58</v>
      </c>
      <c r="F4996" s="148" t="s">
        <v>593</v>
      </c>
      <c r="G4996" s="191" t="s">
        <v>8285</v>
      </c>
      <c r="H4996" s="199" t="s">
        <v>8292</v>
      </c>
      <c r="I4996" s="197" t="s">
        <v>8279</v>
      </c>
      <c r="J4996" s="148" t="s">
        <v>63</v>
      </c>
      <c r="K4996" s="148" t="s">
        <v>4434</v>
      </c>
      <c r="L4996" s="148" t="s">
        <v>65</v>
      </c>
      <c r="M4996" s="148" t="s">
        <v>185</v>
      </c>
      <c r="N4996" s="212">
        <v>46216.0</v>
      </c>
      <c r="O4996" s="148" t="s">
        <v>67</v>
      </c>
      <c r="P4996" s="148" t="s">
        <v>68</v>
      </c>
      <c r="Q4996" s="103"/>
      <c r="R4996" s="103"/>
      <c r="S4996" s="103"/>
      <c r="T4996" s="103"/>
      <c r="U4996" s="148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1">
        <v>4991.0</v>
      </c>
      <c r="B4997" s="90" t="s">
        <v>8293</v>
      </c>
      <c r="C4997" s="82" t="str">
        <f>VLOOKUP($B$7:$B$5000,SUM!$L$6:$L$500,1,FALSE)</f>
        <v>#N/A</v>
      </c>
      <c r="D4997" s="190" t="s">
        <v>8284</v>
      </c>
      <c r="E4997" s="198" t="s">
        <v>58</v>
      </c>
      <c r="F4997" s="199" t="s">
        <v>593</v>
      </c>
      <c r="G4997" s="191" t="s">
        <v>8285</v>
      </c>
      <c r="H4997" s="199" t="s">
        <v>8294</v>
      </c>
      <c r="I4997" s="270" t="s">
        <v>8279</v>
      </c>
      <c r="J4997" s="148" t="s">
        <v>63</v>
      </c>
      <c r="K4997" s="148" t="s">
        <v>4434</v>
      </c>
      <c r="L4997" s="148" t="s">
        <v>65</v>
      </c>
      <c r="M4997" s="148" t="s">
        <v>185</v>
      </c>
      <c r="N4997" s="212">
        <v>46216.0</v>
      </c>
      <c r="O4997" s="148" t="s">
        <v>67</v>
      </c>
      <c r="P4997" s="148" t="s">
        <v>68</v>
      </c>
      <c r="Q4997" s="103"/>
      <c r="R4997" s="103"/>
      <c r="S4997" s="103"/>
      <c r="T4997" s="103"/>
      <c r="U4997" s="148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1">
        <v>4992.0</v>
      </c>
      <c r="B4998" s="90" t="s">
        <v>8295</v>
      </c>
      <c r="C4998" s="82" t="str">
        <f>VLOOKUP($B$7:$B$5000,SUM!$L$6:$L$500,1,FALSE)</f>
        <v>#N/A</v>
      </c>
      <c r="D4998" s="190" t="s">
        <v>8284</v>
      </c>
      <c r="E4998" s="198" t="s">
        <v>58</v>
      </c>
      <c r="F4998" s="199" t="s">
        <v>593</v>
      </c>
      <c r="G4998" s="189" t="s">
        <v>8285</v>
      </c>
      <c r="H4998" s="199" t="s">
        <v>8296</v>
      </c>
      <c r="I4998" s="197" t="s">
        <v>8279</v>
      </c>
      <c r="J4998" s="148" t="s">
        <v>63</v>
      </c>
      <c r="K4998" s="148" t="s">
        <v>4434</v>
      </c>
      <c r="L4998" s="148" t="s">
        <v>65</v>
      </c>
      <c r="M4998" s="148" t="s">
        <v>185</v>
      </c>
      <c r="N4998" s="212">
        <v>46216.0</v>
      </c>
      <c r="O4998" s="148" t="s">
        <v>67</v>
      </c>
      <c r="P4998" s="148" t="s">
        <v>68</v>
      </c>
      <c r="Q4998" s="103"/>
      <c r="R4998" s="103"/>
      <c r="S4998" s="103"/>
      <c r="T4998" s="103"/>
      <c r="U4998" s="148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1">
        <v>4993.0</v>
      </c>
      <c r="B4999" s="90" t="s">
        <v>8297</v>
      </c>
      <c r="C4999" s="82" t="str">
        <f>VLOOKUP($B$7:$B$5000,SUM!$L$6:$L$500,1,FALSE)</f>
        <v>#N/A</v>
      </c>
      <c r="D4999" s="190" t="s">
        <v>8284</v>
      </c>
      <c r="E4999" s="198" t="s">
        <v>58</v>
      </c>
      <c r="F4999" s="199" t="s">
        <v>593</v>
      </c>
      <c r="G4999" s="191" t="s">
        <v>8285</v>
      </c>
      <c r="H4999" s="199" t="s">
        <v>8298</v>
      </c>
      <c r="I4999" s="197" t="s">
        <v>8279</v>
      </c>
      <c r="J4999" s="148" t="s">
        <v>63</v>
      </c>
      <c r="K4999" s="148" t="s">
        <v>4434</v>
      </c>
      <c r="L4999" s="148" t="s">
        <v>65</v>
      </c>
      <c r="M4999" s="148" t="s">
        <v>185</v>
      </c>
      <c r="N4999" s="212">
        <v>46216.0</v>
      </c>
      <c r="O4999" s="148" t="s">
        <v>67</v>
      </c>
      <c r="P4999" s="148" t="s">
        <v>68</v>
      </c>
      <c r="Q4999" s="103"/>
      <c r="R4999" s="103"/>
      <c r="S4999" s="103"/>
      <c r="T4999" s="103"/>
      <c r="U4999" s="148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1">
        <v>4994.0</v>
      </c>
      <c r="B5000" s="90" t="s">
        <v>8299</v>
      </c>
      <c r="C5000" s="82" t="str">
        <f>VLOOKUP($B$7:$B$5000,SUM!$L$6:$L$500,1,FALSE)</f>
        <v>#N/A</v>
      </c>
      <c r="D5000" s="190" t="s">
        <v>8284</v>
      </c>
      <c r="E5000" s="198" t="s">
        <v>58</v>
      </c>
      <c r="F5000" s="199" t="s">
        <v>593</v>
      </c>
      <c r="G5000" s="191" t="s">
        <v>8285</v>
      </c>
      <c r="H5000" s="199" t="s">
        <v>8300</v>
      </c>
      <c r="I5000" s="197" t="s">
        <v>8279</v>
      </c>
      <c r="J5000" s="148" t="s">
        <v>63</v>
      </c>
      <c r="K5000" s="148" t="s">
        <v>4434</v>
      </c>
      <c r="L5000" s="148" t="s">
        <v>65</v>
      </c>
      <c r="M5000" s="148" t="s">
        <v>185</v>
      </c>
      <c r="N5000" s="212">
        <v>46216.0</v>
      </c>
      <c r="O5000" s="148" t="s">
        <v>67</v>
      </c>
      <c r="P5000" s="148" t="s">
        <v>68</v>
      </c>
      <c r="Q5000" s="103"/>
      <c r="R5000" s="103"/>
      <c r="S5000" s="103"/>
      <c r="T5000" s="103"/>
      <c r="U5000" s="148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1">
        <v>4995.0</v>
      </c>
      <c r="B5001" s="90" t="s">
        <v>8301</v>
      </c>
      <c r="C5001" s="82" t="str">
        <f>VLOOKUP($B$7:$B$5000,SUM!$L$6:$L$500,1,FALSE)</f>
        <v>#VALUE!</v>
      </c>
      <c r="D5001" s="190" t="s">
        <v>8284</v>
      </c>
      <c r="E5001" s="198" t="s">
        <v>58</v>
      </c>
      <c r="F5001" s="199" t="s">
        <v>593</v>
      </c>
      <c r="G5001" s="191" t="s">
        <v>8285</v>
      </c>
      <c r="H5001" s="199" t="s">
        <v>8302</v>
      </c>
      <c r="I5001" s="197" t="s">
        <v>8279</v>
      </c>
      <c r="J5001" s="148" t="s">
        <v>63</v>
      </c>
      <c r="K5001" s="148" t="s">
        <v>4434</v>
      </c>
      <c r="L5001" s="148" t="s">
        <v>65</v>
      </c>
      <c r="M5001" s="148" t="s">
        <v>185</v>
      </c>
      <c r="N5001" s="212">
        <v>46216.0</v>
      </c>
      <c r="O5001" s="148" t="s">
        <v>67</v>
      </c>
      <c r="P5001" s="148" t="s">
        <v>68</v>
      </c>
      <c r="Q5001" s="103"/>
      <c r="R5001" s="103"/>
      <c r="S5001" s="103"/>
      <c r="T5001" s="103"/>
      <c r="U5001" s="148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1">
        <v>4996.0</v>
      </c>
      <c r="B5002" s="90" t="s">
        <v>8303</v>
      </c>
      <c r="C5002" s="82" t="str">
        <f>VLOOKUP($B$7:$B$5000,SUM!$L$6:$L$500,1,FALSE)</f>
        <v>#VALUE!</v>
      </c>
      <c r="D5002" s="190" t="s">
        <v>8284</v>
      </c>
      <c r="E5002" s="198" t="s">
        <v>58</v>
      </c>
      <c r="F5002" s="199" t="s">
        <v>593</v>
      </c>
      <c r="G5002" s="191" t="s">
        <v>8285</v>
      </c>
      <c r="H5002" s="199" t="s">
        <v>8304</v>
      </c>
      <c r="I5002" s="197" t="s">
        <v>8279</v>
      </c>
      <c r="J5002" s="148" t="s">
        <v>63</v>
      </c>
      <c r="K5002" s="148" t="s">
        <v>4434</v>
      </c>
      <c r="L5002" s="148" t="s">
        <v>65</v>
      </c>
      <c r="M5002" s="148" t="s">
        <v>185</v>
      </c>
      <c r="N5002" s="212">
        <v>46216.0</v>
      </c>
      <c r="O5002" s="148" t="s">
        <v>67</v>
      </c>
      <c r="P5002" s="148" t="s">
        <v>68</v>
      </c>
      <c r="Q5002" s="103"/>
      <c r="R5002" s="103"/>
      <c r="S5002" s="103"/>
      <c r="T5002" s="103"/>
      <c r="U5002" s="148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1">
        <v>4997.0</v>
      </c>
      <c r="B5003" s="90" t="s">
        <v>8305</v>
      </c>
      <c r="C5003" s="82" t="str">
        <f>VLOOKUP($B$7:$B$5000,SUM!$L$6:$L$500,1,FALSE)</f>
        <v>#VALUE!</v>
      </c>
      <c r="D5003" s="190" t="s">
        <v>8306</v>
      </c>
      <c r="E5003" s="198" t="s">
        <v>58</v>
      </c>
      <c r="F5003" s="199" t="s">
        <v>6042</v>
      </c>
      <c r="G5003" s="191" t="s">
        <v>1362</v>
      </c>
      <c r="H5003" s="199" t="s">
        <v>8307</v>
      </c>
      <c r="I5003" s="197" t="s">
        <v>8308</v>
      </c>
      <c r="J5003" s="148" t="s">
        <v>74</v>
      </c>
      <c r="K5003" s="148" t="s">
        <v>64</v>
      </c>
      <c r="L5003" s="148" t="s">
        <v>65</v>
      </c>
      <c r="M5003" s="148" t="s">
        <v>66</v>
      </c>
      <c r="N5003" s="212">
        <v>46224.0</v>
      </c>
      <c r="O5003" s="148" t="s">
        <v>67</v>
      </c>
      <c r="P5003" s="148" t="s">
        <v>68</v>
      </c>
      <c r="Q5003" s="103"/>
      <c r="R5003" s="103"/>
      <c r="S5003" s="103"/>
      <c r="T5003" s="103"/>
      <c r="U5003" s="148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1">
        <v>4998.0</v>
      </c>
      <c r="B5004" s="90" t="s">
        <v>8309</v>
      </c>
      <c r="C5004" s="82" t="str">
        <f>VLOOKUP($B$7:$B$5000,SUM!$L$6:$L$500,1,FALSE)</f>
        <v>#VALUE!</v>
      </c>
      <c r="D5004" s="190" t="s">
        <v>8306</v>
      </c>
      <c r="E5004" s="198" t="s">
        <v>58</v>
      </c>
      <c r="F5004" s="199" t="s">
        <v>6042</v>
      </c>
      <c r="G5004" s="191" t="s">
        <v>1362</v>
      </c>
      <c r="H5004" s="199" t="s">
        <v>8307</v>
      </c>
      <c r="I5004" s="197" t="s">
        <v>8310</v>
      </c>
      <c r="J5004" s="148" t="s">
        <v>63</v>
      </c>
      <c r="K5004" s="148" t="s">
        <v>64</v>
      </c>
      <c r="L5004" s="148" t="s">
        <v>65</v>
      </c>
      <c r="M5004" s="148" t="s">
        <v>66</v>
      </c>
      <c r="N5004" s="212">
        <v>46224.0</v>
      </c>
      <c r="O5004" s="148" t="s">
        <v>67</v>
      </c>
      <c r="P5004" s="148" t="s">
        <v>68</v>
      </c>
      <c r="Q5004" s="103"/>
      <c r="R5004" s="103"/>
      <c r="S5004" s="103"/>
      <c r="T5004" s="103"/>
      <c r="U5004" s="148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1">
        <v>4999.0</v>
      </c>
      <c r="B5005" s="90" t="s">
        <v>8311</v>
      </c>
      <c r="C5005" s="82" t="str">
        <f>VLOOKUP($B$7:$B$5000,SUM!$L$6:$L$500,1,FALSE)</f>
        <v>#VALUE!</v>
      </c>
      <c r="D5005" s="190" t="s">
        <v>8306</v>
      </c>
      <c r="E5005" s="198" t="s">
        <v>58</v>
      </c>
      <c r="F5005" s="199" t="s">
        <v>6042</v>
      </c>
      <c r="G5005" s="191" t="s">
        <v>1362</v>
      </c>
      <c r="H5005" s="199" t="s">
        <v>8307</v>
      </c>
      <c r="I5005" s="197" t="s">
        <v>8312</v>
      </c>
      <c r="J5005" s="148" t="s">
        <v>74</v>
      </c>
      <c r="K5005" s="148" t="s">
        <v>64</v>
      </c>
      <c r="L5005" s="148" t="s">
        <v>65</v>
      </c>
      <c r="M5005" s="148" t="s">
        <v>66</v>
      </c>
      <c r="N5005" s="212">
        <v>46224.0</v>
      </c>
      <c r="O5005" s="148" t="s">
        <v>67</v>
      </c>
      <c r="P5005" s="148" t="s">
        <v>68</v>
      </c>
      <c r="Q5005" s="103"/>
      <c r="R5005" s="103"/>
      <c r="S5005" s="103"/>
      <c r="T5005" s="103"/>
      <c r="U5005" s="148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1">
        <v>5000.0</v>
      </c>
      <c r="B5006" s="90" t="s">
        <v>8313</v>
      </c>
      <c r="C5006" s="82" t="str">
        <f>VLOOKUP($B$7:$B$5000,SUM!$L$6:$L$500,1,FALSE)</f>
        <v>#VALUE!</v>
      </c>
      <c r="D5006" s="271" t="s">
        <v>8314</v>
      </c>
      <c r="E5006" s="272" t="s">
        <v>58</v>
      </c>
      <c r="F5006" s="148" t="s">
        <v>593</v>
      </c>
      <c r="G5006" s="189" t="s">
        <v>2719</v>
      </c>
      <c r="H5006" s="148" t="s">
        <v>8315</v>
      </c>
      <c r="I5006" s="270" t="s">
        <v>8279</v>
      </c>
      <c r="J5006" s="148" t="s">
        <v>63</v>
      </c>
      <c r="K5006" s="148" t="s">
        <v>4434</v>
      </c>
      <c r="L5006" s="148" t="s">
        <v>65</v>
      </c>
      <c r="M5006" s="148" t="s">
        <v>185</v>
      </c>
      <c r="N5006" s="212">
        <v>46219.0</v>
      </c>
      <c r="O5006" s="148" t="s">
        <v>67</v>
      </c>
      <c r="P5006" s="148" t="s">
        <v>68</v>
      </c>
      <c r="Q5006" s="103"/>
      <c r="R5006" s="103"/>
      <c r="S5006" s="103"/>
      <c r="T5006" s="103"/>
      <c r="U5006" s="148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1">
        <v>5001.0</v>
      </c>
      <c r="B5007" s="90" t="s">
        <v>8316</v>
      </c>
      <c r="C5007" s="82" t="str">
        <f>VLOOKUP($B$7:$B$5000,SUM!$L$6:$L$500,1,FALSE)</f>
        <v>#VALUE!</v>
      </c>
      <c r="D5007" s="271" t="s">
        <v>8314</v>
      </c>
      <c r="E5007" s="272" t="s">
        <v>58</v>
      </c>
      <c r="F5007" s="148" t="s">
        <v>593</v>
      </c>
      <c r="G5007" s="189" t="s">
        <v>2719</v>
      </c>
      <c r="H5007" s="148" t="s">
        <v>8317</v>
      </c>
      <c r="I5007" s="270" t="s">
        <v>8279</v>
      </c>
      <c r="J5007" s="148" t="s">
        <v>63</v>
      </c>
      <c r="K5007" s="148" t="s">
        <v>4434</v>
      </c>
      <c r="L5007" s="148" t="s">
        <v>65</v>
      </c>
      <c r="M5007" s="148" t="s">
        <v>185</v>
      </c>
      <c r="N5007" s="212">
        <v>46219.0</v>
      </c>
      <c r="O5007" s="148" t="s">
        <v>67</v>
      </c>
      <c r="P5007" s="148" t="s">
        <v>68</v>
      </c>
      <c r="Q5007" s="103"/>
      <c r="R5007" s="103"/>
      <c r="S5007" s="103"/>
      <c r="T5007" s="103"/>
      <c r="U5007" s="148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1">
        <v>5002.0</v>
      </c>
      <c r="B5008" s="90" t="s">
        <v>8318</v>
      </c>
      <c r="C5008" s="82" t="str">
        <f>VLOOKUP($B$7:$B$5000,SUM!$L$6:$L$500,1,FALSE)</f>
        <v>#VALUE!</v>
      </c>
      <c r="D5008" s="271" t="s">
        <v>8314</v>
      </c>
      <c r="E5008" s="272" t="s">
        <v>58</v>
      </c>
      <c r="F5008" s="148" t="s">
        <v>593</v>
      </c>
      <c r="G5008" s="189" t="s">
        <v>2719</v>
      </c>
      <c r="H5008" s="148" t="s">
        <v>8319</v>
      </c>
      <c r="I5008" s="270" t="s">
        <v>8279</v>
      </c>
      <c r="J5008" s="148" t="s">
        <v>63</v>
      </c>
      <c r="K5008" s="148" t="s">
        <v>4434</v>
      </c>
      <c r="L5008" s="148" t="s">
        <v>65</v>
      </c>
      <c r="M5008" s="148" t="s">
        <v>185</v>
      </c>
      <c r="N5008" s="212">
        <v>46219.0</v>
      </c>
      <c r="O5008" s="148" t="s">
        <v>67</v>
      </c>
      <c r="P5008" s="148" t="s">
        <v>68</v>
      </c>
      <c r="Q5008" s="103"/>
      <c r="R5008" s="103"/>
      <c r="S5008" s="103"/>
      <c r="T5008" s="103"/>
      <c r="U5008" s="148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1">
        <v>5003.0</v>
      </c>
      <c r="B5009" s="90" t="s">
        <v>8320</v>
      </c>
      <c r="C5009" s="273" t="str">
        <f>VLOOKUP($B$7:$B$5000,SUM!$L$6:$L$500,1,FALSE)</f>
        <v>#VALUE!</v>
      </c>
      <c r="D5009" s="271" t="s">
        <v>8321</v>
      </c>
      <c r="E5009" s="272" t="s">
        <v>58</v>
      </c>
      <c r="F5009" s="148" t="s">
        <v>593</v>
      </c>
      <c r="G5009" s="189" t="s">
        <v>2719</v>
      </c>
      <c r="H5009" s="148" t="s">
        <v>8322</v>
      </c>
      <c r="I5009" s="270" t="s">
        <v>8323</v>
      </c>
      <c r="J5009" s="148" t="s">
        <v>63</v>
      </c>
      <c r="K5009" s="148" t="s">
        <v>4434</v>
      </c>
      <c r="L5009" s="148" t="s">
        <v>65</v>
      </c>
      <c r="M5009" s="148" t="s">
        <v>66</v>
      </c>
      <c r="N5009" s="212">
        <v>46225.0</v>
      </c>
      <c r="O5009" s="148" t="s">
        <v>67</v>
      </c>
      <c r="P5009" s="148" t="s">
        <v>68</v>
      </c>
      <c r="Q5009" s="103"/>
      <c r="R5009" s="103"/>
      <c r="S5009" s="103"/>
      <c r="T5009" s="103"/>
      <c r="U5009" s="148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1">
        <v>5004.0</v>
      </c>
      <c r="B5010" s="90" t="s">
        <v>8324</v>
      </c>
      <c r="C5010" s="273" t="str">
        <f>VLOOKUP($B$7:$B$5000,SUM!$L$6:$L$500,1,FALSE)</f>
        <v>#VALUE!</v>
      </c>
      <c r="D5010" s="271" t="s">
        <v>8321</v>
      </c>
      <c r="E5010" s="272" t="s">
        <v>58</v>
      </c>
      <c r="F5010" s="148" t="s">
        <v>593</v>
      </c>
      <c r="G5010" s="189" t="s">
        <v>2719</v>
      </c>
      <c r="H5010" s="148" t="s">
        <v>8325</v>
      </c>
      <c r="I5010" s="270" t="s">
        <v>8323</v>
      </c>
      <c r="J5010" s="148" t="s">
        <v>63</v>
      </c>
      <c r="K5010" s="148" t="s">
        <v>4434</v>
      </c>
      <c r="L5010" s="148" t="s">
        <v>65</v>
      </c>
      <c r="M5010" s="148" t="s">
        <v>66</v>
      </c>
      <c r="N5010" s="212">
        <v>46225.0</v>
      </c>
      <c r="O5010" s="148" t="s">
        <v>67</v>
      </c>
      <c r="P5010" s="148" t="s">
        <v>68</v>
      </c>
      <c r="Q5010" s="103"/>
      <c r="R5010" s="103"/>
      <c r="S5010" s="103"/>
      <c r="T5010" s="103"/>
      <c r="U5010" s="148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1">
        <v>5005.0</v>
      </c>
      <c r="B5011" s="90" t="s">
        <v>8326</v>
      </c>
      <c r="C5011" s="273" t="str">
        <f>VLOOKUP($B$7:$B$5000,SUM!$L$6:$L$500,1,FALSE)</f>
        <v>#VALUE!</v>
      </c>
      <c r="D5011" s="271" t="s">
        <v>8321</v>
      </c>
      <c r="E5011" s="272" t="s">
        <v>58</v>
      </c>
      <c r="F5011" s="148" t="s">
        <v>593</v>
      </c>
      <c r="G5011" s="189" t="s">
        <v>2719</v>
      </c>
      <c r="H5011" s="148" t="s">
        <v>8327</v>
      </c>
      <c r="I5011" s="270" t="s">
        <v>8323</v>
      </c>
      <c r="J5011" s="148" t="s">
        <v>63</v>
      </c>
      <c r="K5011" s="148" t="s">
        <v>4434</v>
      </c>
      <c r="L5011" s="148" t="s">
        <v>65</v>
      </c>
      <c r="M5011" s="148" t="s">
        <v>66</v>
      </c>
      <c r="N5011" s="212">
        <v>46225.0</v>
      </c>
      <c r="O5011" s="148" t="s">
        <v>67</v>
      </c>
      <c r="P5011" s="148" t="s">
        <v>68</v>
      </c>
      <c r="Q5011" s="103"/>
      <c r="R5011" s="103"/>
      <c r="S5011" s="103"/>
      <c r="T5011" s="103"/>
      <c r="U5011" s="148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1">
        <v>5006.0</v>
      </c>
      <c r="B5012" s="90" t="s">
        <v>8328</v>
      </c>
      <c r="C5012" s="273" t="str">
        <f>VLOOKUP($B$7:$B$5000,SUM!$L$6:$L$500,1,FALSE)</f>
        <v>#VALUE!</v>
      </c>
      <c r="D5012" s="271" t="s">
        <v>8321</v>
      </c>
      <c r="E5012" s="272" t="s">
        <v>58</v>
      </c>
      <c r="F5012" s="148" t="s">
        <v>593</v>
      </c>
      <c r="G5012" s="189" t="s">
        <v>2719</v>
      </c>
      <c r="H5012" s="148" t="s">
        <v>8329</v>
      </c>
      <c r="I5012" s="270" t="s">
        <v>8323</v>
      </c>
      <c r="J5012" s="148" t="s">
        <v>63</v>
      </c>
      <c r="K5012" s="148" t="s">
        <v>4434</v>
      </c>
      <c r="L5012" s="148" t="s">
        <v>65</v>
      </c>
      <c r="M5012" s="148" t="s">
        <v>66</v>
      </c>
      <c r="N5012" s="212">
        <v>46225.0</v>
      </c>
      <c r="O5012" s="148" t="s">
        <v>67</v>
      </c>
      <c r="P5012" s="148" t="s">
        <v>68</v>
      </c>
      <c r="Q5012" s="103"/>
      <c r="R5012" s="103"/>
      <c r="S5012" s="103"/>
      <c r="T5012" s="103"/>
      <c r="U5012" s="148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1">
        <v>5007.0</v>
      </c>
      <c r="B5013" s="90" t="s">
        <v>8330</v>
      </c>
      <c r="C5013" s="273" t="str">
        <f>VLOOKUP($B$7:$B$5000,SUM!$L$6:$L$500,1,FALSE)</f>
        <v>#VALUE!</v>
      </c>
      <c r="D5013" s="271" t="s">
        <v>8321</v>
      </c>
      <c r="E5013" s="272" t="s">
        <v>58</v>
      </c>
      <c r="F5013" s="148" t="s">
        <v>593</v>
      </c>
      <c r="G5013" s="189" t="s">
        <v>2719</v>
      </c>
      <c r="H5013" s="148" t="s">
        <v>8331</v>
      </c>
      <c r="I5013" s="270" t="s">
        <v>8323</v>
      </c>
      <c r="J5013" s="148" t="s">
        <v>63</v>
      </c>
      <c r="K5013" s="148" t="s">
        <v>4434</v>
      </c>
      <c r="L5013" s="148" t="s">
        <v>65</v>
      </c>
      <c r="M5013" s="148" t="s">
        <v>66</v>
      </c>
      <c r="N5013" s="212">
        <v>46225.0</v>
      </c>
      <c r="O5013" s="148" t="s">
        <v>67</v>
      </c>
      <c r="P5013" s="148" t="s">
        <v>68</v>
      </c>
      <c r="Q5013" s="103"/>
      <c r="R5013" s="103"/>
      <c r="S5013" s="103"/>
      <c r="T5013" s="103"/>
      <c r="U5013" s="148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1">
        <v>5008.0</v>
      </c>
      <c r="B5014" s="90" t="s">
        <v>8332</v>
      </c>
      <c r="C5014" s="273" t="str">
        <f>VLOOKUP($B$7:$B$5000,SUM!$L$6:$L$500,1,FALSE)</f>
        <v>#VALUE!</v>
      </c>
      <c r="D5014" s="271" t="s">
        <v>8321</v>
      </c>
      <c r="E5014" s="272" t="s">
        <v>58</v>
      </c>
      <c r="F5014" s="148" t="s">
        <v>593</v>
      </c>
      <c r="G5014" s="189" t="s">
        <v>2719</v>
      </c>
      <c r="H5014" s="148" t="s">
        <v>8331</v>
      </c>
      <c r="I5014" s="270" t="s">
        <v>8279</v>
      </c>
      <c r="J5014" s="148" t="s">
        <v>63</v>
      </c>
      <c r="K5014" s="148" t="s">
        <v>4434</v>
      </c>
      <c r="L5014" s="148" t="s">
        <v>65</v>
      </c>
      <c r="M5014" s="148" t="s">
        <v>66</v>
      </c>
      <c r="N5014" s="212">
        <v>46225.0</v>
      </c>
      <c r="O5014" s="148" t="s">
        <v>67</v>
      </c>
      <c r="P5014" s="148" t="s">
        <v>68</v>
      </c>
      <c r="Q5014" s="103"/>
      <c r="R5014" s="103"/>
      <c r="S5014" s="103"/>
      <c r="T5014" s="103"/>
      <c r="U5014" s="148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1">
        <v>5009.0</v>
      </c>
      <c r="B5015" s="90" t="s">
        <v>8333</v>
      </c>
      <c r="C5015" s="82" t="str">
        <f>VLOOKUP($B$7:$B$5000,SUM!$L$6:$L$500,1,FALSE)</f>
        <v>#VALUE!</v>
      </c>
      <c r="D5015" s="190" t="s">
        <v>8334</v>
      </c>
      <c r="E5015" s="272" t="s">
        <v>58</v>
      </c>
      <c r="F5015" s="199" t="s">
        <v>8335</v>
      </c>
      <c r="G5015" s="191" t="s">
        <v>8336</v>
      </c>
      <c r="H5015" s="199" t="s">
        <v>5667</v>
      </c>
      <c r="I5015" s="197" t="s">
        <v>8337</v>
      </c>
      <c r="J5015" s="148" t="s">
        <v>63</v>
      </c>
      <c r="K5015" s="148" t="s">
        <v>64</v>
      </c>
      <c r="L5015" s="148" t="s">
        <v>65</v>
      </c>
      <c r="M5015" s="148" t="s">
        <v>66</v>
      </c>
      <c r="N5015" s="212">
        <v>46226.0</v>
      </c>
      <c r="O5015" s="148" t="s">
        <v>67</v>
      </c>
      <c r="P5015" s="148" t="s">
        <v>68</v>
      </c>
      <c r="Q5015" s="103"/>
      <c r="R5015" s="103"/>
      <c r="S5015" s="103"/>
      <c r="T5015" s="103"/>
      <c r="U5015" s="148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1">
        <v>5010.0</v>
      </c>
      <c r="B5016" s="90" t="s">
        <v>8338</v>
      </c>
      <c r="C5016" s="82" t="str">
        <f>VLOOKUP($B$7:$B$5000,SUM!$L$6:$L$500,1,FALSE)</f>
        <v>#VALUE!</v>
      </c>
      <c r="D5016" s="190" t="s">
        <v>8334</v>
      </c>
      <c r="E5016" s="272" t="s">
        <v>58</v>
      </c>
      <c r="F5016" s="199" t="s">
        <v>8335</v>
      </c>
      <c r="G5016" s="191" t="s">
        <v>8336</v>
      </c>
      <c r="H5016" s="199" t="s">
        <v>5669</v>
      </c>
      <c r="I5016" s="197" t="s">
        <v>8337</v>
      </c>
      <c r="J5016" s="148" t="s">
        <v>63</v>
      </c>
      <c r="K5016" s="148" t="s">
        <v>64</v>
      </c>
      <c r="L5016" s="148" t="s">
        <v>65</v>
      </c>
      <c r="M5016" s="148" t="s">
        <v>66</v>
      </c>
      <c r="N5016" s="212">
        <v>46226.0</v>
      </c>
      <c r="O5016" s="148" t="s">
        <v>67</v>
      </c>
      <c r="P5016" s="148" t="s">
        <v>68</v>
      </c>
      <c r="Q5016" s="103"/>
      <c r="R5016" s="103"/>
      <c r="S5016" s="103"/>
      <c r="T5016" s="103"/>
      <c r="U5016" s="148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1">
        <v>5011.0</v>
      </c>
      <c r="B5017" s="90" t="s">
        <v>8339</v>
      </c>
      <c r="C5017" s="82" t="str">
        <f>VLOOKUP($B$7:$B$5000,SUM!$L$6:$L$500,1,FALSE)</f>
        <v>#VALUE!</v>
      </c>
      <c r="D5017" s="190" t="s">
        <v>8334</v>
      </c>
      <c r="E5017" s="272" t="s">
        <v>58</v>
      </c>
      <c r="F5017" s="199" t="s">
        <v>8335</v>
      </c>
      <c r="G5017" s="191" t="s">
        <v>8336</v>
      </c>
      <c r="H5017" s="199" t="s">
        <v>6064</v>
      </c>
      <c r="I5017" s="197" t="s">
        <v>8337</v>
      </c>
      <c r="J5017" s="148" t="s">
        <v>63</v>
      </c>
      <c r="K5017" s="148" t="s">
        <v>64</v>
      </c>
      <c r="L5017" s="148" t="s">
        <v>65</v>
      </c>
      <c r="M5017" s="148" t="s">
        <v>66</v>
      </c>
      <c r="N5017" s="212">
        <v>46226.0</v>
      </c>
      <c r="O5017" s="148" t="s">
        <v>67</v>
      </c>
      <c r="P5017" s="148" t="s">
        <v>68</v>
      </c>
      <c r="Q5017" s="103"/>
      <c r="R5017" s="103"/>
      <c r="S5017" s="103"/>
      <c r="T5017" s="103"/>
      <c r="U5017" s="148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1">
        <v>5012.0</v>
      </c>
      <c r="B5018" s="90" t="s">
        <v>8340</v>
      </c>
      <c r="C5018" s="82" t="str">
        <f>VLOOKUP($B$7:$B$5000,SUM!$L$6:$L$500,1,FALSE)</f>
        <v>#VALUE!</v>
      </c>
      <c r="D5018" s="190" t="s">
        <v>8334</v>
      </c>
      <c r="E5018" s="272" t="s">
        <v>58</v>
      </c>
      <c r="F5018" s="199" t="s">
        <v>8335</v>
      </c>
      <c r="G5018" s="191" t="s">
        <v>8336</v>
      </c>
      <c r="H5018" s="199" t="s">
        <v>5671</v>
      </c>
      <c r="I5018" s="197" t="s">
        <v>8337</v>
      </c>
      <c r="J5018" s="148" t="s">
        <v>63</v>
      </c>
      <c r="K5018" s="148" t="s">
        <v>64</v>
      </c>
      <c r="L5018" s="148" t="s">
        <v>65</v>
      </c>
      <c r="M5018" s="148" t="s">
        <v>66</v>
      </c>
      <c r="N5018" s="212">
        <v>46226.0</v>
      </c>
      <c r="O5018" s="148" t="s">
        <v>67</v>
      </c>
      <c r="P5018" s="148" t="s">
        <v>68</v>
      </c>
      <c r="Q5018" s="103"/>
      <c r="R5018" s="103"/>
      <c r="S5018" s="103"/>
      <c r="T5018" s="103"/>
      <c r="U5018" s="148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1">
        <v>5013.0</v>
      </c>
      <c r="B5019" s="90" t="s">
        <v>8341</v>
      </c>
      <c r="C5019" s="82" t="str">
        <f>VLOOKUP($B$7:$B$5000,SUM!$L$6:$L$500,1,FALSE)</f>
        <v>#VALUE!</v>
      </c>
      <c r="D5019" s="190" t="s">
        <v>8334</v>
      </c>
      <c r="E5019" s="272" t="s">
        <v>58</v>
      </c>
      <c r="F5019" s="199" t="s">
        <v>8335</v>
      </c>
      <c r="G5019" s="191" t="s">
        <v>8336</v>
      </c>
      <c r="H5019" s="199" t="s">
        <v>6067</v>
      </c>
      <c r="I5019" s="197" t="s">
        <v>8337</v>
      </c>
      <c r="J5019" s="148" t="s">
        <v>63</v>
      </c>
      <c r="K5019" s="148" t="s">
        <v>64</v>
      </c>
      <c r="L5019" s="148" t="s">
        <v>65</v>
      </c>
      <c r="M5019" s="148" t="s">
        <v>66</v>
      </c>
      <c r="N5019" s="212">
        <v>46226.0</v>
      </c>
      <c r="O5019" s="148" t="s">
        <v>67</v>
      </c>
      <c r="P5019" s="148" t="s">
        <v>68</v>
      </c>
      <c r="Q5019" s="103"/>
      <c r="R5019" s="103"/>
      <c r="S5019" s="103"/>
      <c r="T5019" s="103"/>
      <c r="U5019" s="148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1">
        <v>5014.0</v>
      </c>
      <c r="B5020" s="90" t="s">
        <v>8342</v>
      </c>
      <c r="C5020" s="82" t="str">
        <f>VLOOKUP($B$7:$B$5000,SUM!$L$6:$L$500,1,FALSE)</f>
        <v>#VALUE!</v>
      </c>
      <c r="D5020" s="190" t="s">
        <v>8334</v>
      </c>
      <c r="E5020" s="272" t="s">
        <v>58</v>
      </c>
      <c r="F5020" s="199" t="s">
        <v>8335</v>
      </c>
      <c r="G5020" s="191" t="s">
        <v>8336</v>
      </c>
      <c r="H5020" s="199" t="s">
        <v>6069</v>
      </c>
      <c r="I5020" s="197" t="s">
        <v>8337</v>
      </c>
      <c r="J5020" s="148" t="s">
        <v>63</v>
      </c>
      <c r="K5020" s="148" t="s">
        <v>64</v>
      </c>
      <c r="L5020" s="148" t="s">
        <v>65</v>
      </c>
      <c r="M5020" s="148" t="s">
        <v>66</v>
      </c>
      <c r="N5020" s="212">
        <v>46226.0</v>
      </c>
      <c r="O5020" s="148" t="s">
        <v>67</v>
      </c>
      <c r="P5020" s="148" t="s">
        <v>68</v>
      </c>
      <c r="Q5020" s="103"/>
      <c r="R5020" s="103"/>
      <c r="S5020" s="103"/>
      <c r="T5020" s="103"/>
      <c r="U5020" s="148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1">
        <v>5015.0</v>
      </c>
      <c r="B5021" s="90" t="s">
        <v>8343</v>
      </c>
      <c r="C5021" s="82" t="str">
        <f>VLOOKUP($B$7:$B$5000,SUM!$L$6:$L$500,1,FALSE)</f>
        <v>#VALUE!</v>
      </c>
      <c r="D5021" s="190" t="s">
        <v>8334</v>
      </c>
      <c r="E5021" s="272" t="s">
        <v>58</v>
      </c>
      <c r="F5021" s="199" t="s">
        <v>8335</v>
      </c>
      <c r="G5021" s="191" t="s">
        <v>8336</v>
      </c>
      <c r="H5021" s="199" t="s">
        <v>6071</v>
      </c>
      <c r="I5021" s="197" t="s">
        <v>8337</v>
      </c>
      <c r="J5021" s="148" t="s">
        <v>63</v>
      </c>
      <c r="K5021" s="148" t="s">
        <v>64</v>
      </c>
      <c r="L5021" s="148" t="s">
        <v>65</v>
      </c>
      <c r="M5021" s="148" t="s">
        <v>66</v>
      </c>
      <c r="N5021" s="212">
        <v>46226.0</v>
      </c>
      <c r="O5021" s="148" t="s">
        <v>67</v>
      </c>
      <c r="P5021" s="148" t="s">
        <v>68</v>
      </c>
      <c r="Q5021" s="103"/>
      <c r="R5021" s="103"/>
      <c r="S5021" s="103"/>
      <c r="T5021" s="103"/>
      <c r="U5021" s="148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1">
        <v>5016.0</v>
      </c>
      <c r="B5022" s="90" t="s">
        <v>8344</v>
      </c>
      <c r="C5022" s="82" t="str">
        <f>VLOOKUP($B$7:$B$5000,SUM!$L$6:$L$500,1,FALSE)</f>
        <v>#VALUE!</v>
      </c>
      <c r="D5022" s="190" t="s">
        <v>8334</v>
      </c>
      <c r="E5022" s="272" t="s">
        <v>58</v>
      </c>
      <c r="F5022" s="199" t="s">
        <v>8335</v>
      </c>
      <c r="G5022" s="191" t="s">
        <v>8336</v>
      </c>
      <c r="H5022" s="199" t="s">
        <v>6073</v>
      </c>
      <c r="I5022" s="197" t="s">
        <v>8337</v>
      </c>
      <c r="J5022" s="148" t="s">
        <v>63</v>
      </c>
      <c r="K5022" s="148" t="s">
        <v>64</v>
      </c>
      <c r="L5022" s="148" t="s">
        <v>65</v>
      </c>
      <c r="M5022" s="148" t="s">
        <v>66</v>
      </c>
      <c r="N5022" s="212">
        <v>46226.0</v>
      </c>
      <c r="O5022" s="148" t="s">
        <v>67</v>
      </c>
      <c r="P5022" s="148" t="s">
        <v>68</v>
      </c>
      <c r="Q5022" s="103"/>
      <c r="R5022" s="103"/>
      <c r="S5022" s="103"/>
      <c r="T5022" s="103"/>
      <c r="U5022" s="148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1">
        <v>5017.0</v>
      </c>
      <c r="B5023" s="90" t="s">
        <v>8345</v>
      </c>
      <c r="C5023" s="82" t="str">
        <f>VLOOKUP($B$7:$B$5000,SUM!$L$6:$L$500,1,FALSE)</f>
        <v>#VALUE!</v>
      </c>
      <c r="D5023" s="190" t="s">
        <v>8334</v>
      </c>
      <c r="E5023" s="272" t="s">
        <v>58</v>
      </c>
      <c r="F5023" s="199" t="s">
        <v>8335</v>
      </c>
      <c r="G5023" s="191" t="s">
        <v>8336</v>
      </c>
      <c r="H5023" s="199" t="s">
        <v>6075</v>
      </c>
      <c r="I5023" s="197" t="s">
        <v>8337</v>
      </c>
      <c r="J5023" s="148" t="s">
        <v>63</v>
      </c>
      <c r="K5023" s="148" t="s">
        <v>64</v>
      </c>
      <c r="L5023" s="148" t="s">
        <v>65</v>
      </c>
      <c r="M5023" s="148" t="s">
        <v>66</v>
      </c>
      <c r="N5023" s="212">
        <v>46226.0</v>
      </c>
      <c r="O5023" s="148" t="s">
        <v>67</v>
      </c>
      <c r="P5023" s="148" t="s">
        <v>68</v>
      </c>
      <c r="Q5023" s="103"/>
      <c r="R5023" s="103"/>
      <c r="S5023" s="103"/>
      <c r="T5023" s="103"/>
      <c r="U5023" s="148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1">
        <v>5018.0</v>
      </c>
      <c r="B5024" s="90" t="s">
        <v>8346</v>
      </c>
      <c r="C5024" s="82" t="str">
        <f>VLOOKUP($B$7:$B$5000,SUM!$L$6:$L$500,1,FALSE)</f>
        <v>#VALUE!</v>
      </c>
      <c r="D5024" s="190" t="s">
        <v>8334</v>
      </c>
      <c r="E5024" s="272" t="s">
        <v>58</v>
      </c>
      <c r="F5024" s="199" t="s">
        <v>8335</v>
      </c>
      <c r="G5024" s="191" t="s">
        <v>8336</v>
      </c>
      <c r="H5024" s="199" t="s">
        <v>6077</v>
      </c>
      <c r="I5024" s="197" t="s">
        <v>8337</v>
      </c>
      <c r="J5024" s="148" t="s">
        <v>63</v>
      </c>
      <c r="K5024" s="148" t="s">
        <v>64</v>
      </c>
      <c r="L5024" s="148" t="s">
        <v>65</v>
      </c>
      <c r="M5024" s="148" t="s">
        <v>66</v>
      </c>
      <c r="N5024" s="212">
        <v>46226.0</v>
      </c>
      <c r="O5024" s="148" t="s">
        <v>67</v>
      </c>
      <c r="P5024" s="148" t="s">
        <v>68</v>
      </c>
      <c r="Q5024" s="103"/>
      <c r="R5024" s="103"/>
      <c r="S5024" s="103"/>
      <c r="T5024" s="103"/>
      <c r="U5024" s="148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1">
        <v>5019.0</v>
      </c>
      <c r="B5025" s="90" t="s">
        <v>8347</v>
      </c>
      <c r="C5025" s="82" t="str">
        <f>VLOOKUP($B$7:$B$5000,SUM!$L$6:$L$500,1,FALSE)</f>
        <v>#VALUE!</v>
      </c>
      <c r="D5025" s="190" t="s">
        <v>8334</v>
      </c>
      <c r="E5025" s="272" t="s">
        <v>58</v>
      </c>
      <c r="F5025" s="199" t="s">
        <v>8335</v>
      </c>
      <c r="G5025" s="191" t="s">
        <v>8336</v>
      </c>
      <c r="H5025" s="199" t="s">
        <v>6079</v>
      </c>
      <c r="I5025" s="197" t="s">
        <v>8337</v>
      </c>
      <c r="J5025" s="148" t="s">
        <v>63</v>
      </c>
      <c r="K5025" s="148" t="s">
        <v>64</v>
      </c>
      <c r="L5025" s="148" t="s">
        <v>65</v>
      </c>
      <c r="M5025" s="148" t="s">
        <v>66</v>
      </c>
      <c r="N5025" s="212">
        <v>46226.0</v>
      </c>
      <c r="O5025" s="148" t="s">
        <v>67</v>
      </c>
      <c r="P5025" s="148" t="s">
        <v>68</v>
      </c>
      <c r="Q5025" s="103"/>
      <c r="R5025" s="103"/>
      <c r="S5025" s="103"/>
      <c r="T5025" s="103"/>
      <c r="U5025" s="148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1">
        <v>5020.0</v>
      </c>
      <c r="B5026" s="90" t="s">
        <v>8348</v>
      </c>
      <c r="C5026" s="82" t="str">
        <f>VLOOKUP($B$7:$B$5000,SUM!$L$6:$L$500,1,FALSE)</f>
        <v>#VALUE!</v>
      </c>
      <c r="D5026" s="190" t="s">
        <v>8334</v>
      </c>
      <c r="E5026" s="272" t="s">
        <v>58</v>
      </c>
      <c r="F5026" s="199" t="s">
        <v>8335</v>
      </c>
      <c r="G5026" s="191" t="s">
        <v>8336</v>
      </c>
      <c r="H5026" s="199" t="s">
        <v>6081</v>
      </c>
      <c r="I5026" s="197" t="s">
        <v>8337</v>
      </c>
      <c r="J5026" s="148" t="s">
        <v>63</v>
      </c>
      <c r="K5026" s="148" t="s">
        <v>64</v>
      </c>
      <c r="L5026" s="148" t="s">
        <v>65</v>
      </c>
      <c r="M5026" s="148" t="s">
        <v>66</v>
      </c>
      <c r="N5026" s="212">
        <v>46226.0</v>
      </c>
      <c r="O5026" s="148" t="s">
        <v>67</v>
      </c>
      <c r="P5026" s="148" t="s">
        <v>68</v>
      </c>
      <c r="Q5026" s="103"/>
      <c r="R5026" s="103"/>
      <c r="S5026" s="103"/>
      <c r="T5026" s="103"/>
      <c r="U5026" s="148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1">
        <v>5021.0</v>
      </c>
      <c r="B5027" s="90" t="s">
        <v>8349</v>
      </c>
      <c r="C5027" s="82" t="str">
        <f>VLOOKUP($B$7:$B$5000,SUM!$L$6:$L$500,1,FALSE)</f>
        <v>#VALUE!</v>
      </c>
      <c r="D5027" s="190" t="s">
        <v>8334</v>
      </c>
      <c r="E5027" s="272" t="s">
        <v>58</v>
      </c>
      <c r="F5027" s="199" t="s">
        <v>8335</v>
      </c>
      <c r="G5027" s="191" t="s">
        <v>8336</v>
      </c>
      <c r="H5027" s="199" t="s">
        <v>6083</v>
      </c>
      <c r="I5027" s="197" t="s">
        <v>8337</v>
      </c>
      <c r="J5027" s="148" t="s">
        <v>63</v>
      </c>
      <c r="K5027" s="148" t="s">
        <v>64</v>
      </c>
      <c r="L5027" s="148" t="s">
        <v>65</v>
      </c>
      <c r="M5027" s="148" t="s">
        <v>66</v>
      </c>
      <c r="N5027" s="212">
        <v>46226.0</v>
      </c>
      <c r="O5027" s="148" t="s">
        <v>67</v>
      </c>
      <c r="P5027" s="148" t="s">
        <v>68</v>
      </c>
      <c r="Q5027" s="103"/>
      <c r="R5027" s="103"/>
      <c r="S5027" s="103"/>
      <c r="T5027" s="103"/>
      <c r="U5027" s="148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1">
        <v>5022.0</v>
      </c>
      <c r="B5028" s="90" t="s">
        <v>8350</v>
      </c>
      <c r="C5028" s="82" t="str">
        <f>VLOOKUP($B$7:$B$5000,SUM!$L$6:$L$500,1,FALSE)</f>
        <v>#VALUE!</v>
      </c>
      <c r="D5028" s="190" t="s">
        <v>8334</v>
      </c>
      <c r="E5028" s="272" t="s">
        <v>58</v>
      </c>
      <c r="F5028" s="199" t="s">
        <v>8335</v>
      </c>
      <c r="G5028" s="191" t="s">
        <v>8336</v>
      </c>
      <c r="H5028" s="199" t="s">
        <v>6085</v>
      </c>
      <c r="I5028" s="197" t="s">
        <v>8337</v>
      </c>
      <c r="J5028" s="148" t="s">
        <v>63</v>
      </c>
      <c r="K5028" s="148" t="s">
        <v>64</v>
      </c>
      <c r="L5028" s="148" t="s">
        <v>65</v>
      </c>
      <c r="M5028" s="148" t="s">
        <v>66</v>
      </c>
      <c r="N5028" s="212">
        <v>46226.0</v>
      </c>
      <c r="O5028" s="148" t="s">
        <v>67</v>
      </c>
      <c r="P5028" s="148" t="s">
        <v>68</v>
      </c>
      <c r="Q5028" s="103"/>
      <c r="R5028" s="103"/>
      <c r="S5028" s="103"/>
      <c r="T5028" s="103"/>
      <c r="U5028" s="148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1">
        <v>5023.0</v>
      </c>
      <c r="B5029" s="90" t="s">
        <v>8351</v>
      </c>
      <c r="C5029" s="82" t="str">
        <f>VLOOKUP($B$7:$B$5000,SUM!$L$6:$L$500,1,FALSE)</f>
        <v>#VALUE!</v>
      </c>
      <c r="D5029" s="190" t="s">
        <v>8334</v>
      </c>
      <c r="E5029" s="272" t="s">
        <v>58</v>
      </c>
      <c r="F5029" s="199" t="s">
        <v>8335</v>
      </c>
      <c r="G5029" s="191" t="s">
        <v>8336</v>
      </c>
      <c r="H5029" s="199" t="s">
        <v>6087</v>
      </c>
      <c r="I5029" s="197" t="s">
        <v>8337</v>
      </c>
      <c r="J5029" s="148" t="s">
        <v>63</v>
      </c>
      <c r="K5029" s="148" t="s">
        <v>64</v>
      </c>
      <c r="L5029" s="148" t="s">
        <v>65</v>
      </c>
      <c r="M5029" s="148" t="s">
        <v>66</v>
      </c>
      <c r="N5029" s="212">
        <v>46226.0</v>
      </c>
      <c r="O5029" s="148" t="s">
        <v>67</v>
      </c>
      <c r="P5029" s="148" t="s">
        <v>68</v>
      </c>
      <c r="Q5029" s="103"/>
      <c r="R5029" s="103"/>
      <c r="S5029" s="103"/>
      <c r="T5029" s="103"/>
      <c r="U5029" s="148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1">
        <v>5024.0</v>
      </c>
      <c r="B5030" s="90" t="s">
        <v>8352</v>
      </c>
      <c r="C5030" s="82" t="str">
        <f>VLOOKUP($B$7:$B$5000,SUM!$L$6:$L$500,1,FALSE)</f>
        <v>#VALUE!</v>
      </c>
      <c r="D5030" s="190" t="s">
        <v>8334</v>
      </c>
      <c r="E5030" s="272" t="s">
        <v>58</v>
      </c>
      <c r="F5030" s="199" t="s">
        <v>8335</v>
      </c>
      <c r="G5030" s="191" t="s">
        <v>8336</v>
      </c>
      <c r="H5030" s="199" t="s">
        <v>6089</v>
      </c>
      <c r="I5030" s="197" t="s">
        <v>8337</v>
      </c>
      <c r="J5030" s="148" t="s">
        <v>63</v>
      </c>
      <c r="K5030" s="148" t="s">
        <v>64</v>
      </c>
      <c r="L5030" s="148" t="s">
        <v>65</v>
      </c>
      <c r="M5030" s="148" t="s">
        <v>66</v>
      </c>
      <c r="N5030" s="212">
        <v>46226.0</v>
      </c>
      <c r="O5030" s="148" t="s">
        <v>67</v>
      </c>
      <c r="P5030" s="148" t="s">
        <v>68</v>
      </c>
      <c r="Q5030" s="103"/>
      <c r="R5030" s="103"/>
      <c r="S5030" s="103"/>
      <c r="T5030" s="103"/>
      <c r="U5030" s="148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1">
        <v>5025.0</v>
      </c>
      <c r="B5031" s="90" t="s">
        <v>8353</v>
      </c>
      <c r="C5031" s="82" t="str">
        <f>VLOOKUP($B$7:$B$5000,SUM!$L$6:$L$500,1,FALSE)</f>
        <v>#VALUE!</v>
      </c>
      <c r="D5031" s="190" t="s">
        <v>8334</v>
      </c>
      <c r="E5031" s="272" t="s">
        <v>58</v>
      </c>
      <c r="F5031" s="199" t="s">
        <v>8335</v>
      </c>
      <c r="G5031" s="191" t="s">
        <v>8336</v>
      </c>
      <c r="H5031" s="199" t="s">
        <v>6091</v>
      </c>
      <c r="I5031" s="197" t="s">
        <v>8337</v>
      </c>
      <c r="J5031" s="148" t="s">
        <v>63</v>
      </c>
      <c r="K5031" s="148" t="s">
        <v>64</v>
      </c>
      <c r="L5031" s="148" t="s">
        <v>65</v>
      </c>
      <c r="M5031" s="148" t="s">
        <v>66</v>
      </c>
      <c r="N5031" s="212">
        <v>46226.0</v>
      </c>
      <c r="O5031" s="148" t="s">
        <v>67</v>
      </c>
      <c r="P5031" s="148" t="s">
        <v>68</v>
      </c>
      <c r="Q5031" s="103"/>
      <c r="R5031" s="103"/>
      <c r="S5031" s="103"/>
      <c r="T5031" s="103"/>
      <c r="U5031" s="148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1">
        <v>5026.0</v>
      </c>
      <c r="B5032" s="90" t="s">
        <v>8354</v>
      </c>
      <c r="C5032" s="82" t="str">
        <f>VLOOKUP($B$7:$B$5000,SUM!$L$6:$L$500,1,FALSE)</f>
        <v>#VALUE!</v>
      </c>
      <c r="D5032" s="190" t="s">
        <v>8334</v>
      </c>
      <c r="E5032" s="272" t="s">
        <v>58</v>
      </c>
      <c r="F5032" s="199" t="s">
        <v>8335</v>
      </c>
      <c r="G5032" s="191" t="s">
        <v>8336</v>
      </c>
      <c r="H5032" s="199" t="s">
        <v>6093</v>
      </c>
      <c r="I5032" s="197" t="s">
        <v>8337</v>
      </c>
      <c r="J5032" s="148" t="s">
        <v>63</v>
      </c>
      <c r="K5032" s="148" t="s">
        <v>64</v>
      </c>
      <c r="L5032" s="148" t="s">
        <v>65</v>
      </c>
      <c r="M5032" s="148" t="s">
        <v>66</v>
      </c>
      <c r="N5032" s="212">
        <v>46226.0</v>
      </c>
      <c r="O5032" s="148" t="s">
        <v>67</v>
      </c>
      <c r="P5032" s="148" t="s">
        <v>68</v>
      </c>
      <c r="Q5032" s="103"/>
      <c r="R5032" s="103"/>
      <c r="S5032" s="103"/>
      <c r="T5032" s="103"/>
      <c r="U5032" s="148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1">
        <v>5027.0</v>
      </c>
      <c r="B5033" s="90" t="s">
        <v>8355</v>
      </c>
      <c r="C5033" s="82" t="str">
        <f>VLOOKUP($B$7:$B$5000,SUM!$L$6:$L$500,1,FALSE)</f>
        <v>#VALUE!</v>
      </c>
      <c r="D5033" s="190" t="s">
        <v>8334</v>
      </c>
      <c r="E5033" s="272" t="s">
        <v>58</v>
      </c>
      <c r="F5033" s="199" t="s">
        <v>8335</v>
      </c>
      <c r="G5033" s="191" t="s">
        <v>8336</v>
      </c>
      <c r="H5033" s="199" t="s">
        <v>6095</v>
      </c>
      <c r="I5033" s="197" t="s">
        <v>8337</v>
      </c>
      <c r="J5033" s="148" t="s">
        <v>63</v>
      </c>
      <c r="K5033" s="148" t="s">
        <v>64</v>
      </c>
      <c r="L5033" s="148" t="s">
        <v>65</v>
      </c>
      <c r="M5033" s="148" t="s">
        <v>66</v>
      </c>
      <c r="N5033" s="212">
        <v>46226.0</v>
      </c>
      <c r="O5033" s="148" t="s">
        <v>67</v>
      </c>
      <c r="P5033" s="148" t="s">
        <v>68</v>
      </c>
      <c r="Q5033" s="103"/>
      <c r="R5033" s="103"/>
      <c r="S5033" s="103"/>
      <c r="T5033" s="103"/>
      <c r="U5033" s="148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1">
        <v>5028.0</v>
      </c>
      <c r="B5034" s="90" t="s">
        <v>8356</v>
      </c>
      <c r="C5034" s="82" t="str">
        <f>VLOOKUP($B$7:$B$5000,SUM!$L$6:$L$500,1,FALSE)</f>
        <v>#VALUE!</v>
      </c>
      <c r="D5034" s="190" t="s">
        <v>8334</v>
      </c>
      <c r="E5034" s="272" t="s">
        <v>58</v>
      </c>
      <c r="F5034" s="199" t="s">
        <v>8335</v>
      </c>
      <c r="G5034" s="191" t="s">
        <v>8336</v>
      </c>
      <c r="H5034" s="199" t="s">
        <v>6097</v>
      </c>
      <c r="I5034" s="197" t="s">
        <v>8337</v>
      </c>
      <c r="J5034" s="148" t="s">
        <v>63</v>
      </c>
      <c r="K5034" s="148" t="s">
        <v>64</v>
      </c>
      <c r="L5034" s="148" t="s">
        <v>65</v>
      </c>
      <c r="M5034" s="148" t="s">
        <v>66</v>
      </c>
      <c r="N5034" s="212">
        <v>46226.0</v>
      </c>
      <c r="O5034" s="148" t="s">
        <v>67</v>
      </c>
      <c r="P5034" s="148" t="s">
        <v>68</v>
      </c>
      <c r="Q5034" s="103"/>
      <c r="R5034" s="103"/>
      <c r="S5034" s="103"/>
      <c r="T5034" s="103"/>
      <c r="U5034" s="148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1">
        <v>5029.0</v>
      </c>
      <c r="B5035" s="90" t="s">
        <v>8357</v>
      </c>
      <c r="C5035" s="82" t="str">
        <f>VLOOKUP($B$7:$B$5000,SUM!$L$6:$L$500,1,FALSE)</f>
        <v>#VALUE!</v>
      </c>
      <c r="D5035" s="190" t="s">
        <v>8334</v>
      </c>
      <c r="E5035" s="272" t="s">
        <v>58</v>
      </c>
      <c r="F5035" s="199" t="s">
        <v>8335</v>
      </c>
      <c r="G5035" s="191" t="s">
        <v>8336</v>
      </c>
      <c r="H5035" s="199" t="s">
        <v>6099</v>
      </c>
      <c r="I5035" s="197" t="s">
        <v>8337</v>
      </c>
      <c r="J5035" s="148" t="s">
        <v>63</v>
      </c>
      <c r="K5035" s="148" t="s">
        <v>64</v>
      </c>
      <c r="L5035" s="148" t="s">
        <v>65</v>
      </c>
      <c r="M5035" s="148" t="s">
        <v>66</v>
      </c>
      <c r="N5035" s="212">
        <v>46226.0</v>
      </c>
      <c r="O5035" s="148" t="s">
        <v>67</v>
      </c>
      <c r="P5035" s="148" t="s">
        <v>68</v>
      </c>
      <c r="Q5035" s="103"/>
      <c r="R5035" s="103"/>
      <c r="S5035" s="103"/>
      <c r="T5035" s="103"/>
      <c r="U5035" s="148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1">
        <v>5030.0</v>
      </c>
      <c r="B5036" s="90" t="s">
        <v>8358</v>
      </c>
      <c r="C5036" s="82" t="str">
        <f>VLOOKUP($B$7:$B$5000,SUM!$L$6:$L$500,1,FALSE)</f>
        <v>#VALUE!</v>
      </c>
      <c r="D5036" s="190" t="s">
        <v>8334</v>
      </c>
      <c r="E5036" s="272" t="s">
        <v>58</v>
      </c>
      <c r="F5036" s="199" t="s">
        <v>8335</v>
      </c>
      <c r="G5036" s="191" t="s">
        <v>8336</v>
      </c>
      <c r="H5036" s="199" t="s">
        <v>6101</v>
      </c>
      <c r="I5036" s="197" t="s">
        <v>8337</v>
      </c>
      <c r="J5036" s="148" t="s">
        <v>63</v>
      </c>
      <c r="K5036" s="148" t="s">
        <v>64</v>
      </c>
      <c r="L5036" s="148" t="s">
        <v>65</v>
      </c>
      <c r="M5036" s="148" t="s">
        <v>66</v>
      </c>
      <c r="N5036" s="212">
        <v>46226.0</v>
      </c>
      <c r="O5036" s="148" t="s">
        <v>67</v>
      </c>
      <c r="P5036" s="148" t="s">
        <v>68</v>
      </c>
      <c r="Q5036" s="103"/>
      <c r="R5036" s="103"/>
      <c r="S5036" s="103"/>
      <c r="T5036" s="103"/>
      <c r="U5036" s="148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1">
        <v>5031.0</v>
      </c>
      <c r="B5037" s="90" t="s">
        <v>8359</v>
      </c>
      <c r="C5037" s="82" t="str">
        <f>VLOOKUP($B$7:$B$5000,SUM!$L$6:$L$500,1,FALSE)</f>
        <v>#VALUE!</v>
      </c>
      <c r="D5037" s="190" t="s">
        <v>8334</v>
      </c>
      <c r="E5037" s="272" t="s">
        <v>58</v>
      </c>
      <c r="F5037" s="199" t="s">
        <v>8335</v>
      </c>
      <c r="G5037" s="191" t="s">
        <v>8336</v>
      </c>
      <c r="H5037" s="199" t="s">
        <v>6103</v>
      </c>
      <c r="I5037" s="197" t="s">
        <v>8337</v>
      </c>
      <c r="J5037" s="148" t="s">
        <v>63</v>
      </c>
      <c r="K5037" s="148" t="s">
        <v>64</v>
      </c>
      <c r="L5037" s="148" t="s">
        <v>65</v>
      </c>
      <c r="M5037" s="148" t="s">
        <v>66</v>
      </c>
      <c r="N5037" s="212">
        <v>46226.0</v>
      </c>
      <c r="O5037" s="148" t="s">
        <v>67</v>
      </c>
      <c r="P5037" s="148" t="s">
        <v>68</v>
      </c>
      <c r="Q5037" s="103"/>
      <c r="R5037" s="103"/>
      <c r="S5037" s="103"/>
      <c r="T5037" s="103"/>
      <c r="U5037" s="148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1">
        <v>5032.0</v>
      </c>
      <c r="B5038" s="90" t="s">
        <v>8360</v>
      </c>
      <c r="C5038" s="82" t="str">
        <f>VLOOKUP($B$7:$B$5000,SUM!$L$6:$L$500,1,FALSE)</f>
        <v>#VALUE!</v>
      </c>
      <c r="D5038" s="190" t="s">
        <v>8334</v>
      </c>
      <c r="E5038" s="272" t="s">
        <v>58</v>
      </c>
      <c r="F5038" s="199" t="s">
        <v>8335</v>
      </c>
      <c r="G5038" s="191" t="s">
        <v>8336</v>
      </c>
      <c r="H5038" s="199" t="s">
        <v>6376</v>
      </c>
      <c r="I5038" s="197" t="s">
        <v>8337</v>
      </c>
      <c r="J5038" s="148" t="s">
        <v>63</v>
      </c>
      <c r="K5038" s="148" t="s">
        <v>64</v>
      </c>
      <c r="L5038" s="148" t="s">
        <v>65</v>
      </c>
      <c r="M5038" s="148" t="s">
        <v>66</v>
      </c>
      <c r="N5038" s="212">
        <v>46226.0</v>
      </c>
      <c r="O5038" s="148" t="s">
        <v>67</v>
      </c>
      <c r="P5038" s="148" t="s">
        <v>68</v>
      </c>
      <c r="Q5038" s="103"/>
      <c r="R5038" s="103"/>
      <c r="S5038" s="103"/>
      <c r="T5038" s="103"/>
      <c r="U5038" s="148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1">
        <v>5033.0</v>
      </c>
      <c r="B5039" s="90" t="s">
        <v>8361</v>
      </c>
      <c r="C5039" s="82" t="str">
        <f>VLOOKUP($B$7:$B$5000,SUM!$L$6:$L$500,1,FALSE)</f>
        <v>#VALUE!</v>
      </c>
      <c r="D5039" s="190" t="s">
        <v>8362</v>
      </c>
      <c r="E5039" s="198" t="s">
        <v>58</v>
      </c>
      <c r="F5039" s="199" t="s">
        <v>8363</v>
      </c>
      <c r="G5039" s="189" t="s">
        <v>8364</v>
      </c>
      <c r="H5039" s="199" t="s">
        <v>8365</v>
      </c>
      <c r="I5039" s="197" t="s">
        <v>8366</v>
      </c>
      <c r="J5039" s="148" t="s">
        <v>63</v>
      </c>
      <c r="K5039" s="148" t="s">
        <v>4434</v>
      </c>
      <c r="L5039" s="148" t="s">
        <v>65</v>
      </c>
      <c r="M5039" s="148" t="s">
        <v>66</v>
      </c>
      <c r="N5039" s="212">
        <v>46227.0</v>
      </c>
      <c r="O5039" s="148" t="s">
        <v>67</v>
      </c>
      <c r="P5039" s="148" t="s">
        <v>68</v>
      </c>
      <c r="Q5039" s="103"/>
      <c r="R5039" s="103"/>
      <c r="S5039" s="103"/>
      <c r="T5039" s="103"/>
      <c r="U5039" s="148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1">
        <v>5034.0</v>
      </c>
      <c r="B5040" s="90" t="s">
        <v>8367</v>
      </c>
      <c r="C5040" s="82" t="str">
        <f>VLOOKUP($B$7:$B$5000,SUM!$L$6:$L$500,1,FALSE)</f>
        <v>#VALUE!</v>
      </c>
      <c r="D5040" s="190" t="s">
        <v>8362</v>
      </c>
      <c r="E5040" s="198" t="s">
        <v>58</v>
      </c>
      <c r="F5040" s="199" t="s">
        <v>8363</v>
      </c>
      <c r="G5040" s="191" t="s">
        <v>8364</v>
      </c>
      <c r="H5040" s="199" t="s">
        <v>8368</v>
      </c>
      <c r="I5040" s="197" t="s">
        <v>8366</v>
      </c>
      <c r="J5040" s="148" t="s">
        <v>63</v>
      </c>
      <c r="K5040" s="148" t="s">
        <v>4434</v>
      </c>
      <c r="L5040" s="148" t="s">
        <v>65</v>
      </c>
      <c r="M5040" s="148" t="s">
        <v>66</v>
      </c>
      <c r="N5040" s="212">
        <v>46227.0</v>
      </c>
      <c r="O5040" s="148" t="s">
        <v>67</v>
      </c>
      <c r="P5040" s="148" t="s">
        <v>68</v>
      </c>
      <c r="Q5040" s="103"/>
      <c r="R5040" s="103"/>
      <c r="S5040" s="103"/>
      <c r="T5040" s="103"/>
      <c r="U5040" s="148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1">
        <v>5035.0</v>
      </c>
      <c r="B5041" s="90" t="s">
        <v>8369</v>
      </c>
      <c r="C5041" s="82" t="str">
        <f>VLOOKUP($B$7:$B$5000,SUM!$L$6:$L$500,1,FALSE)</f>
        <v>#VALUE!</v>
      </c>
      <c r="D5041" s="190" t="s">
        <v>8362</v>
      </c>
      <c r="E5041" s="198" t="s">
        <v>58</v>
      </c>
      <c r="F5041" s="199" t="s">
        <v>8363</v>
      </c>
      <c r="G5041" s="191" t="s">
        <v>8364</v>
      </c>
      <c r="H5041" s="199" t="s">
        <v>8370</v>
      </c>
      <c r="I5041" s="197" t="s">
        <v>8366</v>
      </c>
      <c r="J5041" s="148" t="s">
        <v>63</v>
      </c>
      <c r="K5041" s="148" t="s">
        <v>4434</v>
      </c>
      <c r="L5041" s="148" t="s">
        <v>65</v>
      </c>
      <c r="M5041" s="148" t="s">
        <v>66</v>
      </c>
      <c r="N5041" s="212">
        <v>46227.0</v>
      </c>
      <c r="O5041" s="148" t="s">
        <v>67</v>
      </c>
      <c r="P5041" s="148" t="s">
        <v>68</v>
      </c>
      <c r="Q5041" s="103"/>
      <c r="R5041" s="103"/>
      <c r="S5041" s="103"/>
      <c r="T5041" s="103"/>
      <c r="U5041" s="148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1">
        <v>5036.0</v>
      </c>
      <c r="B5042" s="90" t="s">
        <v>8371</v>
      </c>
      <c r="C5042" s="82" t="str">
        <f>VLOOKUP($B$7:$B$5000,SUM!$L$6:$L$500,1,FALSE)</f>
        <v>#VALUE!</v>
      </c>
      <c r="D5042" s="190" t="s">
        <v>8362</v>
      </c>
      <c r="E5042" s="198" t="s">
        <v>58</v>
      </c>
      <c r="F5042" s="199" t="s">
        <v>8363</v>
      </c>
      <c r="G5042" s="191" t="s">
        <v>8364</v>
      </c>
      <c r="H5042" s="199" t="s">
        <v>8372</v>
      </c>
      <c r="I5042" s="197" t="s">
        <v>8366</v>
      </c>
      <c r="J5042" s="148" t="s">
        <v>63</v>
      </c>
      <c r="K5042" s="148" t="s">
        <v>4434</v>
      </c>
      <c r="L5042" s="148" t="s">
        <v>65</v>
      </c>
      <c r="M5042" s="148" t="s">
        <v>66</v>
      </c>
      <c r="N5042" s="212">
        <v>46227.0</v>
      </c>
      <c r="O5042" s="148" t="s">
        <v>67</v>
      </c>
      <c r="P5042" s="148" t="s">
        <v>68</v>
      </c>
      <c r="Q5042" s="103"/>
      <c r="R5042" s="103"/>
      <c r="S5042" s="103"/>
      <c r="T5042" s="103"/>
      <c r="U5042" s="148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1">
        <v>5037.0</v>
      </c>
      <c r="B5043" s="90" t="s">
        <v>8373</v>
      </c>
      <c r="C5043" s="82" t="str">
        <f>VLOOKUP($B$7:$B$5000,SUM!$L$6:$L$500,1,FALSE)</f>
        <v>#VALUE!</v>
      </c>
      <c r="D5043" s="190" t="s">
        <v>8362</v>
      </c>
      <c r="E5043" s="198" t="s">
        <v>58</v>
      </c>
      <c r="F5043" s="199" t="s">
        <v>8363</v>
      </c>
      <c r="G5043" s="191" t="s">
        <v>8364</v>
      </c>
      <c r="H5043" s="199" t="s">
        <v>8374</v>
      </c>
      <c r="I5043" s="197" t="s">
        <v>8366</v>
      </c>
      <c r="J5043" s="148" t="s">
        <v>63</v>
      </c>
      <c r="K5043" s="148" t="s">
        <v>4434</v>
      </c>
      <c r="L5043" s="148" t="s">
        <v>65</v>
      </c>
      <c r="M5043" s="148" t="s">
        <v>66</v>
      </c>
      <c r="N5043" s="212">
        <v>46227.0</v>
      </c>
      <c r="O5043" s="148" t="s">
        <v>67</v>
      </c>
      <c r="P5043" s="148" t="s">
        <v>68</v>
      </c>
      <c r="Q5043" s="103"/>
      <c r="R5043" s="103"/>
      <c r="S5043" s="103"/>
      <c r="T5043" s="103"/>
      <c r="U5043" s="148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1">
        <v>5038.0</v>
      </c>
      <c r="B5044" s="90" t="s">
        <v>8375</v>
      </c>
      <c r="C5044" s="82" t="str">
        <f>VLOOKUP($B$7:$B$5000,SUM!$L$6:$L$500,1,FALSE)</f>
        <v>#VALUE!</v>
      </c>
      <c r="D5044" s="190" t="s">
        <v>8362</v>
      </c>
      <c r="E5044" s="198" t="s">
        <v>58</v>
      </c>
      <c r="F5044" s="199" t="s">
        <v>8363</v>
      </c>
      <c r="G5044" s="191" t="s">
        <v>8364</v>
      </c>
      <c r="H5044" s="199" t="s">
        <v>8376</v>
      </c>
      <c r="I5044" s="197" t="s">
        <v>8366</v>
      </c>
      <c r="J5044" s="148" t="s">
        <v>63</v>
      </c>
      <c r="K5044" s="148" t="s">
        <v>4434</v>
      </c>
      <c r="L5044" s="148" t="s">
        <v>65</v>
      </c>
      <c r="M5044" s="148" t="s">
        <v>66</v>
      </c>
      <c r="N5044" s="212">
        <v>46227.0</v>
      </c>
      <c r="O5044" s="148" t="s">
        <v>67</v>
      </c>
      <c r="P5044" s="148" t="s">
        <v>68</v>
      </c>
      <c r="Q5044" s="103"/>
      <c r="R5044" s="103"/>
      <c r="S5044" s="103"/>
      <c r="T5044" s="103"/>
      <c r="U5044" s="148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1">
        <v>5039.0</v>
      </c>
      <c r="B5045" s="90" t="s">
        <v>8377</v>
      </c>
      <c r="C5045" s="82" t="str">
        <f>VLOOKUP($B$7:$B$5000,SUM!$L$6:$L$500,1,FALSE)</f>
        <v>#VALUE!</v>
      </c>
      <c r="D5045" s="190" t="s">
        <v>8362</v>
      </c>
      <c r="E5045" s="198" t="s">
        <v>58</v>
      </c>
      <c r="F5045" s="199" t="s">
        <v>8363</v>
      </c>
      <c r="G5045" s="191" t="s">
        <v>8364</v>
      </c>
      <c r="H5045" s="199" t="s">
        <v>8378</v>
      </c>
      <c r="I5045" s="197" t="s">
        <v>8366</v>
      </c>
      <c r="J5045" s="148" t="s">
        <v>63</v>
      </c>
      <c r="K5045" s="148" t="s">
        <v>4434</v>
      </c>
      <c r="L5045" s="148" t="s">
        <v>65</v>
      </c>
      <c r="M5045" s="148" t="s">
        <v>66</v>
      </c>
      <c r="N5045" s="212">
        <v>46227.0</v>
      </c>
      <c r="O5045" s="148" t="s">
        <v>67</v>
      </c>
      <c r="P5045" s="148" t="s">
        <v>68</v>
      </c>
      <c r="Q5045" s="103"/>
      <c r="R5045" s="103"/>
      <c r="S5045" s="103"/>
      <c r="T5045" s="103"/>
      <c r="U5045" s="148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1">
        <v>5040.0</v>
      </c>
      <c r="B5046" s="90" t="s">
        <v>8379</v>
      </c>
      <c r="C5046" s="82" t="str">
        <f>VLOOKUP($B$7:$B$5000,SUM!$L$6:$L$500,1,FALSE)</f>
        <v>#VALUE!</v>
      </c>
      <c r="D5046" s="190" t="s">
        <v>8362</v>
      </c>
      <c r="E5046" s="198" t="s">
        <v>58</v>
      </c>
      <c r="F5046" s="199" t="s">
        <v>105</v>
      </c>
      <c r="G5046" s="191" t="s">
        <v>8364</v>
      </c>
      <c r="H5046" s="199" t="s">
        <v>8380</v>
      </c>
      <c r="I5046" s="197" t="s">
        <v>8366</v>
      </c>
      <c r="J5046" s="148" t="s">
        <v>63</v>
      </c>
      <c r="K5046" s="148" t="s">
        <v>4434</v>
      </c>
      <c r="L5046" s="148" t="s">
        <v>65</v>
      </c>
      <c r="M5046" s="148" t="s">
        <v>66</v>
      </c>
      <c r="N5046" s="212">
        <v>46227.0</v>
      </c>
      <c r="O5046" s="148" t="s">
        <v>67</v>
      </c>
      <c r="P5046" s="148" t="s">
        <v>68</v>
      </c>
      <c r="Q5046" s="103"/>
      <c r="R5046" s="103"/>
      <c r="S5046" s="103"/>
      <c r="T5046" s="103"/>
      <c r="U5046" s="148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1">
        <v>5041.0</v>
      </c>
      <c r="B5047" s="90" t="s">
        <v>8381</v>
      </c>
      <c r="C5047" s="82" t="str">
        <f>VLOOKUP($B$7:$B$5000,SUM!$L$6:$L$500,1,FALSE)</f>
        <v>#VALUE!</v>
      </c>
      <c r="D5047" s="190" t="s">
        <v>8382</v>
      </c>
      <c r="E5047" s="272" t="s">
        <v>58</v>
      </c>
      <c r="F5047" s="199" t="s">
        <v>105</v>
      </c>
      <c r="G5047" s="191" t="s">
        <v>8383</v>
      </c>
      <c r="H5047" s="274" t="s">
        <v>7320</v>
      </c>
      <c r="I5047" s="197" t="s">
        <v>8384</v>
      </c>
      <c r="J5047" s="148" t="s">
        <v>63</v>
      </c>
      <c r="K5047" s="148" t="s">
        <v>64</v>
      </c>
      <c r="L5047" s="148" t="s">
        <v>65</v>
      </c>
      <c r="M5047" s="148" t="s">
        <v>66</v>
      </c>
      <c r="N5047" s="212">
        <v>46227.0</v>
      </c>
      <c r="O5047" s="148" t="s">
        <v>67</v>
      </c>
      <c r="P5047" s="148" t="s">
        <v>68</v>
      </c>
      <c r="Q5047" s="103"/>
      <c r="R5047" s="103"/>
      <c r="S5047" s="103"/>
      <c r="T5047" s="103"/>
      <c r="U5047" s="148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1">
        <v>5042.0</v>
      </c>
      <c r="B5048" s="90" t="s">
        <v>8385</v>
      </c>
      <c r="C5048" s="82" t="str">
        <f>VLOOKUP($B$7:$B$5000,SUM!$L$6:$L$500,1,FALSE)</f>
        <v>#VALUE!</v>
      </c>
      <c r="D5048" s="190" t="s">
        <v>8382</v>
      </c>
      <c r="E5048" s="272" t="s">
        <v>58</v>
      </c>
      <c r="F5048" s="199" t="s">
        <v>105</v>
      </c>
      <c r="G5048" s="191" t="s">
        <v>8383</v>
      </c>
      <c r="H5048" s="274" t="s">
        <v>7323</v>
      </c>
      <c r="I5048" s="197" t="s">
        <v>8384</v>
      </c>
      <c r="J5048" s="148" t="s">
        <v>63</v>
      </c>
      <c r="K5048" s="148" t="s">
        <v>64</v>
      </c>
      <c r="L5048" s="148" t="s">
        <v>65</v>
      </c>
      <c r="M5048" s="148" t="s">
        <v>66</v>
      </c>
      <c r="N5048" s="212">
        <v>46227.0</v>
      </c>
      <c r="O5048" s="148" t="s">
        <v>67</v>
      </c>
      <c r="P5048" s="148" t="s">
        <v>68</v>
      </c>
      <c r="Q5048" s="103"/>
      <c r="R5048" s="103"/>
      <c r="S5048" s="103"/>
      <c r="T5048" s="103"/>
      <c r="U5048" s="148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1">
        <v>5043.0</v>
      </c>
      <c r="B5049" s="90" t="s">
        <v>8386</v>
      </c>
      <c r="C5049" s="82" t="str">
        <f>VLOOKUP($B$7:$B$5000,SUM!$L$6:$L$500,1,FALSE)</f>
        <v>#VALUE!</v>
      </c>
      <c r="D5049" s="190" t="s">
        <v>8382</v>
      </c>
      <c r="E5049" s="198" t="s">
        <v>58</v>
      </c>
      <c r="F5049" s="199" t="s">
        <v>105</v>
      </c>
      <c r="G5049" s="191" t="s">
        <v>8383</v>
      </c>
      <c r="H5049" s="274" t="s">
        <v>7325</v>
      </c>
      <c r="I5049" s="197" t="s">
        <v>8384</v>
      </c>
      <c r="J5049" s="148" t="s">
        <v>63</v>
      </c>
      <c r="K5049" s="148" t="s">
        <v>64</v>
      </c>
      <c r="L5049" s="148" t="s">
        <v>65</v>
      </c>
      <c r="M5049" s="148" t="s">
        <v>66</v>
      </c>
      <c r="N5049" s="212">
        <v>46227.0</v>
      </c>
      <c r="O5049" s="148" t="s">
        <v>67</v>
      </c>
      <c r="P5049" s="148" t="s">
        <v>68</v>
      </c>
      <c r="Q5049" s="103"/>
      <c r="R5049" s="103"/>
      <c r="S5049" s="103"/>
      <c r="T5049" s="103"/>
      <c r="U5049" s="148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1">
        <v>5044.0</v>
      </c>
      <c r="B5050" s="90" t="s">
        <v>8387</v>
      </c>
      <c r="C5050" s="82" t="str">
        <f>VLOOKUP($B$7:$B$5000,SUM!$L$6:$L$500,1,FALSE)</f>
        <v>#VALUE!</v>
      </c>
      <c r="D5050" s="190" t="s">
        <v>8382</v>
      </c>
      <c r="E5050" s="198" t="s">
        <v>58</v>
      </c>
      <c r="F5050" s="199" t="s">
        <v>105</v>
      </c>
      <c r="G5050" s="191" t="s">
        <v>8383</v>
      </c>
      <c r="H5050" s="274" t="s">
        <v>7327</v>
      </c>
      <c r="I5050" s="197" t="s">
        <v>8384</v>
      </c>
      <c r="J5050" s="148" t="s">
        <v>63</v>
      </c>
      <c r="K5050" s="148" t="s">
        <v>64</v>
      </c>
      <c r="L5050" s="148" t="s">
        <v>65</v>
      </c>
      <c r="M5050" s="148" t="s">
        <v>66</v>
      </c>
      <c r="N5050" s="212">
        <v>46227.0</v>
      </c>
      <c r="O5050" s="148" t="s">
        <v>67</v>
      </c>
      <c r="P5050" s="148" t="s">
        <v>68</v>
      </c>
      <c r="Q5050" s="103"/>
      <c r="R5050" s="103"/>
      <c r="S5050" s="103"/>
      <c r="T5050" s="103"/>
      <c r="U5050" s="148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1">
        <v>5045.0</v>
      </c>
      <c r="B5051" s="90" t="s">
        <v>8388</v>
      </c>
      <c r="C5051" s="82" t="str">
        <f>VLOOKUP($B$7:$B$5000,SUM!$L$6:$L$500,1,FALSE)</f>
        <v>#VALUE!</v>
      </c>
      <c r="D5051" s="190" t="s">
        <v>8382</v>
      </c>
      <c r="E5051" s="198" t="s">
        <v>58</v>
      </c>
      <c r="F5051" s="199" t="s">
        <v>105</v>
      </c>
      <c r="G5051" s="191" t="s">
        <v>8383</v>
      </c>
      <c r="H5051" s="274" t="s">
        <v>7329</v>
      </c>
      <c r="I5051" s="197" t="s">
        <v>8384</v>
      </c>
      <c r="J5051" s="148" t="s">
        <v>63</v>
      </c>
      <c r="K5051" s="148" t="s">
        <v>64</v>
      </c>
      <c r="L5051" s="148" t="s">
        <v>65</v>
      </c>
      <c r="M5051" s="148" t="s">
        <v>66</v>
      </c>
      <c r="N5051" s="212">
        <v>46227.0</v>
      </c>
      <c r="O5051" s="148" t="s">
        <v>67</v>
      </c>
      <c r="P5051" s="148" t="s">
        <v>68</v>
      </c>
      <c r="Q5051" s="103"/>
      <c r="R5051" s="103"/>
      <c r="S5051" s="103"/>
      <c r="T5051" s="103"/>
      <c r="U5051" s="148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1">
        <v>5046.0</v>
      </c>
      <c r="B5052" s="90" t="s">
        <v>8389</v>
      </c>
      <c r="C5052" s="82" t="str">
        <f>VLOOKUP($B$7:$B$5000,SUM!$L$6:$L$500,1,FALSE)</f>
        <v>#VALUE!</v>
      </c>
      <c r="D5052" s="190" t="s">
        <v>8382</v>
      </c>
      <c r="E5052" s="198" t="s">
        <v>58</v>
      </c>
      <c r="F5052" s="199" t="s">
        <v>105</v>
      </c>
      <c r="G5052" s="191" t="s">
        <v>8383</v>
      </c>
      <c r="H5052" s="274" t="s">
        <v>7331</v>
      </c>
      <c r="I5052" s="197" t="s">
        <v>8384</v>
      </c>
      <c r="J5052" s="148" t="s">
        <v>63</v>
      </c>
      <c r="K5052" s="148" t="s">
        <v>64</v>
      </c>
      <c r="L5052" s="148" t="s">
        <v>65</v>
      </c>
      <c r="M5052" s="148" t="s">
        <v>66</v>
      </c>
      <c r="N5052" s="212">
        <v>46227.0</v>
      </c>
      <c r="O5052" s="148" t="s">
        <v>67</v>
      </c>
      <c r="P5052" s="148" t="s">
        <v>68</v>
      </c>
      <c r="Q5052" s="103"/>
      <c r="R5052" s="103"/>
      <c r="S5052" s="103"/>
      <c r="T5052" s="103"/>
      <c r="U5052" s="148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1">
        <v>5047.0</v>
      </c>
      <c r="B5053" s="90" t="s">
        <v>8390</v>
      </c>
      <c r="C5053" s="82" t="str">
        <f>VLOOKUP($B$7:$B$5000,SUM!$L$6:$L$500,1,FALSE)</f>
        <v>#VALUE!</v>
      </c>
      <c r="D5053" s="190" t="s">
        <v>8382</v>
      </c>
      <c r="E5053" s="198" t="s">
        <v>58</v>
      </c>
      <c r="F5053" s="199" t="s">
        <v>105</v>
      </c>
      <c r="G5053" s="191" t="s">
        <v>8383</v>
      </c>
      <c r="H5053" s="274" t="s">
        <v>7333</v>
      </c>
      <c r="I5053" s="197" t="s">
        <v>8384</v>
      </c>
      <c r="J5053" s="148" t="s">
        <v>63</v>
      </c>
      <c r="K5053" s="148" t="s">
        <v>64</v>
      </c>
      <c r="L5053" s="148" t="s">
        <v>65</v>
      </c>
      <c r="M5053" s="148" t="s">
        <v>66</v>
      </c>
      <c r="N5053" s="212">
        <v>46227.0</v>
      </c>
      <c r="O5053" s="148" t="s">
        <v>67</v>
      </c>
      <c r="P5053" s="148" t="s">
        <v>68</v>
      </c>
      <c r="Q5053" s="103"/>
      <c r="R5053" s="103"/>
      <c r="S5053" s="103"/>
      <c r="T5053" s="103"/>
      <c r="U5053" s="148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1">
        <v>5048.0</v>
      </c>
      <c r="B5054" s="90" t="s">
        <v>8391</v>
      </c>
      <c r="C5054" s="82" t="str">
        <f>VLOOKUP($B$7:$B$5000,SUM!$L$6:$L$500,1,FALSE)</f>
        <v>#VALUE!</v>
      </c>
      <c r="D5054" s="190" t="s">
        <v>8382</v>
      </c>
      <c r="E5054" s="198" t="s">
        <v>58</v>
      </c>
      <c r="F5054" s="199" t="s">
        <v>105</v>
      </c>
      <c r="G5054" s="191" t="s">
        <v>8383</v>
      </c>
      <c r="H5054" s="274" t="s">
        <v>7335</v>
      </c>
      <c r="I5054" s="197" t="s">
        <v>8384</v>
      </c>
      <c r="J5054" s="148" t="s">
        <v>63</v>
      </c>
      <c r="K5054" s="148" t="s">
        <v>64</v>
      </c>
      <c r="L5054" s="148" t="s">
        <v>65</v>
      </c>
      <c r="M5054" s="148" t="s">
        <v>66</v>
      </c>
      <c r="N5054" s="212">
        <v>46227.0</v>
      </c>
      <c r="O5054" s="148" t="s">
        <v>67</v>
      </c>
      <c r="P5054" s="148" t="s">
        <v>68</v>
      </c>
      <c r="Q5054" s="103"/>
      <c r="R5054" s="103"/>
      <c r="S5054" s="103"/>
      <c r="T5054" s="103"/>
      <c r="U5054" s="148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1">
        <v>5049.0</v>
      </c>
      <c r="B5055" s="90" t="s">
        <v>8392</v>
      </c>
      <c r="C5055" s="82" t="str">
        <f>VLOOKUP($B$7:$B$5000,SUM!$L$6:$L$500,1,FALSE)</f>
        <v>#VALUE!</v>
      </c>
      <c r="D5055" s="190" t="s">
        <v>8382</v>
      </c>
      <c r="E5055" s="198" t="s">
        <v>58</v>
      </c>
      <c r="F5055" s="199" t="s">
        <v>105</v>
      </c>
      <c r="G5055" s="191" t="s">
        <v>8383</v>
      </c>
      <c r="H5055" s="274" t="s">
        <v>7337</v>
      </c>
      <c r="I5055" s="197" t="s">
        <v>8384</v>
      </c>
      <c r="J5055" s="148" t="s">
        <v>63</v>
      </c>
      <c r="K5055" s="148" t="s">
        <v>64</v>
      </c>
      <c r="L5055" s="148" t="s">
        <v>65</v>
      </c>
      <c r="M5055" s="148" t="s">
        <v>66</v>
      </c>
      <c r="N5055" s="212">
        <v>46227.0</v>
      </c>
      <c r="O5055" s="148" t="s">
        <v>67</v>
      </c>
      <c r="P5055" s="148" t="s">
        <v>68</v>
      </c>
      <c r="Q5055" s="103"/>
      <c r="R5055" s="103"/>
      <c r="S5055" s="103"/>
      <c r="T5055" s="103"/>
      <c r="U5055" s="148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1">
        <v>5050.0</v>
      </c>
      <c r="B5056" s="90" t="s">
        <v>8393</v>
      </c>
      <c r="C5056" s="82" t="str">
        <f>VLOOKUP($B$7:$B$5000,SUM!$L$6:$L$500,1,FALSE)</f>
        <v>#VALUE!</v>
      </c>
      <c r="D5056" s="190" t="s">
        <v>8382</v>
      </c>
      <c r="E5056" s="198" t="s">
        <v>58</v>
      </c>
      <c r="F5056" s="199" t="s">
        <v>105</v>
      </c>
      <c r="G5056" s="191" t="s">
        <v>8383</v>
      </c>
      <c r="H5056" s="274" t="s">
        <v>7339</v>
      </c>
      <c r="I5056" s="197" t="s">
        <v>8384</v>
      </c>
      <c r="J5056" s="148" t="s">
        <v>63</v>
      </c>
      <c r="K5056" s="148" t="s">
        <v>64</v>
      </c>
      <c r="L5056" s="148" t="s">
        <v>65</v>
      </c>
      <c r="M5056" s="148" t="s">
        <v>66</v>
      </c>
      <c r="N5056" s="212">
        <v>46227.0</v>
      </c>
      <c r="O5056" s="148" t="s">
        <v>67</v>
      </c>
      <c r="P5056" s="148" t="s">
        <v>68</v>
      </c>
      <c r="Q5056" s="103"/>
      <c r="R5056" s="103"/>
      <c r="S5056" s="103"/>
      <c r="T5056" s="103"/>
      <c r="U5056" s="148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1">
        <v>5051.0</v>
      </c>
      <c r="B5057" s="90" t="s">
        <v>8394</v>
      </c>
      <c r="C5057" s="82" t="str">
        <f>VLOOKUP($B$7:$B$5000,SUM!$L$6:$L$500,1,FALSE)</f>
        <v>#VALUE!</v>
      </c>
      <c r="D5057" s="190" t="s">
        <v>8382</v>
      </c>
      <c r="E5057" s="272" t="s">
        <v>58</v>
      </c>
      <c r="F5057" s="199" t="s">
        <v>105</v>
      </c>
      <c r="G5057" s="191" t="s">
        <v>8383</v>
      </c>
      <c r="H5057" s="274" t="s">
        <v>7341</v>
      </c>
      <c r="I5057" s="197" t="s">
        <v>8384</v>
      </c>
      <c r="J5057" s="148" t="s">
        <v>63</v>
      </c>
      <c r="K5057" s="148" t="s">
        <v>64</v>
      </c>
      <c r="L5057" s="148" t="s">
        <v>65</v>
      </c>
      <c r="M5057" s="148" t="s">
        <v>66</v>
      </c>
      <c r="N5057" s="212">
        <v>46227.0</v>
      </c>
      <c r="O5057" s="148" t="s">
        <v>67</v>
      </c>
      <c r="P5057" s="148" t="s">
        <v>68</v>
      </c>
      <c r="Q5057" s="103"/>
      <c r="R5057" s="103"/>
      <c r="S5057" s="103"/>
      <c r="T5057" s="103"/>
      <c r="U5057" s="148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1">
        <v>5052.0</v>
      </c>
      <c r="B5058" s="90" t="s">
        <v>8395</v>
      </c>
      <c r="C5058" s="82" t="str">
        <f>VLOOKUP($B$7:$B$5000,SUM!$L$6:$L$500,1,FALSE)</f>
        <v>#VALUE!</v>
      </c>
      <c r="D5058" s="190" t="s">
        <v>8382</v>
      </c>
      <c r="E5058" s="272" t="s">
        <v>58</v>
      </c>
      <c r="F5058" s="199" t="s">
        <v>105</v>
      </c>
      <c r="G5058" s="191" t="s">
        <v>8383</v>
      </c>
      <c r="H5058" s="274" t="s">
        <v>7347</v>
      </c>
      <c r="I5058" s="197" t="s">
        <v>8384</v>
      </c>
      <c r="J5058" s="148" t="s">
        <v>63</v>
      </c>
      <c r="K5058" s="148" t="s">
        <v>64</v>
      </c>
      <c r="L5058" s="148" t="s">
        <v>65</v>
      </c>
      <c r="M5058" s="148" t="s">
        <v>66</v>
      </c>
      <c r="N5058" s="212">
        <v>46227.0</v>
      </c>
      <c r="O5058" s="148" t="s">
        <v>67</v>
      </c>
      <c r="P5058" s="148" t="s">
        <v>68</v>
      </c>
      <c r="Q5058" s="103"/>
      <c r="R5058" s="103"/>
      <c r="S5058" s="103"/>
      <c r="T5058" s="103"/>
      <c r="U5058" s="148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1">
        <v>5053.0</v>
      </c>
      <c r="B5059" s="90" t="s">
        <v>8396</v>
      </c>
      <c r="C5059" s="82" t="str">
        <f>VLOOKUP($B$7:$B$5000,SUM!$L$6:$L$500,1,FALSE)</f>
        <v>#VALUE!</v>
      </c>
      <c r="D5059" s="190" t="s">
        <v>8382</v>
      </c>
      <c r="E5059" s="198" t="s">
        <v>58</v>
      </c>
      <c r="F5059" s="199" t="s">
        <v>105</v>
      </c>
      <c r="G5059" s="191" t="s">
        <v>8383</v>
      </c>
      <c r="H5059" s="274" t="s">
        <v>7349</v>
      </c>
      <c r="I5059" s="197" t="s">
        <v>8384</v>
      </c>
      <c r="J5059" s="148" t="s">
        <v>63</v>
      </c>
      <c r="K5059" s="148" t="s">
        <v>64</v>
      </c>
      <c r="L5059" s="148" t="s">
        <v>65</v>
      </c>
      <c r="M5059" s="148" t="s">
        <v>66</v>
      </c>
      <c r="N5059" s="212">
        <v>46227.0</v>
      </c>
      <c r="O5059" s="148" t="s">
        <v>67</v>
      </c>
      <c r="P5059" s="148" t="s">
        <v>68</v>
      </c>
      <c r="Q5059" s="103"/>
      <c r="R5059" s="103"/>
      <c r="S5059" s="103"/>
      <c r="T5059" s="103"/>
      <c r="U5059" s="148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1">
        <v>5054.0</v>
      </c>
      <c r="B5060" s="90" t="s">
        <v>8397</v>
      </c>
      <c r="C5060" s="82" t="str">
        <f>VLOOKUP($B$7:$B$5000,SUM!$L$6:$L$500,1,FALSE)</f>
        <v>#VALUE!</v>
      </c>
      <c r="D5060" s="190" t="s">
        <v>8382</v>
      </c>
      <c r="E5060" s="198" t="s">
        <v>58</v>
      </c>
      <c r="F5060" s="199" t="s">
        <v>105</v>
      </c>
      <c r="G5060" s="191" t="s">
        <v>8383</v>
      </c>
      <c r="H5060" s="274" t="s">
        <v>7351</v>
      </c>
      <c r="I5060" s="197" t="s">
        <v>8384</v>
      </c>
      <c r="J5060" s="148" t="s">
        <v>63</v>
      </c>
      <c r="K5060" s="148" t="s">
        <v>64</v>
      </c>
      <c r="L5060" s="148" t="s">
        <v>65</v>
      </c>
      <c r="M5060" s="148" t="s">
        <v>66</v>
      </c>
      <c r="N5060" s="212">
        <v>46227.0</v>
      </c>
      <c r="O5060" s="148" t="s">
        <v>67</v>
      </c>
      <c r="P5060" s="148" t="s">
        <v>68</v>
      </c>
      <c r="Q5060" s="103"/>
      <c r="R5060" s="103"/>
      <c r="S5060" s="103"/>
      <c r="T5060" s="103"/>
      <c r="U5060" s="148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1">
        <v>5055.0</v>
      </c>
      <c r="B5061" s="90" t="s">
        <v>8398</v>
      </c>
      <c r="C5061" s="82" t="str">
        <f>VLOOKUP($B$7:$B$5000,SUM!$L$6:$L$500,1,FALSE)</f>
        <v>#VALUE!</v>
      </c>
      <c r="D5061" s="190" t="s">
        <v>8382</v>
      </c>
      <c r="E5061" s="198" t="s">
        <v>58</v>
      </c>
      <c r="F5061" s="199" t="s">
        <v>105</v>
      </c>
      <c r="G5061" s="191" t="s">
        <v>8383</v>
      </c>
      <c r="H5061" s="274" t="s">
        <v>7353</v>
      </c>
      <c r="I5061" s="197" t="s">
        <v>8384</v>
      </c>
      <c r="J5061" s="148" t="s">
        <v>63</v>
      </c>
      <c r="K5061" s="148" t="s">
        <v>64</v>
      </c>
      <c r="L5061" s="148" t="s">
        <v>65</v>
      </c>
      <c r="M5061" s="148" t="s">
        <v>66</v>
      </c>
      <c r="N5061" s="212">
        <v>46227.0</v>
      </c>
      <c r="O5061" s="148" t="s">
        <v>67</v>
      </c>
      <c r="P5061" s="148" t="s">
        <v>68</v>
      </c>
      <c r="Q5061" s="103"/>
      <c r="R5061" s="103"/>
      <c r="S5061" s="103"/>
      <c r="T5061" s="103"/>
      <c r="U5061" s="148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1">
        <v>5056.0</v>
      </c>
      <c r="B5062" s="90" t="s">
        <v>8399</v>
      </c>
      <c r="C5062" s="82" t="str">
        <f>VLOOKUP($B$7:$B$5000,SUM!$L$6:$L$500,1,FALSE)</f>
        <v>#VALUE!</v>
      </c>
      <c r="D5062" s="190" t="s">
        <v>8382</v>
      </c>
      <c r="E5062" s="198" t="s">
        <v>58</v>
      </c>
      <c r="F5062" s="199" t="s">
        <v>105</v>
      </c>
      <c r="G5062" s="191" t="s">
        <v>8383</v>
      </c>
      <c r="H5062" s="274" t="s">
        <v>7355</v>
      </c>
      <c r="I5062" s="197" t="s">
        <v>8384</v>
      </c>
      <c r="J5062" s="148" t="s">
        <v>63</v>
      </c>
      <c r="K5062" s="148" t="s">
        <v>64</v>
      </c>
      <c r="L5062" s="148" t="s">
        <v>65</v>
      </c>
      <c r="M5062" s="148" t="s">
        <v>66</v>
      </c>
      <c r="N5062" s="212">
        <v>46227.0</v>
      </c>
      <c r="O5062" s="148" t="s">
        <v>67</v>
      </c>
      <c r="P5062" s="148" t="s">
        <v>68</v>
      </c>
      <c r="Q5062" s="103"/>
      <c r="R5062" s="103"/>
      <c r="S5062" s="103"/>
      <c r="T5062" s="103"/>
      <c r="U5062" s="148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1">
        <v>5057.0</v>
      </c>
      <c r="B5063" s="90" t="s">
        <v>8400</v>
      </c>
      <c r="C5063" s="82" t="str">
        <f>VLOOKUP($B$7:$B$5000,SUM!$L$6:$L$500,1,FALSE)</f>
        <v>#VALUE!</v>
      </c>
      <c r="D5063" s="190" t="s">
        <v>8382</v>
      </c>
      <c r="E5063" s="198" t="s">
        <v>58</v>
      </c>
      <c r="F5063" s="199" t="s">
        <v>105</v>
      </c>
      <c r="G5063" s="191" t="s">
        <v>8383</v>
      </c>
      <c r="H5063" s="274" t="s">
        <v>7357</v>
      </c>
      <c r="I5063" s="197" t="s">
        <v>8384</v>
      </c>
      <c r="J5063" s="148" t="s">
        <v>63</v>
      </c>
      <c r="K5063" s="148" t="s">
        <v>64</v>
      </c>
      <c r="L5063" s="148" t="s">
        <v>65</v>
      </c>
      <c r="M5063" s="148" t="s">
        <v>66</v>
      </c>
      <c r="N5063" s="212">
        <v>46227.0</v>
      </c>
      <c r="O5063" s="148" t="s">
        <v>67</v>
      </c>
      <c r="P5063" s="148" t="s">
        <v>68</v>
      </c>
      <c r="Q5063" s="103"/>
      <c r="R5063" s="103"/>
      <c r="S5063" s="103"/>
      <c r="T5063" s="103"/>
      <c r="U5063" s="148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1">
        <v>5058.0</v>
      </c>
      <c r="B5064" s="90" t="s">
        <v>8401</v>
      </c>
      <c r="C5064" s="82" t="str">
        <f>VLOOKUP($B$7:$B$5000,SUM!$L$6:$L$500,1,FALSE)</f>
        <v>#VALUE!</v>
      </c>
      <c r="D5064" s="190" t="s">
        <v>8382</v>
      </c>
      <c r="E5064" s="198" t="s">
        <v>58</v>
      </c>
      <c r="F5064" s="199" t="s">
        <v>105</v>
      </c>
      <c r="G5064" s="191" t="s">
        <v>8383</v>
      </c>
      <c r="H5064" s="274" t="s">
        <v>7359</v>
      </c>
      <c r="I5064" s="197" t="s">
        <v>8384</v>
      </c>
      <c r="J5064" s="148" t="s">
        <v>63</v>
      </c>
      <c r="K5064" s="148" t="s">
        <v>64</v>
      </c>
      <c r="L5064" s="148" t="s">
        <v>65</v>
      </c>
      <c r="M5064" s="148" t="s">
        <v>66</v>
      </c>
      <c r="N5064" s="212">
        <v>46227.0</v>
      </c>
      <c r="O5064" s="148" t="s">
        <v>67</v>
      </c>
      <c r="P5064" s="148" t="s">
        <v>68</v>
      </c>
      <c r="Q5064" s="103"/>
      <c r="R5064" s="103"/>
      <c r="S5064" s="103"/>
      <c r="T5064" s="103"/>
      <c r="U5064" s="148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1">
        <v>5059.0</v>
      </c>
      <c r="B5065" s="90" t="s">
        <v>8402</v>
      </c>
      <c r="C5065" s="82" t="str">
        <f>VLOOKUP($B$7:$B$5000,SUM!$L$6:$L$500,1,FALSE)</f>
        <v>#VALUE!</v>
      </c>
      <c r="D5065" s="190" t="s">
        <v>8382</v>
      </c>
      <c r="E5065" s="198" t="s">
        <v>58</v>
      </c>
      <c r="F5065" s="199" t="s">
        <v>105</v>
      </c>
      <c r="G5065" s="191" t="s">
        <v>8383</v>
      </c>
      <c r="H5065" s="274" t="s">
        <v>7361</v>
      </c>
      <c r="I5065" s="197" t="s">
        <v>8384</v>
      </c>
      <c r="J5065" s="148" t="s">
        <v>63</v>
      </c>
      <c r="K5065" s="148" t="s">
        <v>64</v>
      </c>
      <c r="L5065" s="148" t="s">
        <v>65</v>
      </c>
      <c r="M5065" s="148" t="s">
        <v>66</v>
      </c>
      <c r="N5065" s="212">
        <v>46227.0</v>
      </c>
      <c r="O5065" s="148" t="s">
        <v>67</v>
      </c>
      <c r="P5065" s="148" t="s">
        <v>68</v>
      </c>
      <c r="Q5065" s="103"/>
      <c r="R5065" s="103"/>
      <c r="S5065" s="103"/>
      <c r="T5065" s="103"/>
      <c r="U5065" s="148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1">
        <v>5060.0</v>
      </c>
      <c r="B5066" s="90" t="s">
        <v>8403</v>
      </c>
      <c r="C5066" s="82" t="str">
        <f>VLOOKUP($B$7:$B$5000,SUM!$L$6:$L$500,1,FALSE)</f>
        <v>#VALUE!</v>
      </c>
      <c r="D5066" s="190" t="s">
        <v>8382</v>
      </c>
      <c r="E5066" s="198" t="s">
        <v>58</v>
      </c>
      <c r="F5066" s="199" t="s">
        <v>105</v>
      </c>
      <c r="G5066" s="191" t="s">
        <v>8383</v>
      </c>
      <c r="H5066" s="274" t="s">
        <v>7363</v>
      </c>
      <c r="I5066" s="197" t="s">
        <v>8384</v>
      </c>
      <c r="J5066" s="148" t="s">
        <v>63</v>
      </c>
      <c r="K5066" s="148" t="s">
        <v>64</v>
      </c>
      <c r="L5066" s="148" t="s">
        <v>65</v>
      </c>
      <c r="M5066" s="148" t="s">
        <v>66</v>
      </c>
      <c r="N5066" s="212">
        <v>46227.0</v>
      </c>
      <c r="O5066" s="148" t="s">
        <v>67</v>
      </c>
      <c r="P5066" s="148" t="s">
        <v>68</v>
      </c>
      <c r="Q5066" s="103"/>
      <c r="R5066" s="103"/>
      <c r="S5066" s="103"/>
      <c r="T5066" s="103"/>
      <c r="U5066" s="148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1">
        <v>5061.0</v>
      </c>
      <c r="B5067" s="90" t="s">
        <v>8404</v>
      </c>
      <c r="C5067" s="82" t="str">
        <f>VLOOKUP($B$7:$B$5000,SUM!$L$6:$L$500,1,FALSE)</f>
        <v>#VALUE!</v>
      </c>
      <c r="D5067" s="190" t="s">
        <v>8382</v>
      </c>
      <c r="E5067" s="272" t="s">
        <v>58</v>
      </c>
      <c r="F5067" s="199" t="s">
        <v>105</v>
      </c>
      <c r="G5067" s="191" t="s">
        <v>8383</v>
      </c>
      <c r="H5067" s="274" t="s">
        <v>7365</v>
      </c>
      <c r="I5067" s="197" t="s">
        <v>8384</v>
      </c>
      <c r="J5067" s="148" t="s">
        <v>63</v>
      </c>
      <c r="K5067" s="148" t="s">
        <v>64</v>
      </c>
      <c r="L5067" s="148" t="s">
        <v>65</v>
      </c>
      <c r="M5067" s="148" t="s">
        <v>66</v>
      </c>
      <c r="N5067" s="212">
        <v>46227.0</v>
      </c>
      <c r="O5067" s="148" t="s">
        <v>67</v>
      </c>
      <c r="P5067" s="148" t="s">
        <v>68</v>
      </c>
      <c r="Q5067" s="103"/>
      <c r="R5067" s="103"/>
      <c r="S5067" s="103"/>
      <c r="T5067" s="103"/>
      <c r="U5067" s="148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1">
        <v>5062.0</v>
      </c>
      <c r="B5068" s="90" t="s">
        <v>8405</v>
      </c>
      <c r="C5068" s="82" t="str">
        <f>VLOOKUP($B$7:$B$5000,SUM!$L$6:$L$500,1,FALSE)</f>
        <v>#VALUE!</v>
      </c>
      <c r="D5068" s="190" t="s">
        <v>8382</v>
      </c>
      <c r="E5068" s="272" t="s">
        <v>58</v>
      </c>
      <c r="F5068" s="199" t="s">
        <v>105</v>
      </c>
      <c r="G5068" s="191" t="s">
        <v>8383</v>
      </c>
      <c r="H5068" s="274" t="s">
        <v>7367</v>
      </c>
      <c r="I5068" s="197" t="s">
        <v>8384</v>
      </c>
      <c r="J5068" s="148" t="s">
        <v>63</v>
      </c>
      <c r="K5068" s="148" t="s">
        <v>64</v>
      </c>
      <c r="L5068" s="148" t="s">
        <v>65</v>
      </c>
      <c r="M5068" s="148" t="s">
        <v>66</v>
      </c>
      <c r="N5068" s="212">
        <v>46227.0</v>
      </c>
      <c r="O5068" s="148" t="s">
        <v>67</v>
      </c>
      <c r="P5068" s="148" t="s">
        <v>68</v>
      </c>
      <c r="Q5068" s="103"/>
      <c r="R5068" s="103"/>
      <c r="S5068" s="103"/>
      <c r="T5068" s="103"/>
      <c r="U5068" s="148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1">
        <v>5063.0</v>
      </c>
      <c r="B5069" s="90" t="s">
        <v>8406</v>
      </c>
      <c r="C5069" s="82" t="str">
        <f>VLOOKUP($B$7:$B$5000,SUM!$L$6:$L$500,1,FALSE)</f>
        <v>#VALUE!</v>
      </c>
      <c r="D5069" s="190" t="s">
        <v>8382</v>
      </c>
      <c r="E5069" s="198" t="s">
        <v>58</v>
      </c>
      <c r="F5069" s="199" t="s">
        <v>105</v>
      </c>
      <c r="G5069" s="191" t="s">
        <v>8383</v>
      </c>
      <c r="H5069" s="274" t="s">
        <v>7369</v>
      </c>
      <c r="I5069" s="197" t="s">
        <v>8384</v>
      </c>
      <c r="J5069" s="148" t="s">
        <v>63</v>
      </c>
      <c r="K5069" s="148" t="s">
        <v>64</v>
      </c>
      <c r="L5069" s="148" t="s">
        <v>65</v>
      </c>
      <c r="M5069" s="148" t="s">
        <v>66</v>
      </c>
      <c r="N5069" s="212">
        <v>46227.0</v>
      </c>
      <c r="O5069" s="148" t="s">
        <v>67</v>
      </c>
      <c r="P5069" s="148" t="s">
        <v>68</v>
      </c>
      <c r="Q5069" s="103"/>
      <c r="R5069" s="103"/>
      <c r="S5069" s="103"/>
      <c r="T5069" s="103"/>
      <c r="U5069" s="148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1">
        <v>5064.0</v>
      </c>
      <c r="B5070" s="90" t="s">
        <v>8407</v>
      </c>
      <c r="C5070" s="82" t="str">
        <f>VLOOKUP($B$7:$B$5000,SUM!$L$6:$L$500,1,FALSE)</f>
        <v>#VALUE!</v>
      </c>
      <c r="D5070" s="190" t="s">
        <v>8382</v>
      </c>
      <c r="E5070" s="198" t="s">
        <v>58</v>
      </c>
      <c r="F5070" s="199" t="s">
        <v>105</v>
      </c>
      <c r="G5070" s="191" t="s">
        <v>8383</v>
      </c>
      <c r="H5070" s="275" t="s">
        <v>7320</v>
      </c>
      <c r="I5070" s="197" t="s">
        <v>8384</v>
      </c>
      <c r="J5070" s="148" t="s">
        <v>63</v>
      </c>
      <c r="K5070" s="148" t="s">
        <v>64</v>
      </c>
      <c r="L5070" s="148" t="s">
        <v>65</v>
      </c>
      <c r="M5070" s="148" t="s">
        <v>66</v>
      </c>
      <c r="N5070" s="212">
        <v>46227.0</v>
      </c>
      <c r="O5070" s="148" t="s">
        <v>67</v>
      </c>
      <c r="P5070" s="148" t="s">
        <v>68</v>
      </c>
      <c r="Q5070" s="103"/>
      <c r="R5070" s="103"/>
      <c r="S5070" s="103"/>
      <c r="T5070" s="103"/>
      <c r="U5070" s="148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1">
        <v>5065.0</v>
      </c>
      <c r="B5071" s="90" t="s">
        <v>8408</v>
      </c>
      <c r="C5071" s="82" t="str">
        <f>VLOOKUP($B$7:$B$5000,SUM!$L$6:$L$500,1,FALSE)</f>
        <v>#VALUE!</v>
      </c>
      <c r="D5071" s="190" t="s">
        <v>8382</v>
      </c>
      <c r="E5071" s="198" t="s">
        <v>58</v>
      </c>
      <c r="F5071" s="199" t="s">
        <v>105</v>
      </c>
      <c r="G5071" s="191" t="s">
        <v>8383</v>
      </c>
      <c r="H5071" s="275" t="s">
        <v>7323</v>
      </c>
      <c r="I5071" s="197" t="s">
        <v>8384</v>
      </c>
      <c r="J5071" s="148" t="s">
        <v>63</v>
      </c>
      <c r="K5071" s="148" t="s">
        <v>64</v>
      </c>
      <c r="L5071" s="148" t="s">
        <v>65</v>
      </c>
      <c r="M5071" s="148" t="s">
        <v>66</v>
      </c>
      <c r="N5071" s="212">
        <v>46227.0</v>
      </c>
      <c r="O5071" s="148" t="s">
        <v>67</v>
      </c>
      <c r="P5071" s="148" t="s">
        <v>68</v>
      </c>
      <c r="Q5071" s="103"/>
      <c r="R5071" s="103"/>
      <c r="S5071" s="103"/>
      <c r="T5071" s="103"/>
      <c r="U5071" s="148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1">
        <v>5066.0</v>
      </c>
      <c r="B5072" s="90" t="s">
        <v>8409</v>
      </c>
      <c r="C5072" s="82" t="str">
        <f>VLOOKUP($B$7:$B$5000,SUM!$L$6:$L$500,1,FALSE)</f>
        <v>#VALUE!</v>
      </c>
      <c r="D5072" s="190" t="s">
        <v>8382</v>
      </c>
      <c r="E5072" s="198" t="s">
        <v>58</v>
      </c>
      <c r="F5072" s="199" t="s">
        <v>105</v>
      </c>
      <c r="G5072" s="191" t="s">
        <v>8383</v>
      </c>
      <c r="H5072" s="275" t="s">
        <v>7325</v>
      </c>
      <c r="I5072" s="197" t="s">
        <v>8384</v>
      </c>
      <c r="J5072" s="148" t="s">
        <v>63</v>
      </c>
      <c r="K5072" s="148" t="s">
        <v>64</v>
      </c>
      <c r="L5072" s="148" t="s">
        <v>65</v>
      </c>
      <c r="M5072" s="148" t="s">
        <v>66</v>
      </c>
      <c r="N5072" s="212">
        <v>46227.0</v>
      </c>
      <c r="O5072" s="148" t="s">
        <v>67</v>
      </c>
      <c r="P5072" s="148" t="s">
        <v>68</v>
      </c>
      <c r="Q5072" s="103"/>
      <c r="R5072" s="103"/>
      <c r="S5072" s="103"/>
      <c r="T5072" s="103"/>
      <c r="U5072" s="148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1">
        <v>5067.0</v>
      </c>
      <c r="B5073" s="90" t="s">
        <v>8410</v>
      </c>
      <c r="C5073" s="82" t="str">
        <f>VLOOKUP($B$7:$B$5000,SUM!$L$6:$L$500,1,FALSE)</f>
        <v>#VALUE!</v>
      </c>
      <c r="D5073" s="190" t="s">
        <v>8382</v>
      </c>
      <c r="E5073" s="198" t="s">
        <v>58</v>
      </c>
      <c r="F5073" s="199" t="s">
        <v>105</v>
      </c>
      <c r="G5073" s="191" t="s">
        <v>8383</v>
      </c>
      <c r="H5073" s="275" t="s">
        <v>7327</v>
      </c>
      <c r="I5073" s="197" t="s">
        <v>8384</v>
      </c>
      <c r="J5073" s="148" t="s">
        <v>63</v>
      </c>
      <c r="K5073" s="148" t="s">
        <v>64</v>
      </c>
      <c r="L5073" s="148" t="s">
        <v>65</v>
      </c>
      <c r="M5073" s="148" t="s">
        <v>66</v>
      </c>
      <c r="N5073" s="212">
        <v>46227.0</v>
      </c>
      <c r="O5073" s="148" t="s">
        <v>67</v>
      </c>
      <c r="P5073" s="148" t="s">
        <v>68</v>
      </c>
      <c r="Q5073" s="103"/>
      <c r="R5073" s="103"/>
      <c r="S5073" s="103"/>
      <c r="T5073" s="103"/>
      <c r="U5073" s="148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1">
        <v>5068.0</v>
      </c>
      <c r="B5074" s="90" t="s">
        <v>8411</v>
      </c>
      <c r="C5074" s="82" t="str">
        <f>VLOOKUP($B$7:$B$5000,SUM!$L$6:$L$500,1,FALSE)</f>
        <v>#VALUE!</v>
      </c>
      <c r="D5074" s="190" t="s">
        <v>8382</v>
      </c>
      <c r="E5074" s="198" t="s">
        <v>58</v>
      </c>
      <c r="F5074" s="199" t="s">
        <v>105</v>
      </c>
      <c r="G5074" s="191" t="s">
        <v>8383</v>
      </c>
      <c r="H5074" s="275" t="s">
        <v>7329</v>
      </c>
      <c r="I5074" s="197" t="s">
        <v>8384</v>
      </c>
      <c r="J5074" s="148" t="s">
        <v>63</v>
      </c>
      <c r="K5074" s="148" t="s">
        <v>64</v>
      </c>
      <c r="L5074" s="148" t="s">
        <v>65</v>
      </c>
      <c r="M5074" s="148" t="s">
        <v>66</v>
      </c>
      <c r="N5074" s="212">
        <v>46227.0</v>
      </c>
      <c r="O5074" s="148" t="s">
        <v>67</v>
      </c>
      <c r="P5074" s="148" t="s">
        <v>68</v>
      </c>
      <c r="Q5074" s="103"/>
      <c r="R5074" s="103"/>
      <c r="S5074" s="103"/>
      <c r="T5074" s="103"/>
      <c r="U5074" s="148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1">
        <v>5069.0</v>
      </c>
      <c r="B5075" s="90" t="s">
        <v>8412</v>
      </c>
      <c r="C5075" s="82" t="str">
        <f>VLOOKUP($B$7:$B$5000,SUM!$L$6:$L$500,1,FALSE)</f>
        <v>#VALUE!</v>
      </c>
      <c r="D5075" s="190" t="s">
        <v>8382</v>
      </c>
      <c r="E5075" s="198" t="s">
        <v>58</v>
      </c>
      <c r="F5075" s="199" t="s">
        <v>105</v>
      </c>
      <c r="G5075" s="191" t="s">
        <v>8383</v>
      </c>
      <c r="H5075" s="275" t="s">
        <v>7331</v>
      </c>
      <c r="I5075" s="197" t="s">
        <v>8384</v>
      </c>
      <c r="J5075" s="148" t="s">
        <v>63</v>
      </c>
      <c r="K5075" s="148" t="s">
        <v>64</v>
      </c>
      <c r="L5075" s="148" t="s">
        <v>65</v>
      </c>
      <c r="M5075" s="148" t="s">
        <v>66</v>
      </c>
      <c r="N5075" s="212">
        <v>46227.0</v>
      </c>
      <c r="O5075" s="148" t="s">
        <v>67</v>
      </c>
      <c r="P5075" s="148" t="s">
        <v>68</v>
      </c>
      <c r="Q5075" s="103"/>
      <c r="R5075" s="103"/>
      <c r="S5075" s="103"/>
      <c r="T5075" s="103"/>
      <c r="U5075" s="148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1">
        <v>5070.0</v>
      </c>
      <c r="B5076" s="90" t="s">
        <v>8413</v>
      </c>
      <c r="C5076" s="82" t="str">
        <f>VLOOKUP($B$7:$B$5000,SUM!$L$6:$L$500,1,FALSE)</f>
        <v>#VALUE!</v>
      </c>
      <c r="D5076" s="190" t="s">
        <v>8382</v>
      </c>
      <c r="E5076" s="198" t="s">
        <v>58</v>
      </c>
      <c r="F5076" s="199" t="s">
        <v>105</v>
      </c>
      <c r="G5076" s="191" t="s">
        <v>8383</v>
      </c>
      <c r="H5076" s="275" t="s">
        <v>7333</v>
      </c>
      <c r="I5076" s="197" t="s">
        <v>8384</v>
      </c>
      <c r="J5076" s="148" t="s">
        <v>63</v>
      </c>
      <c r="K5076" s="148" t="s">
        <v>64</v>
      </c>
      <c r="L5076" s="148" t="s">
        <v>65</v>
      </c>
      <c r="M5076" s="148" t="s">
        <v>66</v>
      </c>
      <c r="N5076" s="212">
        <v>46227.0</v>
      </c>
      <c r="O5076" s="148" t="s">
        <v>67</v>
      </c>
      <c r="P5076" s="148" t="s">
        <v>68</v>
      </c>
      <c r="Q5076" s="103"/>
      <c r="R5076" s="103"/>
      <c r="S5076" s="103"/>
      <c r="T5076" s="103"/>
      <c r="U5076" s="148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1">
        <v>5071.0</v>
      </c>
      <c r="B5077" s="90" t="s">
        <v>8414</v>
      </c>
      <c r="C5077" s="82" t="str">
        <f>VLOOKUP($B$7:$B$5000,SUM!$L$6:$L$500,1,FALSE)</f>
        <v>#VALUE!</v>
      </c>
      <c r="D5077" s="190" t="s">
        <v>8382</v>
      </c>
      <c r="E5077" s="272" t="s">
        <v>58</v>
      </c>
      <c r="F5077" s="199" t="s">
        <v>105</v>
      </c>
      <c r="G5077" s="191" t="s">
        <v>8383</v>
      </c>
      <c r="H5077" s="275" t="s">
        <v>7335</v>
      </c>
      <c r="I5077" s="197" t="s">
        <v>8384</v>
      </c>
      <c r="J5077" s="148" t="s">
        <v>63</v>
      </c>
      <c r="K5077" s="148" t="s">
        <v>64</v>
      </c>
      <c r="L5077" s="148" t="s">
        <v>65</v>
      </c>
      <c r="M5077" s="148" t="s">
        <v>66</v>
      </c>
      <c r="N5077" s="212">
        <v>46227.0</v>
      </c>
      <c r="O5077" s="148" t="s">
        <v>67</v>
      </c>
      <c r="P5077" s="148" t="s">
        <v>68</v>
      </c>
      <c r="Q5077" s="103"/>
      <c r="R5077" s="103"/>
      <c r="S5077" s="103"/>
      <c r="T5077" s="103"/>
      <c r="U5077" s="148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1">
        <v>5072.0</v>
      </c>
      <c r="B5078" s="90" t="s">
        <v>8415</v>
      </c>
      <c r="C5078" s="82" t="str">
        <f>VLOOKUP($B$7:$B$5000,SUM!$L$6:$L$500,1,FALSE)</f>
        <v>#VALUE!</v>
      </c>
      <c r="D5078" s="190" t="s">
        <v>8382</v>
      </c>
      <c r="E5078" s="272" t="s">
        <v>58</v>
      </c>
      <c r="F5078" s="199" t="s">
        <v>105</v>
      </c>
      <c r="G5078" s="191" t="s">
        <v>8383</v>
      </c>
      <c r="H5078" s="275" t="s">
        <v>7337</v>
      </c>
      <c r="I5078" s="197" t="s">
        <v>8384</v>
      </c>
      <c r="J5078" s="148" t="s">
        <v>63</v>
      </c>
      <c r="K5078" s="148" t="s">
        <v>64</v>
      </c>
      <c r="L5078" s="148" t="s">
        <v>65</v>
      </c>
      <c r="M5078" s="148" t="s">
        <v>66</v>
      </c>
      <c r="N5078" s="212">
        <v>46227.0</v>
      </c>
      <c r="O5078" s="148" t="s">
        <v>67</v>
      </c>
      <c r="P5078" s="148" t="s">
        <v>68</v>
      </c>
      <c r="Q5078" s="103"/>
      <c r="R5078" s="103"/>
      <c r="S5078" s="103"/>
      <c r="T5078" s="103"/>
      <c r="U5078" s="148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1">
        <v>5073.0</v>
      </c>
      <c r="B5079" s="90" t="s">
        <v>8416</v>
      </c>
      <c r="C5079" s="82" t="str">
        <f>VLOOKUP($B$7:$B$5000,SUM!$L$6:$L$500,1,FALSE)</f>
        <v>#VALUE!</v>
      </c>
      <c r="D5079" s="190" t="s">
        <v>8382</v>
      </c>
      <c r="E5079" s="198" t="s">
        <v>58</v>
      </c>
      <c r="F5079" s="199" t="s">
        <v>105</v>
      </c>
      <c r="G5079" s="191" t="s">
        <v>8383</v>
      </c>
      <c r="H5079" s="275" t="s">
        <v>7339</v>
      </c>
      <c r="I5079" s="197" t="s">
        <v>8384</v>
      </c>
      <c r="J5079" s="148" t="s">
        <v>63</v>
      </c>
      <c r="K5079" s="148" t="s">
        <v>64</v>
      </c>
      <c r="L5079" s="148" t="s">
        <v>65</v>
      </c>
      <c r="M5079" s="148" t="s">
        <v>66</v>
      </c>
      <c r="N5079" s="212">
        <v>46227.0</v>
      </c>
      <c r="O5079" s="148" t="s">
        <v>67</v>
      </c>
      <c r="P5079" s="148" t="s">
        <v>68</v>
      </c>
      <c r="Q5079" s="103"/>
      <c r="R5079" s="103"/>
      <c r="S5079" s="103"/>
      <c r="T5079" s="103"/>
      <c r="U5079" s="148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1">
        <v>5074.0</v>
      </c>
      <c r="B5080" s="90" t="s">
        <v>8417</v>
      </c>
      <c r="C5080" s="82" t="str">
        <f>VLOOKUP($B$7:$B$5000,SUM!$L$6:$L$500,1,FALSE)</f>
        <v>#VALUE!</v>
      </c>
      <c r="D5080" s="190" t="s">
        <v>8382</v>
      </c>
      <c r="E5080" s="198" t="s">
        <v>58</v>
      </c>
      <c r="F5080" s="199" t="s">
        <v>105</v>
      </c>
      <c r="G5080" s="191" t="s">
        <v>8383</v>
      </c>
      <c r="H5080" s="275" t="s">
        <v>7341</v>
      </c>
      <c r="I5080" s="197" t="s">
        <v>8384</v>
      </c>
      <c r="J5080" s="148" t="s">
        <v>63</v>
      </c>
      <c r="K5080" s="148" t="s">
        <v>64</v>
      </c>
      <c r="L5080" s="148" t="s">
        <v>65</v>
      </c>
      <c r="M5080" s="148" t="s">
        <v>66</v>
      </c>
      <c r="N5080" s="212">
        <v>46227.0</v>
      </c>
      <c r="O5080" s="148" t="s">
        <v>67</v>
      </c>
      <c r="P5080" s="148" t="s">
        <v>68</v>
      </c>
      <c r="Q5080" s="103"/>
      <c r="R5080" s="103"/>
      <c r="S5080" s="103"/>
      <c r="T5080" s="103"/>
      <c r="U5080" s="148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1">
        <v>5075.0</v>
      </c>
      <c r="B5081" s="90" t="s">
        <v>8418</v>
      </c>
      <c r="C5081" s="82" t="str">
        <f>VLOOKUP($B$7:$B$5000,SUM!$L$6:$L$500,1,FALSE)</f>
        <v>#VALUE!</v>
      </c>
      <c r="D5081" s="190" t="s">
        <v>8382</v>
      </c>
      <c r="E5081" s="198" t="s">
        <v>58</v>
      </c>
      <c r="F5081" s="199" t="s">
        <v>105</v>
      </c>
      <c r="G5081" s="191" t="s">
        <v>8383</v>
      </c>
      <c r="H5081" s="276" t="s">
        <v>7347</v>
      </c>
      <c r="I5081" s="197" t="s">
        <v>8384</v>
      </c>
      <c r="J5081" s="148" t="s">
        <v>63</v>
      </c>
      <c r="K5081" s="148" t="s">
        <v>64</v>
      </c>
      <c r="L5081" s="148" t="s">
        <v>65</v>
      </c>
      <c r="M5081" s="148" t="s">
        <v>66</v>
      </c>
      <c r="N5081" s="212">
        <v>46227.0</v>
      </c>
      <c r="O5081" s="148" t="s">
        <v>67</v>
      </c>
      <c r="P5081" s="148" t="s">
        <v>68</v>
      </c>
      <c r="Q5081" s="103"/>
      <c r="R5081" s="103"/>
      <c r="S5081" s="103"/>
      <c r="T5081" s="103"/>
      <c r="U5081" s="148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1">
        <v>5076.0</v>
      </c>
      <c r="B5082" s="90" t="s">
        <v>8419</v>
      </c>
      <c r="C5082" s="82" t="str">
        <f>VLOOKUP($B$7:$B$5000,SUM!$L$6:$L$500,1,FALSE)</f>
        <v>#VALUE!</v>
      </c>
      <c r="D5082" s="190" t="s">
        <v>8382</v>
      </c>
      <c r="E5082" s="198" t="s">
        <v>58</v>
      </c>
      <c r="F5082" s="199" t="s">
        <v>105</v>
      </c>
      <c r="G5082" s="191" t="s">
        <v>8383</v>
      </c>
      <c r="H5082" s="276" t="s">
        <v>7349</v>
      </c>
      <c r="I5082" s="197" t="s">
        <v>8384</v>
      </c>
      <c r="J5082" s="148" t="s">
        <v>63</v>
      </c>
      <c r="K5082" s="148" t="s">
        <v>64</v>
      </c>
      <c r="L5082" s="148" t="s">
        <v>65</v>
      </c>
      <c r="M5082" s="148" t="s">
        <v>66</v>
      </c>
      <c r="N5082" s="212">
        <v>46227.0</v>
      </c>
      <c r="O5082" s="148" t="s">
        <v>67</v>
      </c>
      <c r="P5082" s="148" t="s">
        <v>68</v>
      </c>
      <c r="Q5082" s="103"/>
      <c r="R5082" s="103"/>
      <c r="S5082" s="103"/>
      <c r="T5082" s="103"/>
      <c r="U5082" s="148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1">
        <v>5077.0</v>
      </c>
      <c r="B5083" s="90" t="s">
        <v>8420</v>
      </c>
      <c r="C5083" s="82" t="str">
        <f>VLOOKUP($B$7:$B$5000,SUM!$L$6:$L$500,1,FALSE)</f>
        <v>#VALUE!</v>
      </c>
      <c r="D5083" s="190" t="s">
        <v>8382</v>
      </c>
      <c r="E5083" s="198" t="s">
        <v>58</v>
      </c>
      <c r="F5083" s="199" t="s">
        <v>105</v>
      </c>
      <c r="G5083" s="191" t="s">
        <v>8383</v>
      </c>
      <c r="H5083" s="276" t="s">
        <v>7351</v>
      </c>
      <c r="I5083" s="197" t="s">
        <v>8384</v>
      </c>
      <c r="J5083" s="148" t="s">
        <v>63</v>
      </c>
      <c r="K5083" s="148" t="s">
        <v>64</v>
      </c>
      <c r="L5083" s="148" t="s">
        <v>65</v>
      </c>
      <c r="M5083" s="148" t="s">
        <v>66</v>
      </c>
      <c r="N5083" s="212">
        <v>46227.0</v>
      </c>
      <c r="O5083" s="148" t="s">
        <v>67</v>
      </c>
      <c r="P5083" s="148" t="s">
        <v>68</v>
      </c>
      <c r="Q5083" s="103"/>
      <c r="R5083" s="103"/>
      <c r="S5083" s="103"/>
      <c r="T5083" s="103"/>
      <c r="U5083" s="148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1">
        <v>5078.0</v>
      </c>
      <c r="B5084" s="90" t="s">
        <v>8421</v>
      </c>
      <c r="C5084" s="82" t="str">
        <f>VLOOKUP($B$7:$B$5000,SUM!$L$6:$L$500,1,FALSE)</f>
        <v>#VALUE!</v>
      </c>
      <c r="D5084" s="190" t="s">
        <v>8382</v>
      </c>
      <c r="E5084" s="198" t="s">
        <v>58</v>
      </c>
      <c r="F5084" s="199" t="s">
        <v>105</v>
      </c>
      <c r="G5084" s="191" t="s">
        <v>8383</v>
      </c>
      <c r="H5084" s="276" t="s">
        <v>7353</v>
      </c>
      <c r="I5084" s="197" t="s">
        <v>8384</v>
      </c>
      <c r="J5084" s="148" t="s">
        <v>63</v>
      </c>
      <c r="K5084" s="148" t="s">
        <v>64</v>
      </c>
      <c r="L5084" s="148" t="s">
        <v>65</v>
      </c>
      <c r="M5084" s="148" t="s">
        <v>66</v>
      </c>
      <c r="N5084" s="212">
        <v>46227.0</v>
      </c>
      <c r="O5084" s="148" t="s">
        <v>67</v>
      </c>
      <c r="P5084" s="148" t="s">
        <v>68</v>
      </c>
      <c r="Q5084" s="103"/>
      <c r="R5084" s="103"/>
      <c r="S5084" s="103"/>
      <c r="T5084" s="103"/>
      <c r="U5084" s="148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1">
        <v>5079.0</v>
      </c>
      <c r="B5085" s="90" t="s">
        <v>8422</v>
      </c>
      <c r="C5085" s="82" t="str">
        <f>VLOOKUP($B$7:$B$5000,SUM!$L$6:$L$500,1,FALSE)</f>
        <v>#VALUE!</v>
      </c>
      <c r="D5085" s="190" t="s">
        <v>8382</v>
      </c>
      <c r="E5085" s="198" t="s">
        <v>58</v>
      </c>
      <c r="F5085" s="199" t="s">
        <v>105</v>
      </c>
      <c r="G5085" s="191" t="s">
        <v>8383</v>
      </c>
      <c r="H5085" s="276" t="s">
        <v>7355</v>
      </c>
      <c r="I5085" s="197" t="s">
        <v>8384</v>
      </c>
      <c r="J5085" s="148" t="s">
        <v>63</v>
      </c>
      <c r="K5085" s="148" t="s">
        <v>64</v>
      </c>
      <c r="L5085" s="148" t="s">
        <v>65</v>
      </c>
      <c r="M5085" s="148" t="s">
        <v>66</v>
      </c>
      <c r="N5085" s="212">
        <v>46227.0</v>
      </c>
      <c r="O5085" s="148" t="s">
        <v>67</v>
      </c>
      <c r="P5085" s="148" t="s">
        <v>68</v>
      </c>
      <c r="Q5085" s="103"/>
      <c r="R5085" s="103"/>
      <c r="S5085" s="103"/>
      <c r="T5085" s="103"/>
      <c r="U5085" s="148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1">
        <v>5080.0</v>
      </c>
      <c r="B5086" s="90" t="s">
        <v>8423</v>
      </c>
      <c r="C5086" s="82" t="str">
        <f>VLOOKUP($B$7:$B$5000,SUM!$L$6:$L$500,1,FALSE)</f>
        <v>#VALUE!</v>
      </c>
      <c r="D5086" s="190" t="s">
        <v>8382</v>
      </c>
      <c r="E5086" s="198" t="s">
        <v>58</v>
      </c>
      <c r="F5086" s="199" t="s">
        <v>105</v>
      </c>
      <c r="G5086" s="191" t="s">
        <v>8383</v>
      </c>
      <c r="H5086" s="276" t="s">
        <v>7357</v>
      </c>
      <c r="I5086" s="197" t="s">
        <v>8384</v>
      </c>
      <c r="J5086" s="148" t="s">
        <v>63</v>
      </c>
      <c r="K5086" s="148" t="s">
        <v>64</v>
      </c>
      <c r="L5086" s="148" t="s">
        <v>65</v>
      </c>
      <c r="M5086" s="148" t="s">
        <v>66</v>
      </c>
      <c r="N5086" s="212">
        <v>46227.0</v>
      </c>
      <c r="O5086" s="148" t="s">
        <v>67</v>
      </c>
      <c r="P5086" s="148" t="s">
        <v>68</v>
      </c>
      <c r="Q5086" s="103"/>
      <c r="R5086" s="103"/>
      <c r="S5086" s="103"/>
      <c r="T5086" s="103"/>
      <c r="U5086" s="148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1">
        <v>5081.0</v>
      </c>
      <c r="B5087" s="90" t="s">
        <v>8424</v>
      </c>
      <c r="C5087" s="82" t="str">
        <f>VLOOKUP($B$7:$B$5000,SUM!$L$6:$L$500,1,FALSE)</f>
        <v>#VALUE!</v>
      </c>
      <c r="D5087" s="190" t="s">
        <v>8382</v>
      </c>
      <c r="E5087" s="272" t="s">
        <v>58</v>
      </c>
      <c r="F5087" s="199" t="s">
        <v>105</v>
      </c>
      <c r="G5087" s="191" t="s">
        <v>8383</v>
      </c>
      <c r="H5087" s="276" t="s">
        <v>7359</v>
      </c>
      <c r="I5087" s="197" t="s">
        <v>8384</v>
      </c>
      <c r="J5087" s="148" t="s">
        <v>63</v>
      </c>
      <c r="K5087" s="148" t="s">
        <v>64</v>
      </c>
      <c r="L5087" s="148" t="s">
        <v>65</v>
      </c>
      <c r="M5087" s="148" t="s">
        <v>66</v>
      </c>
      <c r="N5087" s="212">
        <v>46227.0</v>
      </c>
      <c r="O5087" s="148" t="s">
        <v>67</v>
      </c>
      <c r="P5087" s="148" t="s">
        <v>68</v>
      </c>
      <c r="Q5087" s="103"/>
      <c r="R5087" s="103"/>
      <c r="S5087" s="103"/>
      <c r="T5087" s="103"/>
      <c r="U5087" s="148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1">
        <v>5082.0</v>
      </c>
      <c r="B5088" s="90" t="s">
        <v>8425</v>
      </c>
      <c r="C5088" s="82" t="str">
        <f>VLOOKUP($B$7:$B$5000,SUM!$L$6:$L$500,1,FALSE)</f>
        <v>#VALUE!</v>
      </c>
      <c r="D5088" s="190" t="s">
        <v>8382</v>
      </c>
      <c r="E5088" s="272" t="s">
        <v>58</v>
      </c>
      <c r="F5088" s="199" t="s">
        <v>105</v>
      </c>
      <c r="G5088" s="191" t="s">
        <v>8383</v>
      </c>
      <c r="H5088" s="276" t="s">
        <v>7361</v>
      </c>
      <c r="I5088" s="197" t="s">
        <v>8384</v>
      </c>
      <c r="J5088" s="148" t="s">
        <v>63</v>
      </c>
      <c r="K5088" s="148" t="s">
        <v>64</v>
      </c>
      <c r="L5088" s="148" t="s">
        <v>65</v>
      </c>
      <c r="M5088" s="148" t="s">
        <v>66</v>
      </c>
      <c r="N5088" s="212">
        <v>46227.0</v>
      </c>
      <c r="O5088" s="148" t="s">
        <v>67</v>
      </c>
      <c r="P5088" s="148" t="s">
        <v>68</v>
      </c>
      <c r="Q5088" s="103"/>
      <c r="R5088" s="103"/>
      <c r="S5088" s="103"/>
      <c r="T5088" s="103"/>
      <c r="U5088" s="148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1">
        <v>5083.0</v>
      </c>
      <c r="B5089" s="90" t="s">
        <v>8426</v>
      </c>
      <c r="C5089" s="82" t="str">
        <f>VLOOKUP($B$7:$B$5000,SUM!$L$6:$L$500,1,FALSE)</f>
        <v>#VALUE!</v>
      </c>
      <c r="D5089" s="190" t="s">
        <v>8382</v>
      </c>
      <c r="E5089" s="198" t="s">
        <v>58</v>
      </c>
      <c r="F5089" s="199" t="s">
        <v>105</v>
      </c>
      <c r="G5089" s="191" t="s">
        <v>8383</v>
      </c>
      <c r="H5089" s="276" t="s">
        <v>7363</v>
      </c>
      <c r="I5089" s="197" t="s">
        <v>8384</v>
      </c>
      <c r="J5089" s="148" t="s">
        <v>63</v>
      </c>
      <c r="K5089" s="148" t="s">
        <v>64</v>
      </c>
      <c r="L5089" s="148" t="s">
        <v>65</v>
      </c>
      <c r="M5089" s="148" t="s">
        <v>66</v>
      </c>
      <c r="N5089" s="212">
        <v>46227.0</v>
      </c>
      <c r="O5089" s="148" t="s">
        <v>67</v>
      </c>
      <c r="P5089" s="148" t="s">
        <v>68</v>
      </c>
      <c r="Q5089" s="103"/>
      <c r="R5089" s="103"/>
      <c r="S5089" s="103"/>
      <c r="T5089" s="103"/>
      <c r="U5089" s="148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1">
        <v>5084.0</v>
      </c>
      <c r="B5090" s="90" t="s">
        <v>8427</v>
      </c>
      <c r="C5090" s="82" t="str">
        <f>VLOOKUP($B$7:$B$5000,SUM!$L$6:$L$500,1,FALSE)</f>
        <v>#VALUE!</v>
      </c>
      <c r="D5090" s="190" t="s">
        <v>8382</v>
      </c>
      <c r="E5090" s="198" t="s">
        <v>58</v>
      </c>
      <c r="F5090" s="199" t="s">
        <v>105</v>
      </c>
      <c r="G5090" s="191" t="s">
        <v>8383</v>
      </c>
      <c r="H5090" s="276" t="s">
        <v>7365</v>
      </c>
      <c r="I5090" s="197" t="s">
        <v>8384</v>
      </c>
      <c r="J5090" s="148" t="s">
        <v>63</v>
      </c>
      <c r="K5090" s="148" t="s">
        <v>64</v>
      </c>
      <c r="L5090" s="148" t="s">
        <v>65</v>
      </c>
      <c r="M5090" s="148" t="s">
        <v>66</v>
      </c>
      <c r="N5090" s="212">
        <v>46227.0</v>
      </c>
      <c r="O5090" s="148" t="s">
        <v>67</v>
      </c>
      <c r="P5090" s="148" t="s">
        <v>68</v>
      </c>
      <c r="Q5090" s="103"/>
      <c r="R5090" s="103"/>
      <c r="S5090" s="103"/>
      <c r="T5090" s="103"/>
      <c r="U5090" s="148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1">
        <v>5085.0</v>
      </c>
      <c r="B5091" s="90" t="s">
        <v>8428</v>
      </c>
      <c r="C5091" s="82" t="str">
        <f>VLOOKUP($B$7:$B$5000,SUM!$L$6:$L$500,1,FALSE)</f>
        <v>#VALUE!</v>
      </c>
      <c r="D5091" s="190" t="s">
        <v>8382</v>
      </c>
      <c r="E5091" s="198" t="s">
        <v>58</v>
      </c>
      <c r="F5091" s="199" t="s">
        <v>105</v>
      </c>
      <c r="G5091" s="191" t="s">
        <v>8383</v>
      </c>
      <c r="H5091" s="276" t="s">
        <v>7367</v>
      </c>
      <c r="I5091" s="197" t="s">
        <v>8384</v>
      </c>
      <c r="J5091" s="148" t="s">
        <v>63</v>
      </c>
      <c r="K5091" s="148" t="s">
        <v>64</v>
      </c>
      <c r="L5091" s="148" t="s">
        <v>65</v>
      </c>
      <c r="M5091" s="148" t="s">
        <v>66</v>
      </c>
      <c r="N5091" s="212">
        <v>46227.0</v>
      </c>
      <c r="O5091" s="148" t="s">
        <v>67</v>
      </c>
      <c r="P5091" s="148" t="s">
        <v>68</v>
      </c>
      <c r="Q5091" s="103"/>
      <c r="R5091" s="103"/>
      <c r="S5091" s="103"/>
      <c r="T5091" s="103"/>
      <c r="U5091" s="148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1">
        <v>5086.0</v>
      </c>
      <c r="B5092" s="90" t="s">
        <v>8429</v>
      </c>
      <c r="C5092" s="82" t="str">
        <f>VLOOKUP($B$7:$B$5000,SUM!$L$6:$L$500,1,FALSE)</f>
        <v>#VALUE!</v>
      </c>
      <c r="D5092" s="190" t="s">
        <v>8382</v>
      </c>
      <c r="E5092" s="198" t="s">
        <v>58</v>
      </c>
      <c r="F5092" s="199" t="s">
        <v>105</v>
      </c>
      <c r="G5092" s="191" t="s">
        <v>8383</v>
      </c>
      <c r="H5092" s="276" t="s">
        <v>7369</v>
      </c>
      <c r="I5092" s="197" t="s">
        <v>8384</v>
      </c>
      <c r="J5092" s="148" t="s">
        <v>63</v>
      </c>
      <c r="K5092" s="148" t="s">
        <v>64</v>
      </c>
      <c r="L5092" s="148" t="s">
        <v>65</v>
      </c>
      <c r="M5092" s="148" t="s">
        <v>66</v>
      </c>
      <c r="N5092" s="212">
        <v>46227.0</v>
      </c>
      <c r="O5092" s="148" t="s">
        <v>67</v>
      </c>
      <c r="P5092" s="148" t="s">
        <v>68</v>
      </c>
      <c r="Q5092" s="103"/>
      <c r="R5092" s="103"/>
      <c r="S5092" s="103"/>
      <c r="T5092" s="103"/>
      <c r="U5092" s="148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1">
        <v>5087.0</v>
      </c>
      <c r="B5093" s="90" t="s">
        <v>8430</v>
      </c>
      <c r="C5093" s="82" t="str">
        <f>VLOOKUP($B$7:$B$5000,SUM!$L$6:$L$500,1,FALSE)</f>
        <v>#VALUE!</v>
      </c>
      <c r="D5093" s="190" t="s">
        <v>8382</v>
      </c>
      <c r="E5093" s="198" t="s">
        <v>58</v>
      </c>
      <c r="F5093" s="199" t="s">
        <v>105</v>
      </c>
      <c r="G5093" s="191" t="s">
        <v>8383</v>
      </c>
      <c r="H5093" s="274" t="s">
        <v>7320</v>
      </c>
      <c r="I5093" s="197" t="s">
        <v>8431</v>
      </c>
      <c r="J5093" s="148" t="s">
        <v>63</v>
      </c>
      <c r="K5093" s="148" t="s">
        <v>64</v>
      </c>
      <c r="L5093" s="148" t="s">
        <v>65</v>
      </c>
      <c r="M5093" s="148" t="s">
        <v>66</v>
      </c>
      <c r="N5093" s="212">
        <v>46227.0</v>
      </c>
      <c r="O5093" s="148" t="s">
        <v>67</v>
      </c>
      <c r="P5093" s="148" t="s">
        <v>68</v>
      </c>
      <c r="Q5093" s="103"/>
      <c r="R5093" s="103"/>
      <c r="S5093" s="103"/>
      <c r="T5093" s="103"/>
      <c r="U5093" s="148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1">
        <v>5088.0</v>
      </c>
      <c r="B5094" s="90" t="s">
        <v>8432</v>
      </c>
      <c r="C5094" s="82" t="str">
        <f>VLOOKUP($B$7:$B$5000,SUM!$L$6:$L$500,1,FALSE)</f>
        <v>#VALUE!</v>
      </c>
      <c r="D5094" s="190" t="s">
        <v>8382</v>
      </c>
      <c r="E5094" s="198" t="s">
        <v>58</v>
      </c>
      <c r="F5094" s="199" t="s">
        <v>105</v>
      </c>
      <c r="G5094" s="191" t="s">
        <v>8383</v>
      </c>
      <c r="H5094" s="274" t="s">
        <v>7323</v>
      </c>
      <c r="I5094" s="197" t="s">
        <v>8431</v>
      </c>
      <c r="J5094" s="148" t="s">
        <v>63</v>
      </c>
      <c r="K5094" s="148" t="s">
        <v>64</v>
      </c>
      <c r="L5094" s="148" t="s">
        <v>65</v>
      </c>
      <c r="M5094" s="148" t="s">
        <v>66</v>
      </c>
      <c r="N5094" s="212">
        <v>46227.0</v>
      </c>
      <c r="O5094" s="148" t="s">
        <v>67</v>
      </c>
      <c r="P5094" s="148" t="s">
        <v>68</v>
      </c>
      <c r="Q5094" s="103"/>
      <c r="R5094" s="103"/>
      <c r="S5094" s="103"/>
      <c r="T5094" s="103"/>
      <c r="U5094" s="148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1">
        <v>5089.0</v>
      </c>
      <c r="B5095" s="90" t="s">
        <v>8433</v>
      </c>
      <c r="C5095" s="82" t="str">
        <f>VLOOKUP($B$7:$B$5000,SUM!$L$6:$L$500,1,FALSE)</f>
        <v>#VALUE!</v>
      </c>
      <c r="D5095" s="190" t="s">
        <v>8382</v>
      </c>
      <c r="E5095" s="198" t="s">
        <v>58</v>
      </c>
      <c r="F5095" s="199" t="s">
        <v>105</v>
      </c>
      <c r="G5095" s="191" t="s">
        <v>8383</v>
      </c>
      <c r="H5095" s="274" t="s">
        <v>7325</v>
      </c>
      <c r="I5095" s="197" t="s">
        <v>8431</v>
      </c>
      <c r="J5095" s="148" t="s">
        <v>63</v>
      </c>
      <c r="K5095" s="148" t="s">
        <v>64</v>
      </c>
      <c r="L5095" s="148" t="s">
        <v>65</v>
      </c>
      <c r="M5095" s="148" t="s">
        <v>66</v>
      </c>
      <c r="N5095" s="212">
        <v>46227.0</v>
      </c>
      <c r="O5095" s="148" t="s">
        <v>67</v>
      </c>
      <c r="P5095" s="148" t="s">
        <v>68</v>
      </c>
      <c r="Q5095" s="103"/>
      <c r="R5095" s="103"/>
      <c r="S5095" s="103"/>
      <c r="T5095" s="103"/>
      <c r="U5095" s="148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1">
        <v>5090.0</v>
      </c>
      <c r="B5096" s="90" t="s">
        <v>8434</v>
      </c>
      <c r="C5096" s="82" t="str">
        <f>VLOOKUP($B$7:$B$5000,SUM!$L$6:$L$500,1,FALSE)</f>
        <v>#VALUE!</v>
      </c>
      <c r="D5096" s="190" t="s">
        <v>8382</v>
      </c>
      <c r="E5096" s="198" t="s">
        <v>58</v>
      </c>
      <c r="F5096" s="199" t="s">
        <v>105</v>
      </c>
      <c r="G5096" s="191" t="s">
        <v>8383</v>
      </c>
      <c r="H5096" s="274" t="s">
        <v>7327</v>
      </c>
      <c r="I5096" s="197" t="s">
        <v>8431</v>
      </c>
      <c r="J5096" s="148" t="s">
        <v>63</v>
      </c>
      <c r="K5096" s="148" t="s">
        <v>64</v>
      </c>
      <c r="L5096" s="148" t="s">
        <v>65</v>
      </c>
      <c r="M5096" s="148" t="s">
        <v>66</v>
      </c>
      <c r="N5096" s="212">
        <v>46227.0</v>
      </c>
      <c r="O5096" s="148" t="s">
        <v>67</v>
      </c>
      <c r="P5096" s="148" t="s">
        <v>68</v>
      </c>
      <c r="Q5096" s="103"/>
      <c r="R5096" s="103"/>
      <c r="S5096" s="103"/>
      <c r="T5096" s="103"/>
      <c r="U5096" s="148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1">
        <v>5091.0</v>
      </c>
      <c r="B5097" s="90" t="s">
        <v>8435</v>
      </c>
      <c r="C5097" s="82" t="str">
        <f>VLOOKUP($B$7:$B$5000,SUM!$L$6:$L$500,1,FALSE)</f>
        <v>#VALUE!</v>
      </c>
      <c r="D5097" s="190" t="s">
        <v>8382</v>
      </c>
      <c r="E5097" s="272" t="s">
        <v>58</v>
      </c>
      <c r="F5097" s="199" t="s">
        <v>105</v>
      </c>
      <c r="G5097" s="191" t="s">
        <v>8383</v>
      </c>
      <c r="H5097" s="274" t="s">
        <v>7329</v>
      </c>
      <c r="I5097" s="197" t="s">
        <v>8431</v>
      </c>
      <c r="J5097" s="148" t="s">
        <v>63</v>
      </c>
      <c r="K5097" s="148" t="s">
        <v>64</v>
      </c>
      <c r="L5097" s="148" t="s">
        <v>65</v>
      </c>
      <c r="M5097" s="148" t="s">
        <v>66</v>
      </c>
      <c r="N5097" s="212">
        <v>46227.0</v>
      </c>
      <c r="O5097" s="148" t="s">
        <v>67</v>
      </c>
      <c r="P5097" s="148" t="s">
        <v>68</v>
      </c>
      <c r="Q5097" s="103"/>
      <c r="R5097" s="103"/>
      <c r="S5097" s="103"/>
      <c r="T5097" s="103"/>
      <c r="U5097" s="148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1">
        <v>5092.0</v>
      </c>
      <c r="B5098" s="90" t="s">
        <v>8436</v>
      </c>
      <c r="C5098" s="82" t="str">
        <f>VLOOKUP($B$7:$B$5000,SUM!$L$6:$L$500,1,FALSE)</f>
        <v>#VALUE!</v>
      </c>
      <c r="D5098" s="190" t="s">
        <v>8382</v>
      </c>
      <c r="E5098" s="272" t="s">
        <v>58</v>
      </c>
      <c r="F5098" s="199" t="s">
        <v>105</v>
      </c>
      <c r="G5098" s="191" t="s">
        <v>8383</v>
      </c>
      <c r="H5098" s="274" t="s">
        <v>7331</v>
      </c>
      <c r="I5098" s="197" t="s">
        <v>8431</v>
      </c>
      <c r="J5098" s="148" t="s">
        <v>63</v>
      </c>
      <c r="K5098" s="148" t="s">
        <v>64</v>
      </c>
      <c r="L5098" s="148" t="s">
        <v>65</v>
      </c>
      <c r="M5098" s="148" t="s">
        <v>66</v>
      </c>
      <c r="N5098" s="212">
        <v>46227.0</v>
      </c>
      <c r="O5098" s="148" t="s">
        <v>67</v>
      </c>
      <c r="P5098" s="148" t="s">
        <v>68</v>
      </c>
      <c r="Q5098" s="103"/>
      <c r="R5098" s="103"/>
      <c r="S5098" s="103"/>
      <c r="T5098" s="103"/>
      <c r="U5098" s="148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1">
        <v>5093.0</v>
      </c>
      <c r="B5099" s="90" t="s">
        <v>8437</v>
      </c>
      <c r="C5099" s="82" t="str">
        <f>VLOOKUP($B$7:$B$5000,SUM!$L$6:$L$500,1,FALSE)</f>
        <v>#VALUE!</v>
      </c>
      <c r="D5099" s="190" t="s">
        <v>8382</v>
      </c>
      <c r="E5099" s="198" t="s">
        <v>58</v>
      </c>
      <c r="F5099" s="199" t="s">
        <v>105</v>
      </c>
      <c r="G5099" s="191" t="s">
        <v>8383</v>
      </c>
      <c r="H5099" s="274" t="s">
        <v>7333</v>
      </c>
      <c r="I5099" s="197" t="s">
        <v>8431</v>
      </c>
      <c r="J5099" s="148" t="s">
        <v>63</v>
      </c>
      <c r="K5099" s="148" t="s">
        <v>64</v>
      </c>
      <c r="L5099" s="148" t="s">
        <v>65</v>
      </c>
      <c r="M5099" s="148" t="s">
        <v>66</v>
      </c>
      <c r="N5099" s="212">
        <v>46227.0</v>
      </c>
      <c r="O5099" s="148" t="s">
        <v>67</v>
      </c>
      <c r="P5099" s="148" t="s">
        <v>68</v>
      </c>
      <c r="Q5099" s="103"/>
      <c r="R5099" s="103"/>
      <c r="S5099" s="103"/>
      <c r="T5099" s="103"/>
      <c r="U5099" s="148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1">
        <v>5094.0</v>
      </c>
      <c r="B5100" s="90" t="s">
        <v>8438</v>
      </c>
      <c r="C5100" s="82" t="str">
        <f>VLOOKUP($B$7:$B$5000,SUM!$L$6:$L$500,1,FALSE)</f>
        <v>#VALUE!</v>
      </c>
      <c r="D5100" s="190" t="s">
        <v>8382</v>
      </c>
      <c r="E5100" s="198" t="s">
        <v>58</v>
      </c>
      <c r="F5100" s="199" t="s">
        <v>105</v>
      </c>
      <c r="G5100" s="191" t="s">
        <v>8383</v>
      </c>
      <c r="H5100" s="274" t="s">
        <v>7335</v>
      </c>
      <c r="I5100" s="197" t="s">
        <v>8431</v>
      </c>
      <c r="J5100" s="148" t="s">
        <v>63</v>
      </c>
      <c r="K5100" s="148" t="s">
        <v>64</v>
      </c>
      <c r="L5100" s="148" t="s">
        <v>65</v>
      </c>
      <c r="M5100" s="148" t="s">
        <v>66</v>
      </c>
      <c r="N5100" s="212">
        <v>46227.0</v>
      </c>
      <c r="O5100" s="148" t="s">
        <v>67</v>
      </c>
      <c r="P5100" s="148" t="s">
        <v>68</v>
      </c>
      <c r="Q5100" s="103"/>
      <c r="R5100" s="103"/>
      <c r="S5100" s="103"/>
      <c r="T5100" s="103"/>
      <c r="U5100" s="148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1">
        <v>5095.0</v>
      </c>
      <c r="B5101" s="90" t="s">
        <v>8439</v>
      </c>
      <c r="C5101" s="82" t="str">
        <f>VLOOKUP($B$7:$B$5000,SUM!$L$6:$L$500,1,FALSE)</f>
        <v>#VALUE!</v>
      </c>
      <c r="D5101" s="190" t="s">
        <v>8382</v>
      </c>
      <c r="E5101" s="198" t="s">
        <v>58</v>
      </c>
      <c r="F5101" s="199" t="s">
        <v>105</v>
      </c>
      <c r="G5101" s="191" t="s">
        <v>8383</v>
      </c>
      <c r="H5101" s="274" t="s">
        <v>7337</v>
      </c>
      <c r="I5101" s="197" t="s">
        <v>8431</v>
      </c>
      <c r="J5101" s="148" t="s">
        <v>63</v>
      </c>
      <c r="K5101" s="148" t="s">
        <v>64</v>
      </c>
      <c r="L5101" s="148" t="s">
        <v>65</v>
      </c>
      <c r="M5101" s="148" t="s">
        <v>66</v>
      </c>
      <c r="N5101" s="212">
        <v>46227.0</v>
      </c>
      <c r="O5101" s="148" t="s">
        <v>67</v>
      </c>
      <c r="P5101" s="148" t="s">
        <v>68</v>
      </c>
      <c r="Q5101" s="103"/>
      <c r="R5101" s="103"/>
      <c r="S5101" s="103"/>
      <c r="T5101" s="103"/>
      <c r="U5101" s="148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1">
        <v>5096.0</v>
      </c>
      <c r="B5102" s="90" t="s">
        <v>8440</v>
      </c>
      <c r="C5102" s="82" t="str">
        <f>VLOOKUP($B$7:$B$5000,SUM!$L$6:$L$500,1,FALSE)</f>
        <v>#VALUE!</v>
      </c>
      <c r="D5102" s="190" t="s">
        <v>8382</v>
      </c>
      <c r="E5102" s="198" t="s">
        <v>58</v>
      </c>
      <c r="F5102" s="199" t="s">
        <v>105</v>
      </c>
      <c r="G5102" s="191" t="s">
        <v>8383</v>
      </c>
      <c r="H5102" s="274" t="s">
        <v>7339</v>
      </c>
      <c r="I5102" s="197" t="s">
        <v>8431</v>
      </c>
      <c r="J5102" s="148" t="s">
        <v>63</v>
      </c>
      <c r="K5102" s="148" t="s">
        <v>64</v>
      </c>
      <c r="L5102" s="148" t="s">
        <v>65</v>
      </c>
      <c r="M5102" s="148" t="s">
        <v>66</v>
      </c>
      <c r="N5102" s="212">
        <v>46227.0</v>
      </c>
      <c r="O5102" s="148" t="s">
        <v>67</v>
      </c>
      <c r="P5102" s="148" t="s">
        <v>68</v>
      </c>
      <c r="Q5102" s="103"/>
      <c r="R5102" s="103"/>
      <c r="S5102" s="103"/>
      <c r="T5102" s="103"/>
      <c r="U5102" s="148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1">
        <v>5097.0</v>
      </c>
      <c r="B5103" s="90" t="s">
        <v>8441</v>
      </c>
      <c r="C5103" s="82" t="str">
        <f>VLOOKUP($B$7:$B$5000,SUM!$L$6:$L$500,1,FALSE)</f>
        <v>#VALUE!</v>
      </c>
      <c r="D5103" s="190" t="s">
        <v>8382</v>
      </c>
      <c r="E5103" s="198" t="s">
        <v>58</v>
      </c>
      <c r="F5103" s="199" t="s">
        <v>105</v>
      </c>
      <c r="G5103" s="191" t="s">
        <v>8383</v>
      </c>
      <c r="H5103" s="274" t="s">
        <v>7341</v>
      </c>
      <c r="I5103" s="197" t="s">
        <v>8431</v>
      </c>
      <c r="J5103" s="148" t="s">
        <v>63</v>
      </c>
      <c r="K5103" s="148" t="s">
        <v>64</v>
      </c>
      <c r="L5103" s="148" t="s">
        <v>65</v>
      </c>
      <c r="M5103" s="148" t="s">
        <v>66</v>
      </c>
      <c r="N5103" s="212">
        <v>46227.0</v>
      </c>
      <c r="O5103" s="148" t="s">
        <v>67</v>
      </c>
      <c r="P5103" s="148" t="s">
        <v>68</v>
      </c>
      <c r="Q5103" s="103"/>
      <c r="R5103" s="103"/>
      <c r="S5103" s="103"/>
      <c r="T5103" s="103"/>
      <c r="U5103" s="148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1">
        <v>5098.0</v>
      </c>
      <c r="B5104" s="90" t="s">
        <v>8442</v>
      </c>
      <c r="C5104" s="82" t="str">
        <f>VLOOKUP($B$7:$B$5000,SUM!$L$6:$L$500,1,FALSE)</f>
        <v>#VALUE!</v>
      </c>
      <c r="D5104" s="190" t="s">
        <v>8382</v>
      </c>
      <c r="E5104" s="198" t="s">
        <v>58</v>
      </c>
      <c r="F5104" s="199" t="s">
        <v>105</v>
      </c>
      <c r="G5104" s="191" t="s">
        <v>8383</v>
      </c>
      <c r="H5104" s="274" t="s">
        <v>7347</v>
      </c>
      <c r="I5104" s="197" t="s">
        <v>8431</v>
      </c>
      <c r="J5104" s="148" t="s">
        <v>63</v>
      </c>
      <c r="K5104" s="148" t="s">
        <v>64</v>
      </c>
      <c r="L5104" s="148" t="s">
        <v>65</v>
      </c>
      <c r="M5104" s="148" t="s">
        <v>66</v>
      </c>
      <c r="N5104" s="212">
        <v>46227.0</v>
      </c>
      <c r="O5104" s="148" t="s">
        <v>67</v>
      </c>
      <c r="P5104" s="148" t="s">
        <v>68</v>
      </c>
      <c r="Q5104" s="103"/>
      <c r="R5104" s="103"/>
      <c r="S5104" s="103"/>
      <c r="T5104" s="103"/>
      <c r="U5104" s="148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1">
        <v>5099.0</v>
      </c>
      <c r="B5105" s="90" t="s">
        <v>8443</v>
      </c>
      <c r="C5105" s="82" t="str">
        <f>VLOOKUP($B$7:$B$5000,SUM!$L$6:$L$500,1,FALSE)</f>
        <v>#VALUE!</v>
      </c>
      <c r="D5105" s="190" t="s">
        <v>8382</v>
      </c>
      <c r="E5105" s="198" t="s">
        <v>58</v>
      </c>
      <c r="F5105" s="199" t="s">
        <v>105</v>
      </c>
      <c r="G5105" s="191" t="s">
        <v>8383</v>
      </c>
      <c r="H5105" s="274" t="s">
        <v>7349</v>
      </c>
      <c r="I5105" s="197" t="s">
        <v>8431</v>
      </c>
      <c r="J5105" s="148" t="s">
        <v>63</v>
      </c>
      <c r="K5105" s="148" t="s">
        <v>64</v>
      </c>
      <c r="L5105" s="148" t="s">
        <v>65</v>
      </c>
      <c r="M5105" s="148" t="s">
        <v>66</v>
      </c>
      <c r="N5105" s="212">
        <v>46227.0</v>
      </c>
      <c r="O5105" s="148" t="s">
        <v>67</v>
      </c>
      <c r="P5105" s="148" t="s">
        <v>68</v>
      </c>
      <c r="Q5105" s="103"/>
      <c r="R5105" s="103"/>
      <c r="S5105" s="103"/>
      <c r="T5105" s="103"/>
      <c r="U5105" s="148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1">
        <v>5100.0</v>
      </c>
      <c r="B5106" s="90" t="s">
        <v>8444</v>
      </c>
      <c r="C5106" s="82" t="str">
        <f>VLOOKUP($B$7:$B$5000,SUM!$L$6:$L$500,1,FALSE)</f>
        <v>#VALUE!</v>
      </c>
      <c r="D5106" s="190" t="s">
        <v>8382</v>
      </c>
      <c r="E5106" s="198" t="s">
        <v>58</v>
      </c>
      <c r="F5106" s="199" t="s">
        <v>105</v>
      </c>
      <c r="G5106" s="191" t="s">
        <v>8383</v>
      </c>
      <c r="H5106" s="274" t="s">
        <v>7351</v>
      </c>
      <c r="I5106" s="197" t="s">
        <v>8431</v>
      </c>
      <c r="J5106" s="148" t="s">
        <v>63</v>
      </c>
      <c r="K5106" s="148" t="s">
        <v>64</v>
      </c>
      <c r="L5106" s="148" t="s">
        <v>65</v>
      </c>
      <c r="M5106" s="148" t="s">
        <v>66</v>
      </c>
      <c r="N5106" s="212">
        <v>46227.0</v>
      </c>
      <c r="O5106" s="148" t="s">
        <v>67</v>
      </c>
      <c r="P5106" s="148" t="s">
        <v>68</v>
      </c>
      <c r="Q5106" s="103"/>
      <c r="R5106" s="103"/>
      <c r="S5106" s="103"/>
      <c r="T5106" s="103"/>
      <c r="U5106" s="148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1">
        <v>5101.0</v>
      </c>
      <c r="B5107" s="90" t="s">
        <v>8445</v>
      </c>
      <c r="C5107" s="82" t="str">
        <f>VLOOKUP($B$7:$B$5000,SUM!$L$6:$L$500,1,FALSE)</f>
        <v>#VALUE!</v>
      </c>
      <c r="D5107" s="190" t="s">
        <v>8382</v>
      </c>
      <c r="E5107" s="272" t="s">
        <v>58</v>
      </c>
      <c r="F5107" s="199" t="s">
        <v>105</v>
      </c>
      <c r="G5107" s="191" t="s">
        <v>8383</v>
      </c>
      <c r="H5107" s="274" t="s">
        <v>7353</v>
      </c>
      <c r="I5107" s="197" t="s">
        <v>8431</v>
      </c>
      <c r="J5107" s="148" t="s">
        <v>63</v>
      </c>
      <c r="K5107" s="148" t="s">
        <v>64</v>
      </c>
      <c r="L5107" s="148" t="s">
        <v>65</v>
      </c>
      <c r="M5107" s="148" t="s">
        <v>66</v>
      </c>
      <c r="N5107" s="212">
        <v>46227.0</v>
      </c>
      <c r="O5107" s="148" t="s">
        <v>67</v>
      </c>
      <c r="P5107" s="148" t="s">
        <v>68</v>
      </c>
      <c r="Q5107" s="103"/>
      <c r="R5107" s="103"/>
      <c r="S5107" s="103"/>
      <c r="T5107" s="103"/>
      <c r="U5107" s="148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1">
        <v>5102.0</v>
      </c>
      <c r="B5108" s="90" t="s">
        <v>8446</v>
      </c>
      <c r="C5108" s="82" t="str">
        <f>VLOOKUP($B$7:$B$5000,SUM!$L$6:$L$500,1,FALSE)</f>
        <v>#VALUE!</v>
      </c>
      <c r="D5108" s="190" t="s">
        <v>8382</v>
      </c>
      <c r="E5108" s="272" t="s">
        <v>58</v>
      </c>
      <c r="F5108" s="199" t="s">
        <v>105</v>
      </c>
      <c r="G5108" s="191" t="s">
        <v>8383</v>
      </c>
      <c r="H5108" s="274" t="s">
        <v>7355</v>
      </c>
      <c r="I5108" s="197" t="s">
        <v>8431</v>
      </c>
      <c r="J5108" s="148" t="s">
        <v>63</v>
      </c>
      <c r="K5108" s="148" t="s">
        <v>64</v>
      </c>
      <c r="L5108" s="148" t="s">
        <v>65</v>
      </c>
      <c r="M5108" s="148" t="s">
        <v>66</v>
      </c>
      <c r="N5108" s="212">
        <v>46227.0</v>
      </c>
      <c r="O5108" s="148" t="s">
        <v>67</v>
      </c>
      <c r="P5108" s="148" t="s">
        <v>68</v>
      </c>
      <c r="Q5108" s="103"/>
      <c r="R5108" s="103"/>
      <c r="S5108" s="103"/>
      <c r="T5108" s="103"/>
      <c r="U5108" s="148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1">
        <v>5103.0</v>
      </c>
      <c r="B5109" s="90" t="s">
        <v>8447</v>
      </c>
      <c r="C5109" s="82" t="str">
        <f>VLOOKUP($B$7:$B$5000,SUM!$L$6:$L$500,1,FALSE)</f>
        <v>#VALUE!</v>
      </c>
      <c r="D5109" s="190" t="s">
        <v>8382</v>
      </c>
      <c r="E5109" s="198" t="s">
        <v>58</v>
      </c>
      <c r="F5109" s="199" t="s">
        <v>105</v>
      </c>
      <c r="G5109" s="191" t="s">
        <v>8383</v>
      </c>
      <c r="H5109" s="274" t="s">
        <v>7357</v>
      </c>
      <c r="I5109" s="197" t="s">
        <v>8431</v>
      </c>
      <c r="J5109" s="148" t="s">
        <v>63</v>
      </c>
      <c r="K5109" s="148" t="s">
        <v>64</v>
      </c>
      <c r="L5109" s="148" t="s">
        <v>65</v>
      </c>
      <c r="M5109" s="148" t="s">
        <v>66</v>
      </c>
      <c r="N5109" s="212">
        <v>46227.0</v>
      </c>
      <c r="O5109" s="148" t="s">
        <v>67</v>
      </c>
      <c r="P5109" s="148" t="s">
        <v>68</v>
      </c>
      <c r="Q5109" s="103"/>
      <c r="R5109" s="103"/>
      <c r="S5109" s="103"/>
      <c r="T5109" s="103"/>
      <c r="U5109" s="148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1">
        <v>5104.0</v>
      </c>
      <c r="B5110" s="90" t="s">
        <v>8448</v>
      </c>
      <c r="C5110" s="82" t="str">
        <f>VLOOKUP($B$7:$B$5000,SUM!$L$6:$L$500,1,FALSE)</f>
        <v>#VALUE!</v>
      </c>
      <c r="D5110" s="190" t="s">
        <v>8382</v>
      </c>
      <c r="E5110" s="198" t="s">
        <v>58</v>
      </c>
      <c r="F5110" s="199" t="s">
        <v>105</v>
      </c>
      <c r="G5110" s="191" t="s">
        <v>8383</v>
      </c>
      <c r="H5110" s="274" t="s">
        <v>7359</v>
      </c>
      <c r="I5110" s="197" t="s">
        <v>8431</v>
      </c>
      <c r="J5110" s="148" t="s">
        <v>63</v>
      </c>
      <c r="K5110" s="148" t="s">
        <v>64</v>
      </c>
      <c r="L5110" s="148" t="s">
        <v>65</v>
      </c>
      <c r="M5110" s="148" t="s">
        <v>66</v>
      </c>
      <c r="N5110" s="212">
        <v>46227.0</v>
      </c>
      <c r="O5110" s="148" t="s">
        <v>67</v>
      </c>
      <c r="P5110" s="148" t="s">
        <v>68</v>
      </c>
      <c r="Q5110" s="103"/>
      <c r="R5110" s="103"/>
      <c r="S5110" s="103"/>
      <c r="T5110" s="103"/>
      <c r="U5110" s="148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1">
        <v>5105.0</v>
      </c>
      <c r="B5111" s="90" t="s">
        <v>8449</v>
      </c>
      <c r="C5111" s="82" t="str">
        <f>VLOOKUP($B$7:$B$5000,SUM!$L$6:$L$500,1,FALSE)</f>
        <v>#VALUE!</v>
      </c>
      <c r="D5111" s="190" t="s">
        <v>8382</v>
      </c>
      <c r="E5111" s="198" t="s">
        <v>58</v>
      </c>
      <c r="F5111" s="199" t="s">
        <v>105</v>
      </c>
      <c r="G5111" s="191" t="s">
        <v>8383</v>
      </c>
      <c r="H5111" s="274" t="s">
        <v>7361</v>
      </c>
      <c r="I5111" s="197" t="s">
        <v>8431</v>
      </c>
      <c r="J5111" s="148" t="s">
        <v>63</v>
      </c>
      <c r="K5111" s="148" t="s">
        <v>64</v>
      </c>
      <c r="L5111" s="148" t="s">
        <v>65</v>
      </c>
      <c r="M5111" s="148" t="s">
        <v>66</v>
      </c>
      <c r="N5111" s="212">
        <v>46227.0</v>
      </c>
      <c r="O5111" s="148" t="s">
        <v>67</v>
      </c>
      <c r="P5111" s="148" t="s">
        <v>68</v>
      </c>
      <c r="Q5111" s="103"/>
      <c r="R5111" s="103"/>
      <c r="S5111" s="103"/>
      <c r="T5111" s="103"/>
      <c r="U5111" s="148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1">
        <v>5106.0</v>
      </c>
      <c r="B5112" s="90" t="s">
        <v>8450</v>
      </c>
      <c r="C5112" s="82" t="str">
        <f>VLOOKUP($B$7:$B$5000,SUM!$L$6:$L$500,1,FALSE)</f>
        <v>#VALUE!</v>
      </c>
      <c r="D5112" s="190" t="s">
        <v>8382</v>
      </c>
      <c r="E5112" s="198" t="s">
        <v>58</v>
      </c>
      <c r="F5112" s="199" t="s">
        <v>105</v>
      </c>
      <c r="G5112" s="191" t="s">
        <v>8383</v>
      </c>
      <c r="H5112" s="274" t="s">
        <v>7363</v>
      </c>
      <c r="I5112" s="197" t="s">
        <v>8431</v>
      </c>
      <c r="J5112" s="148" t="s">
        <v>63</v>
      </c>
      <c r="K5112" s="148" t="s">
        <v>64</v>
      </c>
      <c r="L5112" s="148" t="s">
        <v>65</v>
      </c>
      <c r="M5112" s="148" t="s">
        <v>66</v>
      </c>
      <c r="N5112" s="212">
        <v>46227.0</v>
      </c>
      <c r="O5112" s="148" t="s">
        <v>67</v>
      </c>
      <c r="P5112" s="148" t="s">
        <v>68</v>
      </c>
      <c r="Q5112" s="103"/>
      <c r="R5112" s="103"/>
      <c r="S5112" s="103"/>
      <c r="T5112" s="103"/>
      <c r="U5112" s="148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1">
        <v>5107.0</v>
      </c>
      <c r="B5113" s="90" t="s">
        <v>8451</v>
      </c>
      <c r="C5113" s="82" t="str">
        <f>VLOOKUP($B$7:$B$5000,SUM!$L$6:$L$500,1,FALSE)</f>
        <v>#VALUE!</v>
      </c>
      <c r="D5113" s="190" t="s">
        <v>8382</v>
      </c>
      <c r="E5113" s="198" t="s">
        <v>58</v>
      </c>
      <c r="F5113" s="199" t="s">
        <v>105</v>
      </c>
      <c r="G5113" s="191" t="s">
        <v>8383</v>
      </c>
      <c r="H5113" s="274" t="s">
        <v>7365</v>
      </c>
      <c r="I5113" s="197" t="s">
        <v>8431</v>
      </c>
      <c r="J5113" s="148" t="s">
        <v>63</v>
      </c>
      <c r="K5113" s="148" t="s">
        <v>64</v>
      </c>
      <c r="L5113" s="148" t="s">
        <v>65</v>
      </c>
      <c r="M5113" s="148" t="s">
        <v>66</v>
      </c>
      <c r="N5113" s="212">
        <v>46227.0</v>
      </c>
      <c r="O5113" s="148" t="s">
        <v>67</v>
      </c>
      <c r="P5113" s="148" t="s">
        <v>68</v>
      </c>
      <c r="Q5113" s="103"/>
      <c r="R5113" s="103"/>
      <c r="S5113" s="103"/>
      <c r="T5113" s="103"/>
      <c r="U5113" s="148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1">
        <v>5108.0</v>
      </c>
      <c r="B5114" s="90" t="s">
        <v>8452</v>
      </c>
      <c r="C5114" s="82" t="str">
        <f>VLOOKUP($B$7:$B$5000,SUM!$L$6:$L$500,1,FALSE)</f>
        <v>#VALUE!</v>
      </c>
      <c r="D5114" s="190" t="s">
        <v>8382</v>
      </c>
      <c r="E5114" s="198" t="s">
        <v>58</v>
      </c>
      <c r="F5114" s="199" t="s">
        <v>105</v>
      </c>
      <c r="G5114" s="191" t="s">
        <v>8383</v>
      </c>
      <c r="H5114" s="274" t="s">
        <v>7367</v>
      </c>
      <c r="I5114" s="197" t="s">
        <v>8431</v>
      </c>
      <c r="J5114" s="148" t="s">
        <v>63</v>
      </c>
      <c r="K5114" s="148" t="s">
        <v>64</v>
      </c>
      <c r="L5114" s="148" t="s">
        <v>65</v>
      </c>
      <c r="M5114" s="148" t="s">
        <v>66</v>
      </c>
      <c r="N5114" s="212">
        <v>46227.0</v>
      </c>
      <c r="O5114" s="148" t="s">
        <v>67</v>
      </c>
      <c r="P5114" s="148" t="s">
        <v>68</v>
      </c>
      <c r="Q5114" s="103"/>
      <c r="R5114" s="103"/>
      <c r="S5114" s="103"/>
      <c r="T5114" s="103"/>
      <c r="U5114" s="148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1">
        <v>5109.0</v>
      </c>
      <c r="B5115" s="90" t="s">
        <v>8453</v>
      </c>
      <c r="C5115" s="82" t="str">
        <f>VLOOKUP($B$7:$B$5000,SUM!$L$6:$L$500,1,FALSE)</f>
        <v>#VALUE!</v>
      </c>
      <c r="D5115" s="190" t="s">
        <v>8382</v>
      </c>
      <c r="E5115" s="198" t="s">
        <v>58</v>
      </c>
      <c r="F5115" s="199" t="s">
        <v>105</v>
      </c>
      <c r="G5115" s="191" t="s">
        <v>8383</v>
      </c>
      <c r="H5115" s="274" t="s">
        <v>7369</v>
      </c>
      <c r="I5115" s="197" t="s">
        <v>8431</v>
      </c>
      <c r="J5115" s="148" t="s">
        <v>63</v>
      </c>
      <c r="K5115" s="148" t="s">
        <v>64</v>
      </c>
      <c r="L5115" s="148" t="s">
        <v>65</v>
      </c>
      <c r="M5115" s="148" t="s">
        <v>66</v>
      </c>
      <c r="N5115" s="212">
        <v>46227.0</v>
      </c>
      <c r="O5115" s="148" t="s">
        <v>67</v>
      </c>
      <c r="P5115" s="148" t="s">
        <v>68</v>
      </c>
      <c r="Q5115" s="103"/>
      <c r="R5115" s="103"/>
      <c r="S5115" s="103"/>
      <c r="T5115" s="103"/>
      <c r="U5115" s="148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1">
        <v>5110.0</v>
      </c>
      <c r="B5116" s="90" t="s">
        <v>8454</v>
      </c>
      <c r="C5116" s="82" t="str">
        <f>VLOOKUP($B$7:$B$5000,SUM!$L$6:$L$500,1,FALSE)</f>
        <v>#VALUE!</v>
      </c>
      <c r="D5116" s="190" t="s">
        <v>8382</v>
      </c>
      <c r="E5116" s="198" t="s">
        <v>58</v>
      </c>
      <c r="F5116" s="199" t="s">
        <v>105</v>
      </c>
      <c r="G5116" s="191" t="s">
        <v>8383</v>
      </c>
      <c r="H5116" s="275" t="s">
        <v>7320</v>
      </c>
      <c r="I5116" s="197" t="s">
        <v>8431</v>
      </c>
      <c r="J5116" s="148" t="s">
        <v>63</v>
      </c>
      <c r="K5116" s="148" t="s">
        <v>64</v>
      </c>
      <c r="L5116" s="148" t="s">
        <v>65</v>
      </c>
      <c r="M5116" s="148" t="s">
        <v>66</v>
      </c>
      <c r="N5116" s="212">
        <v>46227.0</v>
      </c>
      <c r="O5116" s="148" t="s">
        <v>67</v>
      </c>
      <c r="P5116" s="148" t="s">
        <v>68</v>
      </c>
      <c r="Q5116" s="103"/>
      <c r="R5116" s="103"/>
      <c r="S5116" s="103"/>
      <c r="T5116" s="103"/>
      <c r="U5116" s="148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1">
        <v>5111.0</v>
      </c>
      <c r="B5117" s="90" t="s">
        <v>8455</v>
      </c>
      <c r="C5117" s="82" t="str">
        <f>VLOOKUP($B$7:$B$5000,SUM!$L$6:$L$500,1,FALSE)</f>
        <v>#VALUE!</v>
      </c>
      <c r="D5117" s="190" t="s">
        <v>8382</v>
      </c>
      <c r="E5117" s="272" t="s">
        <v>58</v>
      </c>
      <c r="F5117" s="199" t="s">
        <v>105</v>
      </c>
      <c r="G5117" s="191" t="s">
        <v>8383</v>
      </c>
      <c r="H5117" s="275" t="s">
        <v>7323</v>
      </c>
      <c r="I5117" s="197" t="s">
        <v>8431</v>
      </c>
      <c r="J5117" s="148" t="s">
        <v>63</v>
      </c>
      <c r="K5117" s="148" t="s">
        <v>64</v>
      </c>
      <c r="L5117" s="148" t="s">
        <v>65</v>
      </c>
      <c r="M5117" s="148" t="s">
        <v>66</v>
      </c>
      <c r="N5117" s="212">
        <v>46227.0</v>
      </c>
      <c r="O5117" s="148" t="s">
        <v>67</v>
      </c>
      <c r="P5117" s="148" t="s">
        <v>68</v>
      </c>
      <c r="Q5117" s="103"/>
      <c r="R5117" s="103"/>
      <c r="S5117" s="103"/>
      <c r="T5117" s="103"/>
      <c r="U5117" s="148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1">
        <v>5112.0</v>
      </c>
      <c r="B5118" s="90" t="s">
        <v>8456</v>
      </c>
      <c r="C5118" s="82" t="str">
        <f>VLOOKUP($B$7:$B$5000,SUM!$L$6:$L$500,1,FALSE)</f>
        <v>#VALUE!</v>
      </c>
      <c r="D5118" s="190" t="s">
        <v>8382</v>
      </c>
      <c r="E5118" s="272" t="s">
        <v>58</v>
      </c>
      <c r="F5118" s="199" t="s">
        <v>105</v>
      </c>
      <c r="G5118" s="191" t="s">
        <v>8383</v>
      </c>
      <c r="H5118" s="275" t="s">
        <v>7325</v>
      </c>
      <c r="I5118" s="197" t="s">
        <v>8431</v>
      </c>
      <c r="J5118" s="148" t="s">
        <v>63</v>
      </c>
      <c r="K5118" s="148" t="s">
        <v>64</v>
      </c>
      <c r="L5118" s="148" t="s">
        <v>65</v>
      </c>
      <c r="M5118" s="148" t="s">
        <v>66</v>
      </c>
      <c r="N5118" s="212">
        <v>46227.0</v>
      </c>
      <c r="O5118" s="148" t="s">
        <v>67</v>
      </c>
      <c r="P5118" s="148" t="s">
        <v>68</v>
      </c>
      <c r="Q5118" s="103"/>
      <c r="R5118" s="103"/>
      <c r="S5118" s="103"/>
      <c r="T5118" s="103"/>
      <c r="U5118" s="148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1">
        <v>5113.0</v>
      </c>
      <c r="B5119" s="90" t="s">
        <v>8457</v>
      </c>
      <c r="C5119" s="82" t="str">
        <f>VLOOKUP($B$7:$B$5000,SUM!$L$6:$L$500,1,FALSE)</f>
        <v>#VALUE!</v>
      </c>
      <c r="D5119" s="190" t="s">
        <v>8382</v>
      </c>
      <c r="E5119" s="198" t="s">
        <v>58</v>
      </c>
      <c r="F5119" s="199" t="s">
        <v>105</v>
      </c>
      <c r="G5119" s="191" t="s">
        <v>8383</v>
      </c>
      <c r="H5119" s="275" t="s">
        <v>7327</v>
      </c>
      <c r="I5119" s="197" t="s">
        <v>8431</v>
      </c>
      <c r="J5119" s="148" t="s">
        <v>63</v>
      </c>
      <c r="K5119" s="148" t="s">
        <v>64</v>
      </c>
      <c r="L5119" s="148" t="s">
        <v>65</v>
      </c>
      <c r="M5119" s="148" t="s">
        <v>66</v>
      </c>
      <c r="N5119" s="212">
        <v>46227.0</v>
      </c>
      <c r="O5119" s="148" t="s">
        <v>67</v>
      </c>
      <c r="P5119" s="148" t="s">
        <v>68</v>
      </c>
      <c r="Q5119" s="103"/>
      <c r="R5119" s="103"/>
      <c r="S5119" s="103"/>
      <c r="T5119" s="103"/>
      <c r="U5119" s="148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1">
        <v>5114.0</v>
      </c>
      <c r="B5120" s="90" t="s">
        <v>8458</v>
      </c>
      <c r="C5120" s="82" t="str">
        <f>VLOOKUP($B$7:$B$5000,SUM!$L$6:$L$500,1,FALSE)</f>
        <v>#VALUE!</v>
      </c>
      <c r="D5120" s="190" t="s">
        <v>8382</v>
      </c>
      <c r="E5120" s="198" t="s">
        <v>58</v>
      </c>
      <c r="F5120" s="199" t="s">
        <v>105</v>
      </c>
      <c r="G5120" s="191" t="s">
        <v>8383</v>
      </c>
      <c r="H5120" s="275" t="s">
        <v>7329</v>
      </c>
      <c r="I5120" s="197" t="s">
        <v>8431</v>
      </c>
      <c r="J5120" s="148" t="s">
        <v>63</v>
      </c>
      <c r="K5120" s="148" t="s">
        <v>64</v>
      </c>
      <c r="L5120" s="148" t="s">
        <v>65</v>
      </c>
      <c r="M5120" s="148" t="s">
        <v>66</v>
      </c>
      <c r="N5120" s="212">
        <v>46227.0</v>
      </c>
      <c r="O5120" s="148" t="s">
        <v>67</v>
      </c>
      <c r="P5120" s="148" t="s">
        <v>68</v>
      </c>
      <c r="Q5120" s="103"/>
      <c r="R5120" s="103"/>
      <c r="S5120" s="103"/>
      <c r="T5120" s="103"/>
      <c r="U5120" s="148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1">
        <v>5115.0</v>
      </c>
      <c r="B5121" s="90" t="s">
        <v>8459</v>
      </c>
      <c r="C5121" s="82" t="str">
        <f>VLOOKUP($B$7:$B$5000,SUM!$L$6:$L$500,1,FALSE)</f>
        <v>#VALUE!</v>
      </c>
      <c r="D5121" s="190" t="s">
        <v>8382</v>
      </c>
      <c r="E5121" s="198" t="s">
        <v>58</v>
      </c>
      <c r="F5121" s="199" t="s">
        <v>105</v>
      </c>
      <c r="G5121" s="191" t="s">
        <v>8383</v>
      </c>
      <c r="H5121" s="275" t="s">
        <v>7331</v>
      </c>
      <c r="I5121" s="197" t="s">
        <v>8431</v>
      </c>
      <c r="J5121" s="148" t="s">
        <v>63</v>
      </c>
      <c r="K5121" s="148" t="s">
        <v>64</v>
      </c>
      <c r="L5121" s="148" t="s">
        <v>65</v>
      </c>
      <c r="M5121" s="148" t="s">
        <v>66</v>
      </c>
      <c r="N5121" s="212">
        <v>46227.0</v>
      </c>
      <c r="O5121" s="148" t="s">
        <v>67</v>
      </c>
      <c r="P5121" s="148" t="s">
        <v>68</v>
      </c>
      <c r="Q5121" s="103"/>
      <c r="R5121" s="103"/>
      <c r="S5121" s="103"/>
      <c r="T5121" s="103"/>
      <c r="U5121" s="148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1">
        <v>5116.0</v>
      </c>
      <c r="B5122" s="90" t="s">
        <v>8460</v>
      </c>
      <c r="C5122" s="82" t="str">
        <f>VLOOKUP($B$7:$B$5000,SUM!$L$6:$L$500,1,FALSE)</f>
        <v>#VALUE!</v>
      </c>
      <c r="D5122" s="190" t="s">
        <v>8382</v>
      </c>
      <c r="E5122" s="198" t="s">
        <v>58</v>
      </c>
      <c r="F5122" s="199" t="s">
        <v>105</v>
      </c>
      <c r="G5122" s="191" t="s">
        <v>8383</v>
      </c>
      <c r="H5122" s="275" t="s">
        <v>7333</v>
      </c>
      <c r="I5122" s="197" t="s">
        <v>8431</v>
      </c>
      <c r="J5122" s="148" t="s">
        <v>63</v>
      </c>
      <c r="K5122" s="148" t="s">
        <v>64</v>
      </c>
      <c r="L5122" s="148" t="s">
        <v>65</v>
      </c>
      <c r="M5122" s="148" t="s">
        <v>66</v>
      </c>
      <c r="N5122" s="212">
        <v>46227.0</v>
      </c>
      <c r="O5122" s="148" t="s">
        <v>67</v>
      </c>
      <c r="P5122" s="148" t="s">
        <v>68</v>
      </c>
      <c r="Q5122" s="103"/>
      <c r="R5122" s="103"/>
      <c r="S5122" s="103"/>
      <c r="T5122" s="103"/>
      <c r="U5122" s="148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1">
        <v>5117.0</v>
      </c>
      <c r="B5123" s="90" t="s">
        <v>8461</v>
      </c>
      <c r="C5123" s="82" t="str">
        <f>VLOOKUP($B$7:$B$5000,SUM!$L$6:$L$500,1,FALSE)</f>
        <v>#VALUE!</v>
      </c>
      <c r="D5123" s="190" t="s">
        <v>8382</v>
      </c>
      <c r="E5123" s="198" t="s">
        <v>58</v>
      </c>
      <c r="F5123" s="199" t="s">
        <v>105</v>
      </c>
      <c r="G5123" s="191" t="s">
        <v>8383</v>
      </c>
      <c r="H5123" s="275" t="s">
        <v>7335</v>
      </c>
      <c r="I5123" s="197" t="s">
        <v>8431</v>
      </c>
      <c r="J5123" s="148" t="s">
        <v>63</v>
      </c>
      <c r="K5123" s="148" t="s">
        <v>64</v>
      </c>
      <c r="L5123" s="148" t="s">
        <v>65</v>
      </c>
      <c r="M5123" s="148" t="s">
        <v>66</v>
      </c>
      <c r="N5123" s="212">
        <v>46227.0</v>
      </c>
      <c r="O5123" s="148" t="s">
        <v>67</v>
      </c>
      <c r="P5123" s="148" t="s">
        <v>68</v>
      </c>
      <c r="Q5123" s="103"/>
      <c r="R5123" s="103"/>
      <c r="S5123" s="103"/>
      <c r="T5123" s="103"/>
      <c r="U5123" s="148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1">
        <v>5118.0</v>
      </c>
      <c r="B5124" s="90" t="s">
        <v>8462</v>
      </c>
      <c r="C5124" s="82" t="str">
        <f>VLOOKUP($B$7:$B$5000,SUM!$L$6:$L$500,1,FALSE)</f>
        <v>#VALUE!</v>
      </c>
      <c r="D5124" s="190" t="s">
        <v>8382</v>
      </c>
      <c r="E5124" s="198" t="s">
        <v>58</v>
      </c>
      <c r="F5124" s="199" t="s">
        <v>105</v>
      </c>
      <c r="G5124" s="191" t="s">
        <v>8383</v>
      </c>
      <c r="H5124" s="275" t="s">
        <v>7337</v>
      </c>
      <c r="I5124" s="197" t="s">
        <v>8431</v>
      </c>
      <c r="J5124" s="148" t="s">
        <v>63</v>
      </c>
      <c r="K5124" s="148" t="s">
        <v>64</v>
      </c>
      <c r="L5124" s="148" t="s">
        <v>65</v>
      </c>
      <c r="M5124" s="148" t="s">
        <v>66</v>
      </c>
      <c r="N5124" s="212">
        <v>46227.0</v>
      </c>
      <c r="O5124" s="148" t="s">
        <v>67</v>
      </c>
      <c r="P5124" s="148" t="s">
        <v>68</v>
      </c>
      <c r="Q5124" s="103"/>
      <c r="R5124" s="103"/>
      <c r="S5124" s="103"/>
      <c r="T5124" s="103"/>
      <c r="U5124" s="148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1">
        <v>5119.0</v>
      </c>
      <c r="B5125" s="90" t="s">
        <v>8463</v>
      </c>
      <c r="C5125" s="82" t="str">
        <f>VLOOKUP($B$7:$B$5000,SUM!$L$6:$L$500,1,FALSE)</f>
        <v>#VALUE!</v>
      </c>
      <c r="D5125" s="190" t="s">
        <v>8382</v>
      </c>
      <c r="E5125" s="198" t="s">
        <v>58</v>
      </c>
      <c r="F5125" s="199" t="s">
        <v>105</v>
      </c>
      <c r="G5125" s="191" t="s">
        <v>8383</v>
      </c>
      <c r="H5125" s="275" t="s">
        <v>7339</v>
      </c>
      <c r="I5125" s="197" t="s">
        <v>8431</v>
      </c>
      <c r="J5125" s="148" t="s">
        <v>63</v>
      </c>
      <c r="K5125" s="148" t="s">
        <v>64</v>
      </c>
      <c r="L5125" s="148" t="s">
        <v>65</v>
      </c>
      <c r="M5125" s="148" t="s">
        <v>66</v>
      </c>
      <c r="N5125" s="212">
        <v>46227.0</v>
      </c>
      <c r="O5125" s="148" t="s">
        <v>67</v>
      </c>
      <c r="P5125" s="148" t="s">
        <v>68</v>
      </c>
      <c r="Q5125" s="103"/>
      <c r="R5125" s="103"/>
      <c r="S5125" s="103"/>
      <c r="T5125" s="103"/>
      <c r="U5125" s="148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1">
        <v>5120.0</v>
      </c>
      <c r="B5126" s="90" t="s">
        <v>8464</v>
      </c>
      <c r="C5126" s="82" t="str">
        <f>VLOOKUP($B$7:$B$5000,SUM!$L$6:$L$500,1,FALSE)</f>
        <v>#VALUE!</v>
      </c>
      <c r="D5126" s="190" t="s">
        <v>8382</v>
      </c>
      <c r="E5126" s="198" t="s">
        <v>58</v>
      </c>
      <c r="F5126" s="199" t="s">
        <v>105</v>
      </c>
      <c r="G5126" s="191" t="s">
        <v>8383</v>
      </c>
      <c r="H5126" s="275" t="s">
        <v>7341</v>
      </c>
      <c r="I5126" s="197" t="s">
        <v>8431</v>
      </c>
      <c r="J5126" s="148" t="s">
        <v>63</v>
      </c>
      <c r="K5126" s="148" t="s">
        <v>64</v>
      </c>
      <c r="L5126" s="148" t="s">
        <v>65</v>
      </c>
      <c r="M5126" s="148" t="s">
        <v>66</v>
      </c>
      <c r="N5126" s="212">
        <v>46227.0</v>
      </c>
      <c r="O5126" s="148" t="s">
        <v>67</v>
      </c>
      <c r="P5126" s="148" t="s">
        <v>68</v>
      </c>
      <c r="Q5126" s="103"/>
      <c r="R5126" s="103"/>
      <c r="S5126" s="103"/>
      <c r="T5126" s="103"/>
      <c r="U5126" s="148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1">
        <v>5121.0</v>
      </c>
      <c r="B5127" s="90" t="s">
        <v>8465</v>
      </c>
      <c r="C5127" s="82" t="str">
        <f>VLOOKUP($B$7:$B$5000,SUM!$L$6:$L$500,1,FALSE)</f>
        <v>#VALUE!</v>
      </c>
      <c r="D5127" s="190" t="s">
        <v>8382</v>
      </c>
      <c r="E5127" s="272" t="s">
        <v>58</v>
      </c>
      <c r="F5127" s="199" t="s">
        <v>105</v>
      </c>
      <c r="G5127" s="191" t="s">
        <v>8383</v>
      </c>
      <c r="H5127" s="276" t="s">
        <v>7347</v>
      </c>
      <c r="I5127" s="197" t="s">
        <v>8431</v>
      </c>
      <c r="J5127" s="148" t="s">
        <v>63</v>
      </c>
      <c r="K5127" s="148" t="s">
        <v>64</v>
      </c>
      <c r="L5127" s="148" t="s">
        <v>65</v>
      </c>
      <c r="M5127" s="148" t="s">
        <v>66</v>
      </c>
      <c r="N5127" s="212">
        <v>46227.0</v>
      </c>
      <c r="O5127" s="148" t="s">
        <v>67</v>
      </c>
      <c r="P5127" s="148" t="s">
        <v>68</v>
      </c>
      <c r="Q5127" s="103"/>
      <c r="R5127" s="103"/>
      <c r="S5127" s="103"/>
      <c r="T5127" s="103"/>
      <c r="U5127" s="148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1">
        <v>5122.0</v>
      </c>
      <c r="B5128" s="90" t="s">
        <v>8466</v>
      </c>
      <c r="C5128" s="82" t="str">
        <f>VLOOKUP($B$7:$B$5000,SUM!$L$6:$L$500,1,FALSE)</f>
        <v>#VALUE!</v>
      </c>
      <c r="D5128" s="190" t="s">
        <v>8382</v>
      </c>
      <c r="E5128" s="272" t="s">
        <v>58</v>
      </c>
      <c r="F5128" s="199" t="s">
        <v>105</v>
      </c>
      <c r="G5128" s="191" t="s">
        <v>8383</v>
      </c>
      <c r="H5128" s="276" t="s">
        <v>7349</v>
      </c>
      <c r="I5128" s="197" t="s">
        <v>8431</v>
      </c>
      <c r="J5128" s="148" t="s">
        <v>63</v>
      </c>
      <c r="K5128" s="148" t="s">
        <v>64</v>
      </c>
      <c r="L5128" s="148" t="s">
        <v>65</v>
      </c>
      <c r="M5128" s="148" t="s">
        <v>66</v>
      </c>
      <c r="N5128" s="212">
        <v>46227.0</v>
      </c>
      <c r="O5128" s="148" t="s">
        <v>67</v>
      </c>
      <c r="P5128" s="148" t="s">
        <v>68</v>
      </c>
      <c r="Q5128" s="103"/>
      <c r="R5128" s="103"/>
      <c r="S5128" s="103"/>
      <c r="T5128" s="103"/>
      <c r="U5128" s="148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1">
        <v>5123.0</v>
      </c>
      <c r="B5129" s="90" t="s">
        <v>8467</v>
      </c>
      <c r="C5129" s="82" t="str">
        <f>VLOOKUP($B$7:$B$5000,SUM!$L$6:$L$500,1,FALSE)</f>
        <v>#VALUE!</v>
      </c>
      <c r="D5129" s="190" t="s">
        <v>8382</v>
      </c>
      <c r="E5129" s="198" t="s">
        <v>58</v>
      </c>
      <c r="F5129" s="199" t="s">
        <v>105</v>
      </c>
      <c r="G5129" s="191" t="s">
        <v>8383</v>
      </c>
      <c r="H5129" s="276" t="s">
        <v>7351</v>
      </c>
      <c r="I5129" s="197" t="s">
        <v>8431</v>
      </c>
      <c r="J5129" s="148" t="s">
        <v>63</v>
      </c>
      <c r="K5129" s="148" t="s">
        <v>64</v>
      </c>
      <c r="L5129" s="148" t="s">
        <v>65</v>
      </c>
      <c r="M5129" s="148" t="s">
        <v>66</v>
      </c>
      <c r="N5129" s="212">
        <v>46227.0</v>
      </c>
      <c r="O5129" s="148" t="s">
        <v>67</v>
      </c>
      <c r="P5129" s="148" t="s">
        <v>68</v>
      </c>
      <c r="Q5129" s="103"/>
      <c r="R5129" s="103"/>
      <c r="S5129" s="103"/>
      <c r="T5129" s="103"/>
      <c r="U5129" s="148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1">
        <v>5124.0</v>
      </c>
      <c r="B5130" s="90" t="s">
        <v>8468</v>
      </c>
      <c r="C5130" s="82" t="str">
        <f>VLOOKUP($B$7:$B$5000,SUM!$L$6:$L$500,1,FALSE)</f>
        <v>#VALUE!</v>
      </c>
      <c r="D5130" s="190" t="s">
        <v>8382</v>
      </c>
      <c r="E5130" s="198" t="s">
        <v>58</v>
      </c>
      <c r="F5130" s="199" t="s">
        <v>105</v>
      </c>
      <c r="G5130" s="191" t="s">
        <v>8383</v>
      </c>
      <c r="H5130" s="276" t="s">
        <v>7353</v>
      </c>
      <c r="I5130" s="197" t="s">
        <v>8431</v>
      </c>
      <c r="J5130" s="148" t="s">
        <v>63</v>
      </c>
      <c r="K5130" s="148" t="s">
        <v>64</v>
      </c>
      <c r="L5130" s="148" t="s">
        <v>65</v>
      </c>
      <c r="M5130" s="148" t="s">
        <v>66</v>
      </c>
      <c r="N5130" s="212">
        <v>46227.0</v>
      </c>
      <c r="O5130" s="148" t="s">
        <v>67</v>
      </c>
      <c r="P5130" s="148" t="s">
        <v>68</v>
      </c>
      <c r="Q5130" s="103"/>
      <c r="R5130" s="103"/>
      <c r="S5130" s="103"/>
      <c r="T5130" s="103"/>
      <c r="U5130" s="148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1">
        <v>5125.0</v>
      </c>
      <c r="B5131" s="90" t="s">
        <v>8469</v>
      </c>
      <c r="C5131" s="82" t="str">
        <f>VLOOKUP($B$7:$B$5000,SUM!$L$6:$L$500,1,FALSE)</f>
        <v>#VALUE!</v>
      </c>
      <c r="D5131" s="190" t="s">
        <v>8382</v>
      </c>
      <c r="E5131" s="198" t="s">
        <v>58</v>
      </c>
      <c r="F5131" s="199" t="s">
        <v>105</v>
      </c>
      <c r="G5131" s="191" t="s">
        <v>8383</v>
      </c>
      <c r="H5131" s="276" t="s">
        <v>7355</v>
      </c>
      <c r="I5131" s="197" t="s">
        <v>8431</v>
      </c>
      <c r="J5131" s="148" t="s">
        <v>63</v>
      </c>
      <c r="K5131" s="148" t="s">
        <v>64</v>
      </c>
      <c r="L5131" s="148" t="s">
        <v>65</v>
      </c>
      <c r="M5131" s="148" t="s">
        <v>66</v>
      </c>
      <c r="N5131" s="212">
        <v>46227.0</v>
      </c>
      <c r="O5131" s="148" t="s">
        <v>67</v>
      </c>
      <c r="P5131" s="148" t="s">
        <v>68</v>
      </c>
      <c r="Q5131" s="103"/>
      <c r="R5131" s="103"/>
      <c r="S5131" s="103"/>
      <c r="T5131" s="103"/>
      <c r="U5131" s="148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1">
        <v>5126.0</v>
      </c>
      <c r="B5132" s="90" t="s">
        <v>8470</v>
      </c>
      <c r="C5132" s="82" t="str">
        <f>VLOOKUP($B$7:$B$5000,SUM!$L$6:$L$500,1,FALSE)</f>
        <v>#VALUE!</v>
      </c>
      <c r="D5132" s="190" t="s">
        <v>8382</v>
      </c>
      <c r="E5132" s="198" t="s">
        <v>58</v>
      </c>
      <c r="F5132" s="199" t="s">
        <v>105</v>
      </c>
      <c r="G5132" s="191" t="s">
        <v>8383</v>
      </c>
      <c r="H5132" s="276" t="s">
        <v>7357</v>
      </c>
      <c r="I5132" s="197" t="s">
        <v>8431</v>
      </c>
      <c r="J5132" s="148" t="s">
        <v>63</v>
      </c>
      <c r="K5132" s="148" t="s">
        <v>64</v>
      </c>
      <c r="L5132" s="148" t="s">
        <v>65</v>
      </c>
      <c r="M5132" s="148" t="s">
        <v>66</v>
      </c>
      <c r="N5132" s="212">
        <v>46227.0</v>
      </c>
      <c r="O5132" s="148" t="s">
        <v>67</v>
      </c>
      <c r="P5132" s="148" t="s">
        <v>68</v>
      </c>
      <c r="Q5132" s="103"/>
      <c r="R5132" s="103"/>
      <c r="S5132" s="103"/>
      <c r="T5132" s="103"/>
      <c r="U5132" s="148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1">
        <v>5127.0</v>
      </c>
      <c r="B5133" s="90" t="s">
        <v>8471</v>
      </c>
      <c r="C5133" s="82" t="str">
        <f>VLOOKUP($B$7:$B$5000,SUM!$L$6:$L$500,1,FALSE)</f>
        <v>#VALUE!</v>
      </c>
      <c r="D5133" s="190" t="s">
        <v>8382</v>
      </c>
      <c r="E5133" s="198" t="s">
        <v>58</v>
      </c>
      <c r="F5133" s="199" t="s">
        <v>105</v>
      </c>
      <c r="G5133" s="191" t="s">
        <v>8383</v>
      </c>
      <c r="H5133" s="276" t="s">
        <v>7359</v>
      </c>
      <c r="I5133" s="197" t="s">
        <v>8431</v>
      </c>
      <c r="J5133" s="148" t="s">
        <v>63</v>
      </c>
      <c r="K5133" s="148" t="s">
        <v>64</v>
      </c>
      <c r="L5133" s="148" t="s">
        <v>65</v>
      </c>
      <c r="M5133" s="148" t="s">
        <v>66</v>
      </c>
      <c r="N5133" s="212">
        <v>46227.0</v>
      </c>
      <c r="O5133" s="148" t="s">
        <v>67</v>
      </c>
      <c r="P5133" s="148" t="s">
        <v>68</v>
      </c>
      <c r="Q5133" s="103"/>
      <c r="R5133" s="103"/>
      <c r="S5133" s="103"/>
      <c r="T5133" s="103"/>
      <c r="U5133" s="148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1">
        <v>5128.0</v>
      </c>
      <c r="B5134" s="90" t="s">
        <v>8472</v>
      </c>
      <c r="C5134" s="82" t="str">
        <f>VLOOKUP($B$7:$B$5000,SUM!$L$6:$L$500,1,FALSE)</f>
        <v>#VALUE!</v>
      </c>
      <c r="D5134" s="190" t="s">
        <v>8382</v>
      </c>
      <c r="E5134" s="198" t="s">
        <v>58</v>
      </c>
      <c r="F5134" s="199" t="s">
        <v>105</v>
      </c>
      <c r="G5134" s="191" t="s">
        <v>8383</v>
      </c>
      <c r="H5134" s="276" t="s">
        <v>7361</v>
      </c>
      <c r="I5134" s="197" t="s">
        <v>8431</v>
      </c>
      <c r="J5134" s="148" t="s">
        <v>63</v>
      </c>
      <c r="K5134" s="148" t="s">
        <v>64</v>
      </c>
      <c r="L5134" s="148" t="s">
        <v>65</v>
      </c>
      <c r="M5134" s="148" t="s">
        <v>66</v>
      </c>
      <c r="N5134" s="212">
        <v>46227.0</v>
      </c>
      <c r="O5134" s="148" t="s">
        <v>67</v>
      </c>
      <c r="P5134" s="148" t="s">
        <v>68</v>
      </c>
      <c r="Q5134" s="103"/>
      <c r="R5134" s="103"/>
      <c r="S5134" s="103"/>
      <c r="T5134" s="103"/>
      <c r="U5134" s="148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1">
        <v>5129.0</v>
      </c>
      <c r="B5135" s="90" t="s">
        <v>8473</v>
      </c>
      <c r="C5135" s="82" t="str">
        <f>VLOOKUP($B$7:$B$5000,SUM!$L$6:$L$500,1,FALSE)</f>
        <v>#VALUE!</v>
      </c>
      <c r="D5135" s="190" t="s">
        <v>8382</v>
      </c>
      <c r="E5135" s="198" t="s">
        <v>58</v>
      </c>
      <c r="F5135" s="199" t="s">
        <v>105</v>
      </c>
      <c r="G5135" s="191" t="s">
        <v>8383</v>
      </c>
      <c r="H5135" s="276" t="s">
        <v>7363</v>
      </c>
      <c r="I5135" s="197" t="s">
        <v>8431</v>
      </c>
      <c r="J5135" s="148" t="s">
        <v>63</v>
      </c>
      <c r="K5135" s="148" t="s">
        <v>64</v>
      </c>
      <c r="L5135" s="148" t="s">
        <v>65</v>
      </c>
      <c r="M5135" s="148" t="s">
        <v>66</v>
      </c>
      <c r="N5135" s="212">
        <v>46227.0</v>
      </c>
      <c r="O5135" s="148" t="s">
        <v>67</v>
      </c>
      <c r="P5135" s="148" t="s">
        <v>68</v>
      </c>
      <c r="Q5135" s="103"/>
      <c r="R5135" s="103"/>
      <c r="S5135" s="103"/>
      <c r="T5135" s="103"/>
      <c r="U5135" s="148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1">
        <v>5130.0</v>
      </c>
      <c r="B5136" s="90" t="s">
        <v>8474</v>
      </c>
      <c r="C5136" s="82" t="str">
        <f>VLOOKUP($B$7:$B$5000,SUM!$L$6:$L$500,1,FALSE)</f>
        <v>#VALUE!</v>
      </c>
      <c r="D5136" s="190" t="s">
        <v>8382</v>
      </c>
      <c r="E5136" s="198" t="s">
        <v>58</v>
      </c>
      <c r="F5136" s="199" t="s">
        <v>105</v>
      </c>
      <c r="G5136" s="191" t="s">
        <v>8383</v>
      </c>
      <c r="H5136" s="276" t="s">
        <v>7365</v>
      </c>
      <c r="I5136" s="197" t="s">
        <v>8431</v>
      </c>
      <c r="J5136" s="148" t="s">
        <v>63</v>
      </c>
      <c r="K5136" s="148" t="s">
        <v>64</v>
      </c>
      <c r="L5136" s="148" t="s">
        <v>65</v>
      </c>
      <c r="M5136" s="148" t="s">
        <v>66</v>
      </c>
      <c r="N5136" s="212">
        <v>46227.0</v>
      </c>
      <c r="O5136" s="148" t="s">
        <v>67</v>
      </c>
      <c r="P5136" s="148" t="s">
        <v>68</v>
      </c>
      <c r="Q5136" s="103"/>
      <c r="R5136" s="103"/>
      <c r="S5136" s="103"/>
      <c r="T5136" s="103"/>
      <c r="U5136" s="148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1">
        <v>5131.0</v>
      </c>
      <c r="B5137" s="90" t="s">
        <v>8475</v>
      </c>
      <c r="C5137" s="82" t="str">
        <f>VLOOKUP($B$7:$B$5000,SUM!$L$6:$L$500,1,FALSE)</f>
        <v>#VALUE!</v>
      </c>
      <c r="D5137" s="190" t="s">
        <v>8382</v>
      </c>
      <c r="E5137" s="272" t="s">
        <v>58</v>
      </c>
      <c r="F5137" s="199" t="s">
        <v>105</v>
      </c>
      <c r="G5137" s="191" t="s">
        <v>8383</v>
      </c>
      <c r="H5137" s="276" t="s">
        <v>7367</v>
      </c>
      <c r="I5137" s="197" t="s">
        <v>8431</v>
      </c>
      <c r="J5137" s="148" t="s">
        <v>63</v>
      </c>
      <c r="K5137" s="148" t="s">
        <v>64</v>
      </c>
      <c r="L5137" s="148" t="s">
        <v>65</v>
      </c>
      <c r="M5137" s="148" t="s">
        <v>66</v>
      </c>
      <c r="N5137" s="212">
        <v>46227.0</v>
      </c>
      <c r="O5137" s="148" t="s">
        <v>67</v>
      </c>
      <c r="P5137" s="148" t="s">
        <v>68</v>
      </c>
      <c r="Q5137" s="103"/>
      <c r="R5137" s="103"/>
      <c r="S5137" s="103"/>
      <c r="T5137" s="103"/>
      <c r="U5137" s="148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1">
        <v>5132.0</v>
      </c>
      <c r="B5138" s="90" t="s">
        <v>8476</v>
      </c>
      <c r="C5138" s="82" t="str">
        <f>VLOOKUP($B$7:$B$5000,SUM!$L$6:$L$500,1,FALSE)</f>
        <v>#VALUE!</v>
      </c>
      <c r="D5138" s="190" t="s">
        <v>8382</v>
      </c>
      <c r="E5138" s="272" t="s">
        <v>58</v>
      </c>
      <c r="F5138" s="199" t="s">
        <v>105</v>
      </c>
      <c r="G5138" s="191" t="s">
        <v>8383</v>
      </c>
      <c r="H5138" s="276" t="s">
        <v>7369</v>
      </c>
      <c r="I5138" s="197" t="s">
        <v>8431</v>
      </c>
      <c r="J5138" s="148" t="s">
        <v>63</v>
      </c>
      <c r="K5138" s="148" t="s">
        <v>64</v>
      </c>
      <c r="L5138" s="148" t="s">
        <v>65</v>
      </c>
      <c r="M5138" s="148" t="s">
        <v>66</v>
      </c>
      <c r="N5138" s="212">
        <v>46227.0</v>
      </c>
      <c r="O5138" s="148" t="s">
        <v>67</v>
      </c>
      <c r="P5138" s="148" t="s">
        <v>68</v>
      </c>
      <c r="Q5138" s="103"/>
      <c r="R5138" s="103"/>
      <c r="S5138" s="103"/>
      <c r="T5138" s="103"/>
      <c r="U5138" s="148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1">
        <v>5133.0</v>
      </c>
      <c r="B5139" s="90" t="s">
        <v>8477</v>
      </c>
      <c r="C5139" s="82" t="str">
        <f>VLOOKUP($B$7:$B$5000,SUM!$L$6:$L$500,1,FALSE)</f>
        <v>#VALUE!</v>
      </c>
      <c r="D5139" s="190" t="s">
        <v>8478</v>
      </c>
      <c r="E5139" s="198" t="s">
        <v>58</v>
      </c>
      <c r="F5139" s="199" t="s">
        <v>8479</v>
      </c>
      <c r="G5139" s="191" t="s">
        <v>8480</v>
      </c>
      <c r="H5139" s="199" t="s">
        <v>8481</v>
      </c>
      <c r="I5139" s="197" t="s">
        <v>8482</v>
      </c>
      <c r="J5139" s="148" t="s">
        <v>63</v>
      </c>
      <c r="K5139" s="148" t="s">
        <v>64</v>
      </c>
      <c r="L5139" s="148" t="s">
        <v>65</v>
      </c>
      <c r="M5139" s="148" t="s">
        <v>66</v>
      </c>
      <c r="N5139" s="212">
        <v>46228.0</v>
      </c>
      <c r="O5139" s="148" t="s">
        <v>67</v>
      </c>
      <c r="P5139" s="148" t="s">
        <v>68</v>
      </c>
      <c r="Q5139" s="103"/>
      <c r="R5139" s="103"/>
      <c r="S5139" s="103"/>
      <c r="T5139" s="103"/>
      <c r="U5139" s="148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1">
        <v>5134.0</v>
      </c>
      <c r="B5140" s="90" t="s">
        <v>8483</v>
      </c>
      <c r="C5140" s="82" t="str">
        <f>VLOOKUP($B$7:$B$5000,SUM!$L$6:$L$500,1,FALSE)</f>
        <v>#VALUE!</v>
      </c>
      <c r="D5140" s="190" t="s">
        <v>8478</v>
      </c>
      <c r="E5140" s="198" t="s">
        <v>58</v>
      </c>
      <c r="F5140" s="199" t="s">
        <v>8479</v>
      </c>
      <c r="G5140" s="191" t="s">
        <v>8480</v>
      </c>
      <c r="H5140" s="199" t="s">
        <v>8484</v>
      </c>
      <c r="I5140" s="197" t="s">
        <v>8485</v>
      </c>
      <c r="J5140" s="148" t="s">
        <v>63</v>
      </c>
      <c r="K5140" s="148" t="s">
        <v>64</v>
      </c>
      <c r="L5140" s="148" t="s">
        <v>65</v>
      </c>
      <c r="M5140" s="148" t="s">
        <v>66</v>
      </c>
      <c r="N5140" s="212">
        <v>46228.0</v>
      </c>
      <c r="O5140" s="148" t="s">
        <v>67</v>
      </c>
      <c r="P5140" s="148" t="s">
        <v>68</v>
      </c>
      <c r="Q5140" s="103"/>
      <c r="R5140" s="103"/>
      <c r="S5140" s="103"/>
      <c r="T5140" s="103"/>
      <c r="U5140" s="148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1">
        <v>5135.0</v>
      </c>
      <c r="B5141" s="90" t="s">
        <v>8486</v>
      </c>
      <c r="C5141" s="82" t="str">
        <f>VLOOKUP($B$7:$B$5000,SUM!$L$6:$L$500,1,FALSE)</f>
        <v>#VALUE!</v>
      </c>
      <c r="D5141" s="190" t="s">
        <v>8478</v>
      </c>
      <c r="E5141" s="198" t="s">
        <v>58</v>
      </c>
      <c r="F5141" s="199" t="s">
        <v>8479</v>
      </c>
      <c r="G5141" s="191" t="s">
        <v>8480</v>
      </c>
      <c r="H5141" s="199" t="s">
        <v>8487</v>
      </c>
      <c r="I5141" s="197" t="s">
        <v>8488</v>
      </c>
      <c r="J5141" s="148" t="s">
        <v>63</v>
      </c>
      <c r="K5141" s="148" t="s">
        <v>64</v>
      </c>
      <c r="L5141" s="148" t="s">
        <v>65</v>
      </c>
      <c r="M5141" s="148" t="s">
        <v>66</v>
      </c>
      <c r="N5141" s="212">
        <v>46228.0</v>
      </c>
      <c r="O5141" s="148" t="s">
        <v>67</v>
      </c>
      <c r="P5141" s="148" t="s">
        <v>68</v>
      </c>
      <c r="Q5141" s="103"/>
      <c r="R5141" s="103"/>
      <c r="S5141" s="103"/>
      <c r="T5141" s="103"/>
      <c r="U5141" s="148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1">
        <v>5136.0</v>
      </c>
      <c r="B5142" s="90" t="s">
        <v>8489</v>
      </c>
      <c r="C5142" s="82" t="str">
        <f>VLOOKUP($B$7:$B$5000,SUM!$L$6:$L$500,1,FALSE)</f>
        <v>#VALUE!</v>
      </c>
      <c r="D5142" s="190" t="s">
        <v>8478</v>
      </c>
      <c r="E5142" s="198" t="s">
        <v>58</v>
      </c>
      <c r="F5142" s="199" t="s">
        <v>8479</v>
      </c>
      <c r="G5142" s="191" t="s">
        <v>8480</v>
      </c>
      <c r="H5142" s="199" t="s">
        <v>8490</v>
      </c>
      <c r="I5142" s="197" t="s">
        <v>8488</v>
      </c>
      <c r="J5142" s="148" t="s">
        <v>63</v>
      </c>
      <c r="K5142" s="148" t="s">
        <v>64</v>
      </c>
      <c r="L5142" s="148" t="s">
        <v>65</v>
      </c>
      <c r="M5142" s="148" t="s">
        <v>66</v>
      </c>
      <c r="N5142" s="212">
        <v>46228.0</v>
      </c>
      <c r="O5142" s="148" t="s">
        <v>67</v>
      </c>
      <c r="P5142" s="148" t="s">
        <v>68</v>
      </c>
      <c r="Q5142" s="103"/>
      <c r="R5142" s="103"/>
      <c r="S5142" s="103"/>
      <c r="T5142" s="103"/>
      <c r="U5142" s="148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1">
        <v>5137.0</v>
      </c>
      <c r="B5143" s="90" t="s">
        <v>8491</v>
      </c>
      <c r="C5143" s="82" t="str">
        <f>VLOOKUP($B$7:$B$5000,SUM!$L$6:$L$500,1,FALSE)</f>
        <v>#VALUE!</v>
      </c>
      <c r="D5143" s="190" t="s">
        <v>8478</v>
      </c>
      <c r="E5143" s="198" t="s">
        <v>58</v>
      </c>
      <c r="F5143" s="199" t="s">
        <v>8479</v>
      </c>
      <c r="G5143" s="191" t="s">
        <v>8492</v>
      </c>
      <c r="H5143" s="199" t="s">
        <v>8493</v>
      </c>
      <c r="I5143" s="197" t="s">
        <v>8485</v>
      </c>
      <c r="J5143" s="148" t="s">
        <v>63</v>
      </c>
      <c r="K5143" s="148" t="s">
        <v>64</v>
      </c>
      <c r="L5143" s="148" t="s">
        <v>65</v>
      </c>
      <c r="M5143" s="148" t="s">
        <v>66</v>
      </c>
      <c r="N5143" s="212">
        <v>46228.0</v>
      </c>
      <c r="O5143" s="148" t="s">
        <v>67</v>
      </c>
      <c r="P5143" s="148" t="s">
        <v>68</v>
      </c>
      <c r="Q5143" s="103"/>
      <c r="R5143" s="103"/>
      <c r="S5143" s="103"/>
      <c r="T5143" s="103"/>
      <c r="U5143" s="148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1">
        <v>5138.0</v>
      </c>
      <c r="B5144" s="90" t="s">
        <v>8494</v>
      </c>
      <c r="C5144" s="82" t="str">
        <f>VLOOKUP($B$7:$B$5000,SUM!$L$6:$L$500,1,FALSE)</f>
        <v>#VALUE!</v>
      </c>
      <c r="D5144" s="190" t="s">
        <v>8478</v>
      </c>
      <c r="E5144" s="198" t="s">
        <v>58</v>
      </c>
      <c r="F5144" s="199" t="s">
        <v>8479</v>
      </c>
      <c r="G5144" s="191" t="s">
        <v>8492</v>
      </c>
      <c r="H5144" s="199" t="s">
        <v>8495</v>
      </c>
      <c r="I5144" s="197" t="s">
        <v>8482</v>
      </c>
      <c r="J5144" s="148" t="s">
        <v>63</v>
      </c>
      <c r="K5144" s="148" t="s">
        <v>64</v>
      </c>
      <c r="L5144" s="148" t="s">
        <v>65</v>
      </c>
      <c r="M5144" s="148" t="s">
        <v>66</v>
      </c>
      <c r="N5144" s="212">
        <v>46228.0</v>
      </c>
      <c r="O5144" s="148" t="s">
        <v>67</v>
      </c>
      <c r="P5144" s="148" t="s">
        <v>68</v>
      </c>
      <c r="Q5144" s="103"/>
      <c r="R5144" s="103"/>
      <c r="S5144" s="103"/>
      <c r="T5144" s="103"/>
      <c r="U5144" s="148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1">
        <v>5139.0</v>
      </c>
      <c r="B5145" s="90" t="s">
        <v>8496</v>
      </c>
      <c r="C5145" s="82" t="str">
        <f>VLOOKUP($B$7:$B$5000,SUM!$L$6:$L$500,1,FALSE)</f>
        <v>#VALUE!</v>
      </c>
      <c r="D5145" s="190" t="s">
        <v>8478</v>
      </c>
      <c r="E5145" s="198" t="s">
        <v>58</v>
      </c>
      <c r="F5145" s="199" t="s">
        <v>8479</v>
      </c>
      <c r="G5145" s="191" t="s">
        <v>8480</v>
      </c>
      <c r="H5145" s="199" t="s">
        <v>8497</v>
      </c>
      <c r="I5145" s="197" t="s">
        <v>8498</v>
      </c>
      <c r="J5145" s="148" t="s">
        <v>63</v>
      </c>
      <c r="K5145" s="148" t="s">
        <v>64</v>
      </c>
      <c r="L5145" s="148" t="s">
        <v>65</v>
      </c>
      <c r="M5145" s="148" t="s">
        <v>66</v>
      </c>
      <c r="N5145" s="212">
        <v>46228.0</v>
      </c>
      <c r="O5145" s="148" t="s">
        <v>67</v>
      </c>
      <c r="P5145" s="148" t="s">
        <v>68</v>
      </c>
      <c r="Q5145" s="103"/>
      <c r="R5145" s="103"/>
      <c r="S5145" s="103"/>
      <c r="T5145" s="103"/>
      <c r="U5145" s="148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1">
        <v>5140.0</v>
      </c>
      <c r="B5146" s="90" t="s">
        <v>8499</v>
      </c>
      <c r="C5146" s="82" t="str">
        <f>VLOOKUP($B$7:$B$5000,SUM!$L$6:$L$500,1,FALSE)</f>
        <v>#VALUE!</v>
      </c>
      <c r="D5146" s="190" t="s">
        <v>8478</v>
      </c>
      <c r="E5146" s="198" t="s">
        <v>58</v>
      </c>
      <c r="F5146" s="199" t="s">
        <v>8479</v>
      </c>
      <c r="G5146" s="191" t="s">
        <v>8480</v>
      </c>
      <c r="H5146" s="199" t="s">
        <v>8500</v>
      </c>
      <c r="I5146" s="197" t="s">
        <v>8498</v>
      </c>
      <c r="J5146" s="148" t="s">
        <v>63</v>
      </c>
      <c r="K5146" s="148" t="s">
        <v>64</v>
      </c>
      <c r="L5146" s="148" t="s">
        <v>65</v>
      </c>
      <c r="M5146" s="148" t="s">
        <v>66</v>
      </c>
      <c r="N5146" s="212">
        <v>46228.0</v>
      </c>
      <c r="O5146" s="148" t="s">
        <v>67</v>
      </c>
      <c r="P5146" s="148" t="s">
        <v>68</v>
      </c>
      <c r="Q5146" s="103"/>
      <c r="R5146" s="103"/>
      <c r="S5146" s="103"/>
      <c r="T5146" s="103"/>
      <c r="U5146" s="148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1">
        <v>5141.0</v>
      </c>
      <c r="B5147" s="90" t="s">
        <v>8501</v>
      </c>
      <c r="C5147" s="82" t="str">
        <f>VLOOKUP($B$7:$B$5000,SUM!$L$6:$L$500,1,FALSE)</f>
        <v>#VALUE!</v>
      </c>
      <c r="D5147" s="190" t="s">
        <v>8478</v>
      </c>
      <c r="E5147" s="272" t="s">
        <v>58</v>
      </c>
      <c r="F5147" s="199" t="s">
        <v>8479</v>
      </c>
      <c r="G5147" s="191" t="s">
        <v>8480</v>
      </c>
      <c r="H5147" s="199" t="s">
        <v>8502</v>
      </c>
      <c r="I5147" s="197" t="s">
        <v>8498</v>
      </c>
      <c r="J5147" s="148" t="s">
        <v>63</v>
      </c>
      <c r="K5147" s="148" t="s">
        <v>64</v>
      </c>
      <c r="L5147" s="148" t="s">
        <v>65</v>
      </c>
      <c r="M5147" s="148" t="s">
        <v>66</v>
      </c>
      <c r="N5147" s="212">
        <v>46228.0</v>
      </c>
      <c r="O5147" s="148" t="s">
        <v>67</v>
      </c>
      <c r="P5147" s="148" t="s">
        <v>68</v>
      </c>
      <c r="Q5147" s="103"/>
      <c r="R5147" s="103"/>
      <c r="S5147" s="103"/>
      <c r="T5147" s="103"/>
      <c r="U5147" s="148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1">
        <v>5142.0</v>
      </c>
      <c r="B5148" s="90" t="s">
        <v>8503</v>
      </c>
      <c r="C5148" s="82" t="str">
        <f>VLOOKUP($B$7:$B$5000,SUM!$L$6:$L$500,1,FALSE)</f>
        <v>#VALUE!</v>
      </c>
      <c r="D5148" s="190" t="s">
        <v>8478</v>
      </c>
      <c r="E5148" s="272" t="s">
        <v>58</v>
      </c>
      <c r="F5148" s="199" t="s">
        <v>8479</v>
      </c>
      <c r="G5148" s="191" t="s">
        <v>8480</v>
      </c>
      <c r="H5148" s="199" t="s">
        <v>8504</v>
      </c>
      <c r="I5148" s="197" t="s">
        <v>8498</v>
      </c>
      <c r="J5148" s="148" t="s">
        <v>63</v>
      </c>
      <c r="K5148" s="148" t="s">
        <v>64</v>
      </c>
      <c r="L5148" s="148" t="s">
        <v>65</v>
      </c>
      <c r="M5148" s="148" t="s">
        <v>66</v>
      </c>
      <c r="N5148" s="212">
        <v>46228.0</v>
      </c>
      <c r="O5148" s="148" t="s">
        <v>67</v>
      </c>
      <c r="P5148" s="148" t="s">
        <v>68</v>
      </c>
      <c r="Q5148" s="103"/>
      <c r="R5148" s="103"/>
      <c r="S5148" s="103"/>
      <c r="T5148" s="103"/>
      <c r="U5148" s="148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1">
        <v>5143.0</v>
      </c>
      <c r="B5149" s="90" t="s">
        <v>8505</v>
      </c>
      <c r="C5149" s="82" t="str">
        <f>VLOOKUP($B$7:$B$5000,SUM!$L$6:$L$500,1,FALSE)</f>
        <v>#VALUE!</v>
      </c>
      <c r="D5149" s="190" t="s">
        <v>8478</v>
      </c>
      <c r="E5149" s="198" t="s">
        <v>58</v>
      </c>
      <c r="F5149" s="199" t="s">
        <v>8479</v>
      </c>
      <c r="G5149" s="191" t="s">
        <v>8492</v>
      </c>
      <c r="H5149" s="199" t="s">
        <v>8506</v>
      </c>
      <c r="I5149" s="197" t="s">
        <v>8507</v>
      </c>
      <c r="J5149" s="148" t="s">
        <v>63</v>
      </c>
      <c r="K5149" s="148" t="s">
        <v>64</v>
      </c>
      <c r="L5149" s="148" t="s">
        <v>65</v>
      </c>
      <c r="M5149" s="148" t="s">
        <v>66</v>
      </c>
      <c r="N5149" s="212">
        <v>46228.0</v>
      </c>
      <c r="O5149" s="148" t="s">
        <v>67</v>
      </c>
      <c r="P5149" s="148" t="s">
        <v>68</v>
      </c>
      <c r="Q5149" s="103"/>
      <c r="R5149" s="103"/>
      <c r="S5149" s="103"/>
      <c r="T5149" s="103"/>
      <c r="U5149" s="148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1">
        <v>5144.0</v>
      </c>
      <c r="B5150" s="90" t="s">
        <v>8508</v>
      </c>
      <c r="C5150" s="82" t="str">
        <f>VLOOKUP($B$7:$B$5000,SUM!$L$6:$L$500,1,FALSE)</f>
        <v>#VALUE!</v>
      </c>
      <c r="D5150" s="190" t="s">
        <v>8478</v>
      </c>
      <c r="E5150" s="198" t="s">
        <v>58</v>
      </c>
      <c r="F5150" s="199" t="s">
        <v>8479</v>
      </c>
      <c r="G5150" s="191" t="s">
        <v>8492</v>
      </c>
      <c r="H5150" s="199" t="s">
        <v>8509</v>
      </c>
      <c r="I5150" s="197" t="s">
        <v>8507</v>
      </c>
      <c r="J5150" s="148" t="s">
        <v>63</v>
      </c>
      <c r="K5150" s="148" t="s">
        <v>64</v>
      </c>
      <c r="L5150" s="148" t="s">
        <v>65</v>
      </c>
      <c r="M5150" s="148" t="s">
        <v>66</v>
      </c>
      <c r="N5150" s="212">
        <v>46228.0</v>
      </c>
      <c r="O5150" s="148" t="s">
        <v>67</v>
      </c>
      <c r="P5150" s="148" t="s">
        <v>68</v>
      </c>
      <c r="Q5150" s="103"/>
      <c r="R5150" s="103"/>
      <c r="S5150" s="103"/>
      <c r="T5150" s="103"/>
      <c r="U5150" s="148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1">
        <v>5145.0</v>
      </c>
      <c r="B5151" s="90" t="s">
        <v>8510</v>
      </c>
      <c r="C5151" s="82" t="str">
        <f>VLOOKUP($B$7:$B$5000,SUM!$L$6:$L$500,1,FALSE)</f>
        <v>#VALUE!</v>
      </c>
      <c r="D5151" s="190" t="s">
        <v>8478</v>
      </c>
      <c r="E5151" s="198" t="s">
        <v>58</v>
      </c>
      <c r="F5151" s="199" t="s">
        <v>8479</v>
      </c>
      <c r="G5151" s="191" t="s">
        <v>8492</v>
      </c>
      <c r="H5151" s="199" t="s">
        <v>8511</v>
      </c>
      <c r="I5151" s="197" t="s">
        <v>8512</v>
      </c>
      <c r="J5151" s="148" t="s">
        <v>63</v>
      </c>
      <c r="K5151" s="148" t="s">
        <v>64</v>
      </c>
      <c r="L5151" s="148" t="s">
        <v>65</v>
      </c>
      <c r="M5151" s="148" t="s">
        <v>66</v>
      </c>
      <c r="N5151" s="212">
        <v>46228.0</v>
      </c>
      <c r="O5151" s="148" t="s">
        <v>67</v>
      </c>
      <c r="P5151" s="148" t="s">
        <v>68</v>
      </c>
      <c r="Q5151" s="103"/>
      <c r="R5151" s="103"/>
      <c r="S5151" s="103"/>
      <c r="T5151" s="103"/>
      <c r="U5151" s="148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1">
        <v>5146.0</v>
      </c>
      <c r="B5152" s="90" t="s">
        <v>8513</v>
      </c>
      <c r="C5152" s="82" t="str">
        <f>VLOOKUP($B$7:$B$5000,SUM!$L$6:$L$500,1,FALSE)</f>
        <v>#VALUE!</v>
      </c>
      <c r="D5152" s="190" t="s">
        <v>8478</v>
      </c>
      <c r="E5152" s="198" t="s">
        <v>58</v>
      </c>
      <c r="F5152" s="199" t="s">
        <v>8479</v>
      </c>
      <c r="G5152" s="191" t="s">
        <v>8492</v>
      </c>
      <c r="H5152" s="199" t="s">
        <v>8514</v>
      </c>
      <c r="I5152" s="270" t="s">
        <v>8512</v>
      </c>
      <c r="J5152" s="148" t="s">
        <v>63</v>
      </c>
      <c r="K5152" s="148" t="s">
        <v>4434</v>
      </c>
      <c r="L5152" s="148" t="s">
        <v>65</v>
      </c>
      <c r="M5152" s="148" t="s">
        <v>66</v>
      </c>
      <c r="N5152" s="148"/>
      <c r="O5152" s="103"/>
      <c r="P5152" s="103"/>
      <c r="Q5152" s="103"/>
      <c r="R5152" s="103"/>
      <c r="S5152" s="103"/>
      <c r="T5152" s="103"/>
      <c r="U5152" s="148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1">
        <v>5147.0</v>
      </c>
      <c r="B5153" s="90" t="s">
        <v>8515</v>
      </c>
      <c r="C5153" s="82" t="str">
        <f>VLOOKUP($B$7:$B$5000,SUM!$L$6:$L$500,1,FALSE)</f>
        <v>#VALUE!</v>
      </c>
      <c r="D5153" s="271" t="s">
        <v>8516</v>
      </c>
      <c r="E5153" s="272" t="s">
        <v>58</v>
      </c>
      <c r="F5153" s="148" t="s">
        <v>8517</v>
      </c>
      <c r="G5153" s="189" t="s">
        <v>8518</v>
      </c>
      <c r="H5153" s="199" t="s">
        <v>8519</v>
      </c>
      <c r="I5153" s="270" t="s">
        <v>8520</v>
      </c>
      <c r="J5153" s="148" t="s">
        <v>63</v>
      </c>
      <c r="K5153" s="148" t="s">
        <v>4434</v>
      </c>
      <c r="L5153" s="148" t="s">
        <v>65</v>
      </c>
      <c r="M5153" s="148" t="s">
        <v>66</v>
      </c>
      <c r="N5153" s="212">
        <v>46230.0</v>
      </c>
      <c r="O5153" s="148" t="s">
        <v>67</v>
      </c>
      <c r="P5153" s="256" t="s">
        <v>68</v>
      </c>
      <c r="Q5153" s="103"/>
      <c r="R5153" s="103"/>
      <c r="S5153" s="103"/>
      <c r="T5153" s="103"/>
      <c r="U5153" s="148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1">
        <v>5148.0</v>
      </c>
      <c r="B5154" s="90" t="s">
        <v>8521</v>
      </c>
      <c r="C5154" s="82" t="str">
        <f>VLOOKUP($B$7:$B$5000,SUM!$L$6:$L$500,1,FALSE)</f>
        <v>#VALUE!</v>
      </c>
      <c r="D5154" s="271" t="s">
        <v>8516</v>
      </c>
      <c r="E5154" s="272" t="s">
        <v>58</v>
      </c>
      <c r="F5154" s="148" t="s">
        <v>8517</v>
      </c>
      <c r="G5154" s="189" t="s">
        <v>8518</v>
      </c>
      <c r="H5154" s="199" t="s">
        <v>8522</v>
      </c>
      <c r="I5154" s="270" t="s">
        <v>8520</v>
      </c>
      <c r="J5154" s="148" t="s">
        <v>63</v>
      </c>
      <c r="K5154" s="148" t="s">
        <v>4434</v>
      </c>
      <c r="L5154" s="148" t="s">
        <v>65</v>
      </c>
      <c r="M5154" s="148" t="s">
        <v>66</v>
      </c>
      <c r="N5154" s="212">
        <v>46230.0</v>
      </c>
      <c r="O5154" s="148" t="s">
        <v>67</v>
      </c>
      <c r="P5154" s="256" t="s">
        <v>68</v>
      </c>
      <c r="Q5154" s="103"/>
      <c r="R5154" s="103"/>
      <c r="S5154" s="103"/>
      <c r="T5154" s="103"/>
      <c r="U5154" s="148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1">
        <v>5149.0</v>
      </c>
      <c r="B5155" s="90" t="s">
        <v>8523</v>
      </c>
      <c r="C5155" s="82" t="str">
        <f>VLOOKUP($B$7:$B$5000,SUM!$L$6:$L$500,1,FALSE)</f>
        <v>#VALUE!</v>
      </c>
      <c r="D5155" s="271" t="s">
        <v>8516</v>
      </c>
      <c r="E5155" s="272" t="s">
        <v>58</v>
      </c>
      <c r="F5155" s="148" t="s">
        <v>8517</v>
      </c>
      <c r="G5155" s="189" t="s">
        <v>8518</v>
      </c>
      <c r="H5155" s="199" t="s">
        <v>8524</v>
      </c>
      <c r="I5155" s="270" t="s">
        <v>8520</v>
      </c>
      <c r="J5155" s="148" t="s">
        <v>63</v>
      </c>
      <c r="K5155" s="148" t="s">
        <v>4434</v>
      </c>
      <c r="L5155" s="148" t="s">
        <v>65</v>
      </c>
      <c r="M5155" s="148" t="s">
        <v>66</v>
      </c>
      <c r="N5155" s="212">
        <v>46230.0</v>
      </c>
      <c r="O5155" s="148" t="s">
        <v>67</v>
      </c>
      <c r="P5155" s="256" t="s">
        <v>68</v>
      </c>
      <c r="Q5155" s="103"/>
      <c r="R5155" s="103"/>
      <c r="S5155" s="103"/>
      <c r="T5155" s="103"/>
      <c r="U5155" s="148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1">
        <v>5150.0</v>
      </c>
      <c r="B5156" s="90" t="s">
        <v>8525</v>
      </c>
      <c r="C5156" s="82" t="str">
        <f>VLOOKUP($B$7:$B$5000,SUM!$L$6:$L$500,1,FALSE)</f>
        <v>#VALUE!</v>
      </c>
      <c r="D5156" s="271" t="s">
        <v>8516</v>
      </c>
      <c r="E5156" s="272" t="s">
        <v>58</v>
      </c>
      <c r="F5156" s="148" t="s">
        <v>8517</v>
      </c>
      <c r="G5156" s="189" t="s">
        <v>8518</v>
      </c>
      <c r="H5156" s="199" t="s">
        <v>8526</v>
      </c>
      <c r="I5156" s="270" t="s">
        <v>8520</v>
      </c>
      <c r="J5156" s="148" t="s">
        <v>63</v>
      </c>
      <c r="K5156" s="148" t="s">
        <v>4434</v>
      </c>
      <c r="L5156" s="148" t="s">
        <v>65</v>
      </c>
      <c r="M5156" s="148" t="s">
        <v>66</v>
      </c>
      <c r="N5156" s="212">
        <v>46230.0</v>
      </c>
      <c r="O5156" s="148" t="s">
        <v>67</v>
      </c>
      <c r="P5156" s="256" t="s">
        <v>68</v>
      </c>
      <c r="Q5156" s="103"/>
      <c r="R5156" s="103"/>
      <c r="S5156" s="103"/>
      <c r="T5156" s="103"/>
      <c r="U5156" s="148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1">
        <v>5151.0</v>
      </c>
      <c r="B5157" s="90" t="s">
        <v>8527</v>
      </c>
      <c r="C5157" s="82" t="str">
        <f>VLOOKUP($B$7:$B$5000,SUM!$L$6:$L$500,1,FALSE)</f>
        <v>#VALUE!</v>
      </c>
      <c r="D5157" s="271" t="s">
        <v>8516</v>
      </c>
      <c r="E5157" s="272" t="s">
        <v>58</v>
      </c>
      <c r="F5157" s="148" t="s">
        <v>8517</v>
      </c>
      <c r="G5157" s="189" t="s">
        <v>8518</v>
      </c>
      <c r="H5157" s="199" t="s">
        <v>8528</v>
      </c>
      <c r="I5157" s="270" t="s">
        <v>8520</v>
      </c>
      <c r="J5157" s="148" t="s">
        <v>63</v>
      </c>
      <c r="K5157" s="148" t="s">
        <v>4434</v>
      </c>
      <c r="L5157" s="148" t="s">
        <v>65</v>
      </c>
      <c r="M5157" s="148" t="s">
        <v>66</v>
      </c>
      <c r="N5157" s="212">
        <v>46230.0</v>
      </c>
      <c r="O5157" s="148" t="s">
        <v>67</v>
      </c>
      <c r="P5157" s="256" t="s">
        <v>68</v>
      </c>
      <c r="Q5157" s="103"/>
      <c r="R5157" s="103"/>
      <c r="S5157" s="103"/>
      <c r="T5157" s="103"/>
      <c r="U5157" s="148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1">
        <v>5152.0</v>
      </c>
      <c r="B5158" s="90" t="s">
        <v>8529</v>
      </c>
      <c r="C5158" s="82" t="str">
        <f>VLOOKUP($B$7:$B$5000,SUM!$L$6:$L$500,1,FALSE)</f>
        <v>#VALUE!</v>
      </c>
      <c r="D5158" s="271" t="s">
        <v>8530</v>
      </c>
      <c r="E5158" s="272" t="s">
        <v>58</v>
      </c>
      <c r="F5158" s="148" t="s">
        <v>8517</v>
      </c>
      <c r="G5158" s="189" t="s">
        <v>8518</v>
      </c>
      <c r="H5158" s="148" t="s">
        <v>8519</v>
      </c>
      <c r="I5158" s="270" t="s">
        <v>8531</v>
      </c>
      <c r="J5158" s="148" t="s">
        <v>108</v>
      </c>
      <c r="K5158" s="148" t="s">
        <v>4434</v>
      </c>
      <c r="L5158" s="148" t="s">
        <v>65</v>
      </c>
      <c r="M5158" s="148" t="s">
        <v>66</v>
      </c>
      <c r="N5158" s="212">
        <v>46230.0</v>
      </c>
      <c r="O5158" s="148" t="s">
        <v>67</v>
      </c>
      <c r="P5158" s="148" t="s">
        <v>68</v>
      </c>
      <c r="Q5158" s="103"/>
      <c r="R5158" s="103"/>
      <c r="S5158" s="103"/>
      <c r="T5158" s="103"/>
      <c r="U5158" s="148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1">
        <v>5153.0</v>
      </c>
      <c r="B5159" s="90" t="s">
        <v>8532</v>
      </c>
      <c r="C5159" s="82" t="str">
        <f>VLOOKUP($B$7:$B$5000,SUM!$L$6:$L$500,1,FALSE)</f>
        <v>#VALUE!</v>
      </c>
      <c r="D5159" s="271" t="s">
        <v>8530</v>
      </c>
      <c r="E5159" s="272" t="s">
        <v>58</v>
      </c>
      <c r="F5159" s="148" t="s">
        <v>8517</v>
      </c>
      <c r="G5159" s="189" t="s">
        <v>8518</v>
      </c>
      <c r="H5159" s="148" t="s">
        <v>8522</v>
      </c>
      <c r="I5159" s="270" t="s">
        <v>8533</v>
      </c>
      <c r="J5159" s="148" t="s">
        <v>108</v>
      </c>
      <c r="K5159" s="148" t="s">
        <v>4434</v>
      </c>
      <c r="L5159" s="148" t="s">
        <v>65</v>
      </c>
      <c r="M5159" s="148" t="s">
        <v>66</v>
      </c>
      <c r="N5159" s="212">
        <v>46230.0</v>
      </c>
      <c r="O5159" s="148" t="s">
        <v>67</v>
      </c>
      <c r="P5159" s="148" t="s">
        <v>68</v>
      </c>
      <c r="Q5159" s="103"/>
      <c r="R5159" s="103"/>
      <c r="S5159" s="103"/>
      <c r="T5159" s="103"/>
      <c r="U5159" s="148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1">
        <v>5154.0</v>
      </c>
      <c r="B5160" s="90" t="s">
        <v>8534</v>
      </c>
      <c r="C5160" s="82" t="str">
        <f>VLOOKUP($B$7:$B$5000,SUM!$L$6:$L$500,1,FALSE)</f>
        <v>#VALUE!</v>
      </c>
      <c r="D5160" s="271" t="s">
        <v>8530</v>
      </c>
      <c r="E5160" s="272" t="s">
        <v>58</v>
      </c>
      <c r="F5160" s="148" t="s">
        <v>8517</v>
      </c>
      <c r="G5160" s="189" t="s">
        <v>8518</v>
      </c>
      <c r="H5160" s="199" t="s">
        <v>8524</v>
      </c>
      <c r="I5160" s="270" t="s">
        <v>8531</v>
      </c>
      <c r="J5160" s="148" t="s">
        <v>108</v>
      </c>
      <c r="K5160" s="148" t="s">
        <v>4434</v>
      </c>
      <c r="L5160" s="148" t="s">
        <v>65</v>
      </c>
      <c r="M5160" s="148" t="s">
        <v>66</v>
      </c>
      <c r="N5160" s="212">
        <v>46230.0</v>
      </c>
      <c r="O5160" s="148" t="s">
        <v>67</v>
      </c>
      <c r="P5160" s="148" t="s">
        <v>68</v>
      </c>
      <c r="Q5160" s="103"/>
      <c r="R5160" s="103"/>
      <c r="S5160" s="103"/>
      <c r="T5160" s="103"/>
      <c r="U5160" s="148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1">
        <v>5155.0</v>
      </c>
      <c r="B5161" s="90" t="s">
        <v>8535</v>
      </c>
      <c r="C5161" s="82" t="str">
        <f>VLOOKUP($B$7:$B$5000,SUM!$L$6:$L$500,1,FALSE)</f>
        <v>#VALUE!</v>
      </c>
      <c r="D5161" s="271" t="s">
        <v>8530</v>
      </c>
      <c r="E5161" s="272" t="s">
        <v>58</v>
      </c>
      <c r="F5161" s="148" t="s">
        <v>8517</v>
      </c>
      <c r="G5161" s="189" t="s">
        <v>8518</v>
      </c>
      <c r="H5161" s="199" t="s">
        <v>8526</v>
      </c>
      <c r="I5161" s="270" t="s">
        <v>8531</v>
      </c>
      <c r="J5161" s="148" t="s">
        <v>108</v>
      </c>
      <c r="K5161" s="148" t="s">
        <v>4434</v>
      </c>
      <c r="L5161" s="148" t="s">
        <v>65</v>
      </c>
      <c r="M5161" s="148" t="s">
        <v>66</v>
      </c>
      <c r="N5161" s="212">
        <v>46230.0</v>
      </c>
      <c r="O5161" s="148" t="s">
        <v>67</v>
      </c>
      <c r="P5161" s="148" t="s">
        <v>68</v>
      </c>
      <c r="Q5161" s="103"/>
      <c r="R5161" s="103"/>
      <c r="S5161" s="103"/>
      <c r="T5161" s="103"/>
      <c r="U5161" s="148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1">
        <v>5156.0</v>
      </c>
      <c r="B5162" s="90" t="s">
        <v>8536</v>
      </c>
      <c r="C5162" s="82" t="str">
        <f>VLOOKUP($B$7:$B$5000,SUM!$L$6:$L$500,1,FALSE)</f>
        <v>#VALUE!</v>
      </c>
      <c r="D5162" s="271" t="s">
        <v>8530</v>
      </c>
      <c r="E5162" s="272" t="s">
        <v>58</v>
      </c>
      <c r="F5162" s="148" t="s">
        <v>8517</v>
      </c>
      <c r="G5162" s="189" t="s">
        <v>8518</v>
      </c>
      <c r="H5162" s="148" t="s">
        <v>8528</v>
      </c>
      <c r="I5162" s="270" t="s">
        <v>8537</v>
      </c>
      <c r="J5162" s="148" t="s">
        <v>108</v>
      </c>
      <c r="K5162" s="148" t="s">
        <v>4434</v>
      </c>
      <c r="L5162" s="148" t="s">
        <v>65</v>
      </c>
      <c r="M5162" s="148" t="s">
        <v>66</v>
      </c>
      <c r="N5162" s="277">
        <v>46230.0</v>
      </c>
      <c r="O5162" s="148" t="s">
        <v>67</v>
      </c>
      <c r="P5162" s="148" t="s">
        <v>68</v>
      </c>
      <c r="Q5162" s="103"/>
      <c r="R5162" s="103"/>
      <c r="S5162" s="103"/>
      <c r="T5162" s="103"/>
      <c r="U5162" s="148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1">
        <v>5157.0</v>
      </c>
      <c r="B5163" s="90" t="s">
        <v>8538</v>
      </c>
      <c r="C5163" s="82" t="str">
        <f>VLOOKUP($B$7:$B$5000,SUM!$L$6:$L$500,1,FALSE)</f>
        <v>#VALUE!</v>
      </c>
      <c r="D5163" s="271" t="s">
        <v>8539</v>
      </c>
      <c r="E5163" s="272" t="s">
        <v>58</v>
      </c>
      <c r="F5163" s="148" t="s">
        <v>105</v>
      </c>
      <c r="G5163" s="191" t="s">
        <v>8540</v>
      </c>
      <c r="H5163" s="199" t="s">
        <v>8541</v>
      </c>
      <c r="I5163" s="197" t="s">
        <v>8542</v>
      </c>
      <c r="J5163" s="148" t="s">
        <v>63</v>
      </c>
      <c r="K5163" s="148" t="s">
        <v>64</v>
      </c>
      <c r="L5163" s="148" t="s">
        <v>65</v>
      </c>
      <c r="M5163" s="148" t="s">
        <v>66</v>
      </c>
      <c r="N5163" s="159">
        <v>46231.0</v>
      </c>
      <c r="O5163" s="148" t="s">
        <v>67</v>
      </c>
      <c r="P5163" s="148" t="s">
        <v>68</v>
      </c>
      <c r="Q5163" s="103"/>
      <c r="R5163" s="103"/>
      <c r="S5163" s="103"/>
      <c r="T5163" s="103"/>
      <c r="U5163" s="148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1">
        <v>5158.0</v>
      </c>
      <c r="B5164" s="90" t="s">
        <v>8543</v>
      </c>
      <c r="C5164" s="82" t="str">
        <f>VLOOKUP($B$7:$B$5000,SUM!$L$6:$L$500,1,FALSE)</f>
        <v>#VALUE!</v>
      </c>
      <c r="D5164" s="271" t="s">
        <v>8539</v>
      </c>
      <c r="E5164" s="272" t="s">
        <v>58</v>
      </c>
      <c r="F5164" s="148" t="s">
        <v>105</v>
      </c>
      <c r="G5164" s="191" t="s">
        <v>8540</v>
      </c>
      <c r="H5164" s="199" t="s">
        <v>8544</v>
      </c>
      <c r="I5164" s="197" t="s">
        <v>8542</v>
      </c>
      <c r="J5164" s="148" t="s">
        <v>63</v>
      </c>
      <c r="K5164" s="148" t="s">
        <v>64</v>
      </c>
      <c r="L5164" s="148" t="s">
        <v>65</v>
      </c>
      <c r="M5164" s="148" t="s">
        <v>66</v>
      </c>
      <c r="N5164" s="159">
        <v>46231.0</v>
      </c>
      <c r="O5164" s="148" t="s">
        <v>67</v>
      </c>
      <c r="P5164" s="148" t="s">
        <v>68</v>
      </c>
      <c r="Q5164" s="103"/>
      <c r="R5164" s="103"/>
      <c r="S5164" s="103"/>
      <c r="T5164" s="103"/>
      <c r="U5164" s="148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1">
        <v>5159.0</v>
      </c>
      <c r="B5165" s="90" t="s">
        <v>8545</v>
      </c>
      <c r="C5165" s="82" t="str">
        <f>VLOOKUP($B$7:$B$5000,SUM!$L$6:$L$500,1,FALSE)</f>
        <v>#VALUE!</v>
      </c>
      <c r="D5165" s="271" t="s">
        <v>8539</v>
      </c>
      <c r="E5165" s="272" t="s">
        <v>58</v>
      </c>
      <c r="F5165" s="148" t="s">
        <v>105</v>
      </c>
      <c r="G5165" s="191" t="s">
        <v>8540</v>
      </c>
      <c r="H5165" s="199" t="s">
        <v>8546</v>
      </c>
      <c r="I5165" s="197" t="s">
        <v>8542</v>
      </c>
      <c r="J5165" s="148" t="s">
        <v>63</v>
      </c>
      <c r="K5165" s="148" t="s">
        <v>64</v>
      </c>
      <c r="L5165" s="148" t="s">
        <v>65</v>
      </c>
      <c r="M5165" s="148" t="s">
        <v>66</v>
      </c>
      <c r="N5165" s="159">
        <v>46231.0</v>
      </c>
      <c r="O5165" s="148" t="s">
        <v>67</v>
      </c>
      <c r="P5165" s="148" t="s">
        <v>68</v>
      </c>
      <c r="Q5165" s="103"/>
      <c r="R5165" s="103"/>
      <c r="S5165" s="103"/>
      <c r="T5165" s="103"/>
      <c r="U5165" s="148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1">
        <v>5160.0</v>
      </c>
      <c r="B5166" s="90" t="s">
        <v>8547</v>
      </c>
      <c r="C5166" s="82" t="str">
        <f>VLOOKUP($B$7:$B$5000,SUM!$L$6:$L$500,1,FALSE)</f>
        <v>#VALUE!</v>
      </c>
      <c r="D5166" s="271" t="s">
        <v>8539</v>
      </c>
      <c r="E5166" s="272" t="s">
        <v>58</v>
      </c>
      <c r="F5166" s="148" t="s">
        <v>105</v>
      </c>
      <c r="G5166" s="191" t="s">
        <v>1362</v>
      </c>
      <c r="H5166" s="199" t="s">
        <v>8548</v>
      </c>
      <c r="I5166" s="197" t="s">
        <v>8549</v>
      </c>
      <c r="J5166" s="148" t="s">
        <v>63</v>
      </c>
      <c r="K5166" s="148" t="s">
        <v>64</v>
      </c>
      <c r="L5166" s="148" t="s">
        <v>65</v>
      </c>
      <c r="M5166" s="148" t="s">
        <v>66</v>
      </c>
      <c r="N5166" s="159">
        <v>46231.0</v>
      </c>
      <c r="O5166" s="148" t="s">
        <v>67</v>
      </c>
      <c r="P5166" s="148" t="s">
        <v>68</v>
      </c>
      <c r="Q5166" s="103"/>
      <c r="R5166" s="103"/>
      <c r="S5166" s="103"/>
      <c r="T5166" s="103"/>
      <c r="U5166" s="148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1">
        <v>5161.0</v>
      </c>
      <c r="B5167" s="90" t="s">
        <v>8550</v>
      </c>
      <c r="C5167" s="82" t="str">
        <f>VLOOKUP($B$7:$B$5000,SUM!$L$6:$L$500,1,FALSE)</f>
        <v>#VALUE!</v>
      </c>
      <c r="D5167" s="271" t="s">
        <v>8539</v>
      </c>
      <c r="E5167" s="272" t="s">
        <v>58</v>
      </c>
      <c r="F5167" s="148" t="s">
        <v>105</v>
      </c>
      <c r="G5167" s="191" t="s">
        <v>1362</v>
      </c>
      <c r="H5167" s="199" t="s">
        <v>8551</v>
      </c>
      <c r="I5167" s="197" t="s">
        <v>8552</v>
      </c>
      <c r="J5167" s="148" t="s">
        <v>63</v>
      </c>
      <c r="K5167" s="148" t="s">
        <v>64</v>
      </c>
      <c r="L5167" s="148" t="s">
        <v>65</v>
      </c>
      <c r="M5167" s="148" t="s">
        <v>66</v>
      </c>
      <c r="N5167" s="159">
        <v>46231.0</v>
      </c>
      <c r="O5167" s="148" t="s">
        <v>67</v>
      </c>
      <c r="P5167" s="148" t="s">
        <v>68</v>
      </c>
      <c r="Q5167" s="103"/>
      <c r="R5167" s="103"/>
      <c r="S5167" s="103"/>
      <c r="T5167" s="103"/>
      <c r="U5167" s="148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1">
        <v>5162.0</v>
      </c>
      <c r="B5168" s="90" t="s">
        <v>8553</v>
      </c>
      <c r="C5168" s="82" t="str">
        <f>VLOOKUP($B$7:$B$5000,SUM!$L$6:$L$500,1,FALSE)</f>
        <v>#VALUE!</v>
      </c>
      <c r="D5168" s="271" t="s">
        <v>8539</v>
      </c>
      <c r="E5168" s="272" t="s">
        <v>58</v>
      </c>
      <c r="F5168" s="148" t="s">
        <v>105</v>
      </c>
      <c r="G5168" s="191" t="s">
        <v>8554</v>
      </c>
      <c r="H5168" s="199" t="s">
        <v>8555</v>
      </c>
      <c r="I5168" s="197" t="s">
        <v>8556</v>
      </c>
      <c r="J5168" s="148" t="s">
        <v>63</v>
      </c>
      <c r="K5168" s="148" t="s">
        <v>64</v>
      </c>
      <c r="L5168" s="148" t="s">
        <v>65</v>
      </c>
      <c r="M5168" s="148" t="s">
        <v>66</v>
      </c>
      <c r="N5168" s="159">
        <v>46231.0</v>
      </c>
      <c r="O5168" s="148" t="s">
        <v>67</v>
      </c>
      <c r="P5168" s="148" t="s">
        <v>68</v>
      </c>
      <c r="Q5168" s="103"/>
      <c r="R5168" s="103"/>
      <c r="S5168" s="103"/>
      <c r="T5168" s="103"/>
      <c r="U5168" s="148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1">
        <v>5163.0</v>
      </c>
      <c r="B5169" s="90" t="s">
        <v>8557</v>
      </c>
      <c r="C5169" s="82" t="str">
        <f>VLOOKUP($B$7:$B$5000,SUM!$L$6:$L$500,1,FALSE)</f>
        <v>#VALUE!</v>
      </c>
      <c r="D5169" s="271" t="s">
        <v>8539</v>
      </c>
      <c r="E5169" s="272" t="s">
        <v>58</v>
      </c>
      <c r="F5169" s="148" t="s">
        <v>105</v>
      </c>
      <c r="G5169" s="191" t="s">
        <v>8540</v>
      </c>
      <c r="H5169" s="199" t="s">
        <v>8541</v>
      </c>
      <c r="I5169" s="270" t="s">
        <v>8558</v>
      </c>
      <c r="J5169" s="148" t="s">
        <v>63</v>
      </c>
      <c r="K5169" s="148" t="s">
        <v>64</v>
      </c>
      <c r="L5169" s="148" t="s">
        <v>65</v>
      </c>
      <c r="M5169" s="148" t="s">
        <v>66</v>
      </c>
      <c r="N5169" s="159">
        <v>46231.0</v>
      </c>
      <c r="O5169" s="148" t="s">
        <v>67</v>
      </c>
      <c r="P5169" s="148" t="s">
        <v>68</v>
      </c>
      <c r="Q5169" s="103"/>
      <c r="R5169" s="103"/>
      <c r="S5169" s="103"/>
      <c r="T5169" s="103"/>
      <c r="U5169" s="148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1">
        <v>5164.0</v>
      </c>
      <c r="B5170" s="90" t="s">
        <v>8559</v>
      </c>
      <c r="C5170" s="82" t="str">
        <f>VLOOKUP($B$7:$B$5000,SUM!$L$6:$L$500,1,FALSE)</f>
        <v>#VALUE!</v>
      </c>
      <c r="D5170" s="271" t="s">
        <v>8539</v>
      </c>
      <c r="E5170" s="272" t="s">
        <v>58</v>
      </c>
      <c r="F5170" s="148" t="s">
        <v>105</v>
      </c>
      <c r="G5170" s="191" t="s">
        <v>8540</v>
      </c>
      <c r="H5170" s="199" t="s">
        <v>8544</v>
      </c>
      <c r="I5170" s="197" t="s">
        <v>8560</v>
      </c>
      <c r="J5170" s="148" t="s">
        <v>63</v>
      </c>
      <c r="K5170" s="148" t="s">
        <v>64</v>
      </c>
      <c r="L5170" s="148" t="s">
        <v>65</v>
      </c>
      <c r="M5170" s="148" t="s">
        <v>66</v>
      </c>
      <c r="N5170" s="159">
        <v>46231.0</v>
      </c>
      <c r="O5170" s="148" t="s">
        <v>67</v>
      </c>
      <c r="P5170" s="148" t="s">
        <v>68</v>
      </c>
      <c r="Q5170" s="103"/>
      <c r="R5170" s="103"/>
      <c r="S5170" s="103"/>
      <c r="T5170" s="103"/>
      <c r="U5170" s="148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1">
        <v>5165.0</v>
      </c>
      <c r="B5171" s="90" t="s">
        <v>8561</v>
      </c>
      <c r="C5171" s="82" t="str">
        <f>VLOOKUP($B$7:$B$5000,SUM!$L$6:$L$500,1,FALSE)</f>
        <v>#VALUE!</v>
      </c>
      <c r="D5171" s="271" t="s">
        <v>8539</v>
      </c>
      <c r="E5171" s="272" t="s">
        <v>58</v>
      </c>
      <c r="F5171" s="148" t="s">
        <v>105</v>
      </c>
      <c r="G5171" s="191" t="s">
        <v>8540</v>
      </c>
      <c r="H5171" s="199" t="s">
        <v>8546</v>
      </c>
      <c r="I5171" s="197" t="s">
        <v>8560</v>
      </c>
      <c r="J5171" s="148" t="s">
        <v>63</v>
      </c>
      <c r="K5171" s="148" t="s">
        <v>64</v>
      </c>
      <c r="L5171" s="148" t="s">
        <v>65</v>
      </c>
      <c r="M5171" s="148" t="s">
        <v>66</v>
      </c>
      <c r="N5171" s="159">
        <v>46231.0</v>
      </c>
      <c r="O5171" s="148" t="s">
        <v>67</v>
      </c>
      <c r="P5171" s="148" t="s">
        <v>68</v>
      </c>
      <c r="Q5171" s="103"/>
      <c r="R5171" s="103"/>
      <c r="S5171" s="103"/>
      <c r="T5171" s="103"/>
      <c r="U5171" s="148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1">
        <v>5166.0</v>
      </c>
      <c r="B5172" s="90" t="s">
        <v>8562</v>
      </c>
      <c r="C5172" s="82" t="str">
        <f>VLOOKUP($B$7:$B$5000,SUM!$L$6:$L$500,1,FALSE)</f>
        <v>#VALUE!</v>
      </c>
      <c r="D5172" s="271" t="s">
        <v>8539</v>
      </c>
      <c r="E5172" s="272" t="s">
        <v>58</v>
      </c>
      <c r="F5172" s="148" t="s">
        <v>105</v>
      </c>
      <c r="G5172" s="191" t="s">
        <v>1362</v>
      </c>
      <c r="H5172" s="199" t="s">
        <v>8548</v>
      </c>
      <c r="I5172" s="197" t="s">
        <v>8563</v>
      </c>
      <c r="J5172" s="148" t="s">
        <v>63</v>
      </c>
      <c r="K5172" s="148" t="s">
        <v>64</v>
      </c>
      <c r="L5172" s="148" t="s">
        <v>65</v>
      </c>
      <c r="M5172" s="148" t="s">
        <v>66</v>
      </c>
      <c r="N5172" s="159">
        <v>46231.0</v>
      </c>
      <c r="O5172" s="148" t="s">
        <v>67</v>
      </c>
      <c r="P5172" s="148" t="s">
        <v>68</v>
      </c>
      <c r="Q5172" s="103"/>
      <c r="R5172" s="103"/>
      <c r="S5172" s="103"/>
      <c r="T5172" s="103"/>
      <c r="U5172" s="148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1">
        <v>5167.0</v>
      </c>
      <c r="B5173" s="90" t="s">
        <v>8564</v>
      </c>
      <c r="C5173" s="82" t="str">
        <f>VLOOKUP($B$7:$B$5000,SUM!$L$6:$L$500,1,FALSE)</f>
        <v>#VALUE!</v>
      </c>
      <c r="D5173" s="271" t="s">
        <v>8539</v>
      </c>
      <c r="E5173" s="272" t="s">
        <v>58</v>
      </c>
      <c r="F5173" s="148" t="s">
        <v>105</v>
      </c>
      <c r="G5173" s="191" t="s">
        <v>1362</v>
      </c>
      <c r="H5173" s="199" t="s">
        <v>8551</v>
      </c>
      <c r="I5173" s="197" t="s">
        <v>8565</v>
      </c>
      <c r="J5173" s="148" t="s">
        <v>63</v>
      </c>
      <c r="K5173" s="148" t="s">
        <v>64</v>
      </c>
      <c r="L5173" s="148" t="s">
        <v>65</v>
      </c>
      <c r="M5173" s="148" t="s">
        <v>66</v>
      </c>
      <c r="N5173" s="159">
        <v>46231.0</v>
      </c>
      <c r="O5173" s="148" t="s">
        <v>67</v>
      </c>
      <c r="P5173" s="148" t="s">
        <v>68</v>
      </c>
      <c r="Q5173" s="103"/>
      <c r="R5173" s="103"/>
      <c r="S5173" s="103"/>
      <c r="T5173" s="103"/>
      <c r="U5173" s="148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1">
        <v>5168.0</v>
      </c>
      <c r="B5174" s="90" t="s">
        <v>8566</v>
      </c>
      <c r="C5174" s="82" t="str">
        <f>VLOOKUP($B$7:$B$5000,SUM!$L$6:$L$500,1,FALSE)</f>
        <v>#VALUE!</v>
      </c>
      <c r="D5174" s="271" t="s">
        <v>8539</v>
      </c>
      <c r="E5174" s="272" t="s">
        <v>58</v>
      </c>
      <c r="F5174" s="148" t="s">
        <v>105</v>
      </c>
      <c r="G5174" s="191" t="s">
        <v>8554</v>
      </c>
      <c r="H5174" s="199" t="s">
        <v>8555</v>
      </c>
      <c r="I5174" s="197" t="s">
        <v>8567</v>
      </c>
      <c r="J5174" s="148" t="s">
        <v>63</v>
      </c>
      <c r="K5174" s="148" t="s">
        <v>64</v>
      </c>
      <c r="L5174" s="148" t="s">
        <v>65</v>
      </c>
      <c r="M5174" s="148" t="s">
        <v>66</v>
      </c>
      <c r="N5174" s="159">
        <v>46231.0</v>
      </c>
      <c r="O5174" s="148" t="s">
        <v>67</v>
      </c>
      <c r="P5174" s="148" t="s">
        <v>68</v>
      </c>
      <c r="Q5174" s="103"/>
      <c r="R5174" s="103"/>
      <c r="S5174" s="103"/>
      <c r="T5174" s="103"/>
      <c r="U5174" s="148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1">
        <v>5169.0</v>
      </c>
      <c r="B5175" s="90" t="s">
        <v>8568</v>
      </c>
      <c r="C5175" s="82" t="str">
        <f>VLOOKUP($B$7:$B$5000,SUM!$L$6:$L$500,1,FALSE)</f>
        <v>#VALUE!</v>
      </c>
      <c r="D5175" s="271" t="s">
        <v>8539</v>
      </c>
      <c r="E5175" s="272" t="s">
        <v>58</v>
      </c>
      <c r="F5175" s="148" t="s">
        <v>105</v>
      </c>
      <c r="G5175" s="191" t="s">
        <v>8540</v>
      </c>
      <c r="H5175" s="199" t="s">
        <v>8541</v>
      </c>
      <c r="I5175" s="197" t="s">
        <v>8569</v>
      </c>
      <c r="J5175" s="148" t="s">
        <v>63</v>
      </c>
      <c r="K5175" s="148" t="s">
        <v>64</v>
      </c>
      <c r="L5175" s="148" t="s">
        <v>65</v>
      </c>
      <c r="M5175" s="148" t="s">
        <v>66</v>
      </c>
      <c r="N5175" s="159">
        <v>46231.0</v>
      </c>
      <c r="O5175" s="148" t="s">
        <v>67</v>
      </c>
      <c r="P5175" s="148" t="s">
        <v>68</v>
      </c>
      <c r="Q5175" s="103"/>
      <c r="R5175" s="103"/>
      <c r="S5175" s="103"/>
      <c r="T5175" s="103"/>
      <c r="U5175" s="148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1">
        <v>5170.0</v>
      </c>
      <c r="B5176" s="90" t="s">
        <v>8570</v>
      </c>
      <c r="C5176" s="82" t="str">
        <f>VLOOKUP($B$7:$B$5000,SUM!$L$6:$L$500,1,FALSE)</f>
        <v>#VALUE!</v>
      </c>
      <c r="D5176" s="271" t="s">
        <v>8539</v>
      </c>
      <c r="E5176" s="272" t="s">
        <v>58</v>
      </c>
      <c r="F5176" s="148" t="s">
        <v>105</v>
      </c>
      <c r="G5176" s="191" t="s">
        <v>8540</v>
      </c>
      <c r="H5176" s="199" t="s">
        <v>8544</v>
      </c>
      <c r="I5176" s="197" t="s">
        <v>8569</v>
      </c>
      <c r="J5176" s="148" t="s">
        <v>108</v>
      </c>
      <c r="K5176" s="148" t="s">
        <v>64</v>
      </c>
      <c r="L5176" s="148" t="s">
        <v>65</v>
      </c>
      <c r="M5176" s="148" t="s">
        <v>66</v>
      </c>
      <c r="N5176" s="159">
        <v>46231.0</v>
      </c>
      <c r="O5176" s="148" t="s">
        <v>67</v>
      </c>
      <c r="P5176" s="148" t="s">
        <v>68</v>
      </c>
      <c r="Q5176" s="103"/>
      <c r="R5176" s="103"/>
      <c r="S5176" s="103"/>
      <c r="T5176" s="103"/>
      <c r="U5176" s="148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1">
        <v>5171.0</v>
      </c>
      <c r="B5177" s="90" t="s">
        <v>8571</v>
      </c>
      <c r="C5177" s="82" t="str">
        <f>VLOOKUP($B$7:$B$5000,SUM!$L$6:$L$500,1,FALSE)</f>
        <v>#VALUE!</v>
      </c>
      <c r="D5177" s="271" t="s">
        <v>8539</v>
      </c>
      <c r="E5177" s="272" t="s">
        <v>58</v>
      </c>
      <c r="F5177" s="148" t="s">
        <v>105</v>
      </c>
      <c r="G5177" s="191" t="s">
        <v>8540</v>
      </c>
      <c r="H5177" s="199" t="s">
        <v>8546</v>
      </c>
      <c r="I5177" s="197" t="s">
        <v>8569</v>
      </c>
      <c r="J5177" s="148" t="s">
        <v>108</v>
      </c>
      <c r="K5177" s="148" t="s">
        <v>64</v>
      </c>
      <c r="L5177" s="148" t="s">
        <v>65</v>
      </c>
      <c r="M5177" s="148" t="s">
        <v>66</v>
      </c>
      <c r="N5177" s="159">
        <v>46231.0</v>
      </c>
      <c r="O5177" s="148" t="s">
        <v>67</v>
      </c>
      <c r="P5177" s="148" t="s">
        <v>68</v>
      </c>
      <c r="Q5177" s="103"/>
      <c r="R5177" s="103"/>
      <c r="S5177" s="103"/>
      <c r="T5177" s="103"/>
      <c r="U5177" s="148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1">
        <v>5172.0</v>
      </c>
      <c r="B5178" s="90" t="s">
        <v>8572</v>
      </c>
      <c r="C5178" s="82" t="str">
        <f>VLOOKUP($B$7:$B$5000,SUM!$L$6:$L$500,1,FALSE)</f>
        <v>#VALUE!</v>
      </c>
      <c r="D5178" s="271" t="s">
        <v>8539</v>
      </c>
      <c r="E5178" s="272" t="s">
        <v>58</v>
      </c>
      <c r="F5178" s="148" t="s">
        <v>105</v>
      </c>
      <c r="G5178" s="191" t="s">
        <v>1362</v>
      </c>
      <c r="H5178" s="199" t="s">
        <v>8548</v>
      </c>
      <c r="I5178" s="197" t="s">
        <v>8573</v>
      </c>
      <c r="J5178" s="148" t="s">
        <v>108</v>
      </c>
      <c r="K5178" s="148" t="s">
        <v>64</v>
      </c>
      <c r="L5178" s="148" t="s">
        <v>65</v>
      </c>
      <c r="M5178" s="148" t="s">
        <v>66</v>
      </c>
      <c r="N5178" s="159">
        <v>46231.0</v>
      </c>
      <c r="O5178" s="148" t="s">
        <v>67</v>
      </c>
      <c r="P5178" s="148" t="s">
        <v>68</v>
      </c>
      <c r="Q5178" s="103"/>
      <c r="R5178" s="103"/>
      <c r="S5178" s="103"/>
      <c r="T5178" s="103"/>
      <c r="U5178" s="148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1">
        <v>5173.0</v>
      </c>
      <c r="B5179" s="90" t="s">
        <v>8574</v>
      </c>
      <c r="C5179" s="82" t="str">
        <f>VLOOKUP($B$7:$B$5000,SUM!$L$6:$L$500,1,FALSE)</f>
        <v>#VALUE!</v>
      </c>
      <c r="D5179" s="271" t="s">
        <v>8539</v>
      </c>
      <c r="E5179" s="272" t="s">
        <v>58</v>
      </c>
      <c r="F5179" s="148" t="s">
        <v>105</v>
      </c>
      <c r="G5179" s="191" t="s">
        <v>1362</v>
      </c>
      <c r="H5179" s="199" t="s">
        <v>8551</v>
      </c>
      <c r="I5179" s="197" t="s">
        <v>8575</v>
      </c>
      <c r="J5179" s="148" t="s">
        <v>108</v>
      </c>
      <c r="K5179" s="148" t="s">
        <v>64</v>
      </c>
      <c r="L5179" s="148" t="s">
        <v>65</v>
      </c>
      <c r="M5179" s="148" t="s">
        <v>66</v>
      </c>
      <c r="N5179" s="159">
        <v>46231.0</v>
      </c>
      <c r="O5179" s="148" t="s">
        <v>67</v>
      </c>
      <c r="P5179" s="148" t="s">
        <v>68</v>
      </c>
      <c r="Q5179" s="103"/>
      <c r="R5179" s="103"/>
      <c r="S5179" s="103"/>
      <c r="T5179" s="103"/>
      <c r="U5179" s="148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1">
        <v>5174.0</v>
      </c>
      <c r="B5180" s="90" t="s">
        <v>8576</v>
      </c>
      <c r="C5180" s="82" t="str">
        <f>VLOOKUP($B$7:$B$5000,SUM!$L$6:$L$500,1,FALSE)</f>
        <v>#VALUE!</v>
      </c>
      <c r="D5180" s="271" t="s">
        <v>8539</v>
      </c>
      <c r="E5180" s="272" t="s">
        <v>58</v>
      </c>
      <c r="F5180" s="148" t="s">
        <v>105</v>
      </c>
      <c r="G5180" s="191" t="s">
        <v>8554</v>
      </c>
      <c r="H5180" s="199" t="s">
        <v>8555</v>
      </c>
      <c r="I5180" s="197" t="s">
        <v>8577</v>
      </c>
      <c r="J5180" s="148" t="s">
        <v>108</v>
      </c>
      <c r="K5180" s="148" t="s">
        <v>64</v>
      </c>
      <c r="L5180" s="148" t="s">
        <v>65</v>
      </c>
      <c r="M5180" s="148" t="s">
        <v>66</v>
      </c>
      <c r="N5180" s="159">
        <v>46231.0</v>
      </c>
      <c r="O5180" s="148" t="s">
        <v>67</v>
      </c>
      <c r="P5180" s="148" t="s">
        <v>68</v>
      </c>
      <c r="Q5180" s="103"/>
      <c r="R5180" s="103"/>
      <c r="S5180" s="103"/>
      <c r="T5180" s="103"/>
      <c r="U5180" s="148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1">
        <v>5175.0</v>
      </c>
      <c r="B5181" s="90" t="s">
        <v>8578</v>
      </c>
      <c r="C5181" s="82" t="str">
        <f>VLOOKUP($B$7:$B$5000,SUM!$L$6:$L$500,1,FALSE)</f>
        <v>#VALUE!</v>
      </c>
      <c r="D5181" s="190" t="s">
        <v>8579</v>
      </c>
      <c r="E5181" s="272" t="s">
        <v>58</v>
      </c>
      <c r="F5181" s="199" t="s">
        <v>8580</v>
      </c>
      <c r="G5181" s="191" t="s">
        <v>1362</v>
      </c>
      <c r="H5181" s="199" t="s">
        <v>6779</v>
      </c>
      <c r="I5181" s="197" t="s">
        <v>8581</v>
      </c>
      <c r="J5181" s="148" t="s">
        <v>63</v>
      </c>
      <c r="K5181" s="148" t="s">
        <v>64</v>
      </c>
      <c r="L5181" s="148" t="s">
        <v>65</v>
      </c>
      <c r="M5181" s="148" t="s">
        <v>66</v>
      </c>
      <c r="N5181" s="159">
        <v>46232.0</v>
      </c>
      <c r="O5181" s="148" t="s">
        <v>67</v>
      </c>
      <c r="P5181" s="148" t="s">
        <v>68</v>
      </c>
      <c r="Q5181" s="103"/>
      <c r="R5181" s="103"/>
      <c r="S5181" s="103"/>
      <c r="T5181" s="103"/>
      <c r="U5181" s="148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1">
        <v>5176.0</v>
      </c>
      <c r="B5182" s="90" t="s">
        <v>8582</v>
      </c>
      <c r="C5182" s="82" t="str">
        <f>VLOOKUP($B$7:$B$5000,SUM!$L$6:$L$500,1,FALSE)</f>
        <v>#VALUE!</v>
      </c>
      <c r="D5182" s="190" t="s">
        <v>8579</v>
      </c>
      <c r="E5182" s="272" t="s">
        <v>58</v>
      </c>
      <c r="F5182" s="199" t="s">
        <v>8580</v>
      </c>
      <c r="G5182" s="191" t="s">
        <v>1362</v>
      </c>
      <c r="H5182" s="199" t="s">
        <v>6782</v>
      </c>
      <c r="I5182" s="197" t="s">
        <v>8581</v>
      </c>
      <c r="J5182" s="148" t="s">
        <v>63</v>
      </c>
      <c r="K5182" s="148" t="s">
        <v>64</v>
      </c>
      <c r="L5182" s="148" t="s">
        <v>65</v>
      </c>
      <c r="M5182" s="148" t="s">
        <v>66</v>
      </c>
      <c r="N5182" s="159">
        <v>46232.0</v>
      </c>
      <c r="O5182" s="148" t="s">
        <v>67</v>
      </c>
      <c r="P5182" s="148" t="s">
        <v>68</v>
      </c>
      <c r="Q5182" s="103"/>
      <c r="R5182" s="103"/>
      <c r="S5182" s="103"/>
      <c r="T5182" s="103"/>
      <c r="U5182" s="148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1">
        <v>5177.0</v>
      </c>
      <c r="B5183" s="90" t="s">
        <v>8583</v>
      </c>
      <c r="C5183" s="82" t="str">
        <f>VLOOKUP($B$7:$B$5000,SUM!$L$6:$L$500,1,FALSE)</f>
        <v>#VALUE!</v>
      </c>
      <c r="D5183" s="190" t="s">
        <v>8579</v>
      </c>
      <c r="E5183" s="272" t="s">
        <v>58</v>
      </c>
      <c r="F5183" s="199" t="s">
        <v>8580</v>
      </c>
      <c r="G5183" s="191" t="s">
        <v>1362</v>
      </c>
      <c r="H5183" s="199" t="s">
        <v>6784</v>
      </c>
      <c r="I5183" s="197" t="s">
        <v>8581</v>
      </c>
      <c r="J5183" s="148" t="s">
        <v>63</v>
      </c>
      <c r="K5183" s="148" t="s">
        <v>64</v>
      </c>
      <c r="L5183" s="148" t="s">
        <v>65</v>
      </c>
      <c r="M5183" s="148" t="s">
        <v>66</v>
      </c>
      <c r="N5183" s="159">
        <v>46232.0</v>
      </c>
      <c r="O5183" s="148" t="s">
        <v>67</v>
      </c>
      <c r="P5183" s="148" t="s">
        <v>68</v>
      </c>
      <c r="Q5183" s="103"/>
      <c r="R5183" s="103"/>
      <c r="S5183" s="103"/>
      <c r="T5183" s="103"/>
      <c r="U5183" s="148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1">
        <v>5178.0</v>
      </c>
      <c r="B5184" s="90" t="s">
        <v>8584</v>
      </c>
      <c r="C5184" s="82" t="str">
        <f>VLOOKUP($B$7:$B$5000,SUM!$L$6:$L$500,1,FALSE)</f>
        <v>#VALUE!</v>
      </c>
      <c r="D5184" s="190" t="s">
        <v>8579</v>
      </c>
      <c r="E5184" s="272" t="s">
        <v>58</v>
      </c>
      <c r="F5184" s="199" t="s">
        <v>8580</v>
      </c>
      <c r="G5184" s="191" t="s">
        <v>1362</v>
      </c>
      <c r="H5184" s="199" t="s">
        <v>6786</v>
      </c>
      <c r="I5184" s="197" t="s">
        <v>8581</v>
      </c>
      <c r="J5184" s="148" t="s">
        <v>63</v>
      </c>
      <c r="K5184" s="148" t="s">
        <v>64</v>
      </c>
      <c r="L5184" s="148" t="s">
        <v>65</v>
      </c>
      <c r="M5184" s="148" t="s">
        <v>66</v>
      </c>
      <c r="N5184" s="159">
        <v>46232.0</v>
      </c>
      <c r="O5184" s="148" t="s">
        <v>67</v>
      </c>
      <c r="P5184" s="148" t="s">
        <v>68</v>
      </c>
      <c r="Q5184" s="103"/>
      <c r="R5184" s="103"/>
      <c r="S5184" s="103"/>
      <c r="T5184" s="103"/>
      <c r="U5184" s="148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1">
        <v>5179.0</v>
      </c>
      <c r="B5185" s="90" t="s">
        <v>8585</v>
      </c>
      <c r="C5185" s="82" t="str">
        <f>VLOOKUP($B$7:$B$5000,SUM!$L$6:$L$500,1,FALSE)</f>
        <v>#VALUE!</v>
      </c>
      <c r="D5185" s="190" t="s">
        <v>8579</v>
      </c>
      <c r="E5185" s="272" t="s">
        <v>58</v>
      </c>
      <c r="F5185" s="199" t="s">
        <v>8580</v>
      </c>
      <c r="G5185" s="191" t="s">
        <v>1362</v>
      </c>
      <c r="H5185" s="199" t="s">
        <v>6790</v>
      </c>
      <c r="I5185" s="197" t="s">
        <v>8581</v>
      </c>
      <c r="J5185" s="148" t="s">
        <v>63</v>
      </c>
      <c r="K5185" s="148" t="s">
        <v>64</v>
      </c>
      <c r="L5185" s="148" t="s">
        <v>65</v>
      </c>
      <c r="M5185" s="148" t="s">
        <v>66</v>
      </c>
      <c r="N5185" s="159">
        <v>46232.0</v>
      </c>
      <c r="O5185" s="148" t="s">
        <v>67</v>
      </c>
      <c r="P5185" s="148" t="s">
        <v>68</v>
      </c>
      <c r="Q5185" s="103"/>
      <c r="R5185" s="103"/>
      <c r="S5185" s="103"/>
      <c r="T5185" s="103"/>
      <c r="U5185" s="148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1">
        <v>5180.0</v>
      </c>
      <c r="B5186" s="90" t="s">
        <v>8586</v>
      </c>
      <c r="C5186" s="82" t="str">
        <f>VLOOKUP($B$7:$B$5000,SUM!$L$6:$L$500,1,FALSE)</f>
        <v>#VALUE!</v>
      </c>
      <c r="D5186" s="190" t="s">
        <v>8579</v>
      </c>
      <c r="E5186" s="272" t="s">
        <v>58</v>
      </c>
      <c r="F5186" s="199" t="s">
        <v>8580</v>
      </c>
      <c r="G5186" s="191" t="s">
        <v>1362</v>
      </c>
      <c r="H5186" s="199" t="s">
        <v>6792</v>
      </c>
      <c r="I5186" s="197" t="s">
        <v>8581</v>
      </c>
      <c r="J5186" s="148" t="s">
        <v>63</v>
      </c>
      <c r="K5186" s="148" t="s">
        <v>64</v>
      </c>
      <c r="L5186" s="148" t="s">
        <v>65</v>
      </c>
      <c r="M5186" s="148" t="s">
        <v>66</v>
      </c>
      <c r="N5186" s="159">
        <v>46232.0</v>
      </c>
      <c r="O5186" s="148" t="s">
        <v>67</v>
      </c>
      <c r="P5186" s="148" t="s">
        <v>68</v>
      </c>
      <c r="Q5186" s="103"/>
      <c r="R5186" s="103"/>
      <c r="S5186" s="103"/>
      <c r="T5186" s="103"/>
      <c r="U5186" s="148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1">
        <v>5181.0</v>
      </c>
      <c r="B5187" s="90" t="s">
        <v>8587</v>
      </c>
      <c r="C5187" s="82" t="str">
        <f>VLOOKUP($B$7:$B$5000,SUM!$L$6:$L$500,1,FALSE)</f>
        <v>#VALUE!</v>
      </c>
      <c r="D5187" s="190" t="s">
        <v>8579</v>
      </c>
      <c r="E5187" s="272" t="s">
        <v>58</v>
      </c>
      <c r="F5187" s="199" t="s">
        <v>8580</v>
      </c>
      <c r="G5187" s="191" t="s">
        <v>1362</v>
      </c>
      <c r="H5187" s="199" t="s">
        <v>6794</v>
      </c>
      <c r="I5187" s="197" t="s">
        <v>8581</v>
      </c>
      <c r="J5187" s="148" t="s">
        <v>63</v>
      </c>
      <c r="K5187" s="148" t="s">
        <v>64</v>
      </c>
      <c r="L5187" s="148" t="s">
        <v>65</v>
      </c>
      <c r="M5187" s="148" t="s">
        <v>66</v>
      </c>
      <c r="N5187" s="159">
        <v>46232.0</v>
      </c>
      <c r="O5187" s="148" t="s">
        <v>67</v>
      </c>
      <c r="P5187" s="148" t="s">
        <v>68</v>
      </c>
      <c r="Q5187" s="103"/>
      <c r="R5187" s="103"/>
      <c r="S5187" s="103"/>
      <c r="T5187" s="103"/>
      <c r="U5187" s="148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1">
        <v>5182.0</v>
      </c>
      <c r="B5188" s="90" t="s">
        <v>8588</v>
      </c>
      <c r="C5188" s="82" t="str">
        <f>VLOOKUP($B$7:$B$5000,SUM!$L$6:$L$500,1,FALSE)</f>
        <v>#VALUE!</v>
      </c>
      <c r="D5188" s="190" t="s">
        <v>8579</v>
      </c>
      <c r="E5188" s="272" t="s">
        <v>58</v>
      </c>
      <c r="F5188" s="199" t="s">
        <v>8580</v>
      </c>
      <c r="G5188" s="191" t="s">
        <v>1362</v>
      </c>
      <c r="H5188" s="199" t="s">
        <v>6796</v>
      </c>
      <c r="I5188" s="197" t="s">
        <v>8581</v>
      </c>
      <c r="J5188" s="148" t="s">
        <v>63</v>
      </c>
      <c r="K5188" s="148" t="s">
        <v>64</v>
      </c>
      <c r="L5188" s="148" t="s">
        <v>65</v>
      </c>
      <c r="M5188" s="148" t="s">
        <v>66</v>
      </c>
      <c r="N5188" s="159">
        <v>46232.0</v>
      </c>
      <c r="O5188" s="148" t="s">
        <v>67</v>
      </c>
      <c r="P5188" s="148" t="s">
        <v>68</v>
      </c>
      <c r="Q5188" s="103"/>
      <c r="R5188" s="103"/>
      <c r="S5188" s="103"/>
      <c r="T5188" s="103"/>
      <c r="U5188" s="148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1">
        <v>5183.0</v>
      </c>
      <c r="B5189" s="90" t="s">
        <v>8589</v>
      </c>
      <c r="C5189" s="82" t="str">
        <f>VLOOKUP($B$7:$B$5000,SUM!$L$6:$L$500,1,FALSE)</f>
        <v>#VALUE!</v>
      </c>
      <c r="D5189" s="190" t="s">
        <v>8579</v>
      </c>
      <c r="E5189" s="272" t="s">
        <v>58</v>
      </c>
      <c r="F5189" s="199" t="s">
        <v>8580</v>
      </c>
      <c r="G5189" s="191" t="s">
        <v>1362</v>
      </c>
      <c r="H5189" s="199" t="s">
        <v>6779</v>
      </c>
      <c r="I5189" s="197" t="s">
        <v>8590</v>
      </c>
      <c r="J5189" s="148" t="s">
        <v>74</v>
      </c>
      <c r="K5189" s="148" t="s">
        <v>64</v>
      </c>
      <c r="L5189" s="148" t="s">
        <v>65</v>
      </c>
      <c r="M5189" s="148" t="s">
        <v>66</v>
      </c>
      <c r="N5189" s="159">
        <v>46232.0</v>
      </c>
      <c r="O5189" s="148" t="s">
        <v>67</v>
      </c>
      <c r="P5189" s="148" t="s">
        <v>68</v>
      </c>
      <c r="Q5189" s="103"/>
      <c r="R5189" s="103"/>
      <c r="S5189" s="103"/>
      <c r="T5189" s="103"/>
      <c r="U5189" s="148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1">
        <v>5184.0</v>
      </c>
      <c r="B5190" s="90" t="s">
        <v>8591</v>
      </c>
      <c r="C5190" s="82" t="str">
        <f>VLOOKUP($B$7:$B$5000,SUM!$L$6:$L$500,1,FALSE)</f>
        <v>#VALUE!</v>
      </c>
      <c r="D5190" s="190" t="s">
        <v>8579</v>
      </c>
      <c r="E5190" s="272" t="s">
        <v>58</v>
      </c>
      <c r="F5190" s="199" t="s">
        <v>8580</v>
      </c>
      <c r="G5190" s="191" t="s">
        <v>1362</v>
      </c>
      <c r="H5190" s="199" t="s">
        <v>6782</v>
      </c>
      <c r="I5190" s="197" t="s">
        <v>8590</v>
      </c>
      <c r="J5190" s="148" t="s">
        <v>74</v>
      </c>
      <c r="K5190" s="148" t="s">
        <v>64</v>
      </c>
      <c r="L5190" s="148" t="s">
        <v>65</v>
      </c>
      <c r="M5190" s="148" t="s">
        <v>66</v>
      </c>
      <c r="N5190" s="159">
        <v>46232.0</v>
      </c>
      <c r="O5190" s="148" t="s">
        <v>67</v>
      </c>
      <c r="P5190" s="148" t="s">
        <v>68</v>
      </c>
      <c r="Q5190" s="103"/>
      <c r="R5190" s="103"/>
      <c r="S5190" s="103"/>
      <c r="T5190" s="103"/>
      <c r="U5190" s="148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1">
        <v>5185.0</v>
      </c>
      <c r="B5191" s="90" t="s">
        <v>8592</v>
      </c>
      <c r="C5191" s="82" t="str">
        <f>VLOOKUP($B$7:$B$5000,SUM!$L$6:$L$500,1,FALSE)</f>
        <v>#VALUE!</v>
      </c>
      <c r="D5191" s="190" t="s">
        <v>8579</v>
      </c>
      <c r="E5191" s="272" t="s">
        <v>58</v>
      </c>
      <c r="F5191" s="199" t="s">
        <v>8580</v>
      </c>
      <c r="G5191" s="191" t="s">
        <v>1362</v>
      </c>
      <c r="H5191" s="199" t="s">
        <v>6784</v>
      </c>
      <c r="I5191" s="197" t="s">
        <v>8590</v>
      </c>
      <c r="J5191" s="148" t="s">
        <v>74</v>
      </c>
      <c r="K5191" s="148" t="s">
        <v>64</v>
      </c>
      <c r="L5191" s="148" t="s">
        <v>65</v>
      </c>
      <c r="M5191" s="148" t="s">
        <v>66</v>
      </c>
      <c r="N5191" s="159">
        <v>46232.0</v>
      </c>
      <c r="O5191" s="148" t="s">
        <v>67</v>
      </c>
      <c r="P5191" s="148" t="s">
        <v>68</v>
      </c>
      <c r="Q5191" s="103"/>
      <c r="R5191" s="103"/>
      <c r="S5191" s="103"/>
      <c r="T5191" s="103"/>
      <c r="U5191" s="148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1">
        <v>5186.0</v>
      </c>
      <c r="B5192" s="90" t="s">
        <v>8593</v>
      </c>
      <c r="C5192" s="82" t="str">
        <f>VLOOKUP($B$7:$B$5000,SUM!$L$6:$L$500,1,FALSE)</f>
        <v>#VALUE!</v>
      </c>
      <c r="D5192" s="190" t="s">
        <v>8579</v>
      </c>
      <c r="E5192" s="272" t="s">
        <v>58</v>
      </c>
      <c r="F5192" s="199" t="s">
        <v>8580</v>
      </c>
      <c r="G5192" s="191" t="s">
        <v>1362</v>
      </c>
      <c r="H5192" s="199" t="s">
        <v>6786</v>
      </c>
      <c r="I5192" s="197" t="s">
        <v>8590</v>
      </c>
      <c r="J5192" s="148" t="s">
        <v>74</v>
      </c>
      <c r="K5192" s="148" t="s">
        <v>64</v>
      </c>
      <c r="L5192" s="148" t="s">
        <v>65</v>
      </c>
      <c r="M5192" s="148" t="s">
        <v>66</v>
      </c>
      <c r="N5192" s="159">
        <v>46232.0</v>
      </c>
      <c r="O5192" s="148" t="s">
        <v>67</v>
      </c>
      <c r="P5192" s="148" t="s">
        <v>68</v>
      </c>
      <c r="Q5192" s="103"/>
      <c r="R5192" s="103"/>
      <c r="S5192" s="103"/>
      <c r="T5192" s="103"/>
      <c r="U5192" s="148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1">
        <v>5187.0</v>
      </c>
      <c r="B5193" s="90" t="s">
        <v>8594</v>
      </c>
      <c r="C5193" s="82" t="str">
        <f>VLOOKUP($B$7:$B$5000,SUM!$L$6:$L$500,1,FALSE)</f>
        <v>#VALUE!</v>
      </c>
      <c r="D5193" s="190" t="s">
        <v>8579</v>
      </c>
      <c r="E5193" s="272" t="s">
        <v>58</v>
      </c>
      <c r="F5193" s="199" t="s">
        <v>8580</v>
      </c>
      <c r="G5193" s="191" t="s">
        <v>1362</v>
      </c>
      <c r="H5193" s="199" t="s">
        <v>6790</v>
      </c>
      <c r="I5193" s="197" t="s">
        <v>8590</v>
      </c>
      <c r="J5193" s="148" t="s">
        <v>74</v>
      </c>
      <c r="K5193" s="148" t="s">
        <v>64</v>
      </c>
      <c r="L5193" s="148" t="s">
        <v>65</v>
      </c>
      <c r="M5193" s="148" t="s">
        <v>66</v>
      </c>
      <c r="N5193" s="159">
        <v>46232.0</v>
      </c>
      <c r="O5193" s="148" t="s">
        <v>67</v>
      </c>
      <c r="P5193" s="148" t="s">
        <v>68</v>
      </c>
      <c r="Q5193" s="103"/>
      <c r="R5193" s="103"/>
      <c r="S5193" s="103"/>
      <c r="T5193" s="103"/>
      <c r="U5193" s="148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1">
        <v>5188.0</v>
      </c>
      <c r="B5194" s="90" t="s">
        <v>8595</v>
      </c>
      <c r="C5194" s="82" t="str">
        <f>VLOOKUP($B$7:$B$5000,SUM!$L$6:$L$500,1,FALSE)</f>
        <v>#VALUE!</v>
      </c>
      <c r="D5194" s="190" t="s">
        <v>8579</v>
      </c>
      <c r="E5194" s="272" t="s">
        <v>58</v>
      </c>
      <c r="F5194" s="199" t="s">
        <v>8580</v>
      </c>
      <c r="G5194" s="191" t="s">
        <v>1362</v>
      </c>
      <c r="H5194" s="199" t="s">
        <v>6792</v>
      </c>
      <c r="I5194" s="197" t="s">
        <v>8590</v>
      </c>
      <c r="J5194" s="148" t="s">
        <v>74</v>
      </c>
      <c r="K5194" s="148" t="s">
        <v>64</v>
      </c>
      <c r="L5194" s="148" t="s">
        <v>65</v>
      </c>
      <c r="M5194" s="148" t="s">
        <v>66</v>
      </c>
      <c r="N5194" s="159">
        <v>46232.0</v>
      </c>
      <c r="O5194" s="148" t="s">
        <v>67</v>
      </c>
      <c r="P5194" s="148" t="s">
        <v>68</v>
      </c>
      <c r="Q5194" s="103"/>
      <c r="R5194" s="103"/>
      <c r="S5194" s="103"/>
      <c r="T5194" s="103"/>
      <c r="U5194" s="148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1">
        <v>5189.0</v>
      </c>
      <c r="B5195" s="90" t="s">
        <v>8596</v>
      </c>
      <c r="C5195" s="82" t="str">
        <f>VLOOKUP($B$7:$B$5000,SUM!$L$6:$L$500,1,FALSE)</f>
        <v>#VALUE!</v>
      </c>
      <c r="D5195" s="190" t="s">
        <v>8579</v>
      </c>
      <c r="E5195" s="272" t="s">
        <v>58</v>
      </c>
      <c r="F5195" s="199" t="s">
        <v>8580</v>
      </c>
      <c r="G5195" s="191" t="s">
        <v>1362</v>
      </c>
      <c r="H5195" s="199" t="s">
        <v>6794</v>
      </c>
      <c r="I5195" s="197" t="s">
        <v>8590</v>
      </c>
      <c r="J5195" s="148" t="s">
        <v>74</v>
      </c>
      <c r="K5195" s="148" t="s">
        <v>64</v>
      </c>
      <c r="L5195" s="148" t="s">
        <v>65</v>
      </c>
      <c r="M5195" s="148" t="s">
        <v>66</v>
      </c>
      <c r="N5195" s="159">
        <v>46232.0</v>
      </c>
      <c r="O5195" s="148" t="s">
        <v>67</v>
      </c>
      <c r="P5195" s="148" t="s">
        <v>68</v>
      </c>
      <c r="Q5195" s="103"/>
      <c r="R5195" s="103"/>
      <c r="S5195" s="103"/>
      <c r="T5195" s="103"/>
      <c r="U5195" s="148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1">
        <v>5190.0</v>
      </c>
      <c r="B5196" s="90" t="s">
        <v>8597</v>
      </c>
      <c r="C5196" s="82" t="str">
        <f>VLOOKUP($B$7:$B$5000,SUM!$L$6:$L$500,1,FALSE)</f>
        <v>#VALUE!</v>
      </c>
      <c r="D5196" s="190" t="s">
        <v>8579</v>
      </c>
      <c r="E5196" s="272" t="s">
        <v>58</v>
      </c>
      <c r="F5196" s="199" t="s">
        <v>8580</v>
      </c>
      <c r="G5196" s="191" t="s">
        <v>1362</v>
      </c>
      <c r="H5196" s="199" t="s">
        <v>6796</v>
      </c>
      <c r="I5196" s="197" t="s">
        <v>8590</v>
      </c>
      <c r="J5196" s="148" t="s">
        <v>74</v>
      </c>
      <c r="K5196" s="148" t="s">
        <v>64</v>
      </c>
      <c r="L5196" s="148" t="s">
        <v>65</v>
      </c>
      <c r="M5196" s="148" t="s">
        <v>66</v>
      </c>
      <c r="N5196" s="159">
        <v>46232.0</v>
      </c>
      <c r="O5196" s="148" t="s">
        <v>67</v>
      </c>
      <c r="P5196" s="148" t="s">
        <v>68</v>
      </c>
      <c r="Q5196" s="103"/>
      <c r="R5196" s="103"/>
      <c r="S5196" s="103"/>
      <c r="T5196" s="103"/>
      <c r="U5196" s="148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1">
        <v>5191.0</v>
      </c>
      <c r="B5197" s="90" t="s">
        <v>8598</v>
      </c>
      <c r="C5197" s="82" t="str">
        <f>VLOOKUP($B$7:$B$5000,SUM!$L$6:$L$500,1,FALSE)</f>
        <v>#VALUE!</v>
      </c>
      <c r="D5197" s="190" t="s">
        <v>8599</v>
      </c>
      <c r="E5197" s="198" t="s">
        <v>58</v>
      </c>
      <c r="F5197" s="199" t="s">
        <v>8363</v>
      </c>
      <c r="G5197" s="189" t="s">
        <v>8364</v>
      </c>
      <c r="H5197" s="199" t="s">
        <v>8600</v>
      </c>
      <c r="I5197" s="197" t="s">
        <v>8366</v>
      </c>
      <c r="J5197" s="148" t="s">
        <v>63</v>
      </c>
      <c r="K5197" s="148" t="s">
        <v>4434</v>
      </c>
      <c r="L5197" s="148" t="s">
        <v>65</v>
      </c>
      <c r="M5197" s="148" t="s">
        <v>66</v>
      </c>
      <c r="N5197" s="278">
        <v>46232.0</v>
      </c>
      <c r="O5197" s="148" t="s">
        <v>67</v>
      </c>
      <c r="P5197" s="148" t="s">
        <v>68</v>
      </c>
      <c r="Q5197" s="103"/>
      <c r="R5197" s="103"/>
      <c r="S5197" s="103"/>
      <c r="T5197" s="103"/>
      <c r="U5197" s="148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1">
        <v>5192.0</v>
      </c>
      <c r="B5198" s="90" t="s">
        <v>8601</v>
      </c>
      <c r="C5198" s="82" t="str">
        <f>VLOOKUP($B$7:$B$5000,SUM!$L$6:$L$500,1,FALSE)</f>
        <v>#VALUE!</v>
      </c>
      <c r="D5198" s="190" t="s">
        <v>8599</v>
      </c>
      <c r="E5198" s="198" t="s">
        <v>58</v>
      </c>
      <c r="F5198" s="199" t="s">
        <v>8363</v>
      </c>
      <c r="G5198" s="191" t="s">
        <v>8364</v>
      </c>
      <c r="H5198" s="199" t="s">
        <v>8602</v>
      </c>
      <c r="I5198" s="197" t="s">
        <v>8366</v>
      </c>
      <c r="J5198" s="148" t="s">
        <v>63</v>
      </c>
      <c r="K5198" s="148" t="s">
        <v>4434</v>
      </c>
      <c r="L5198" s="148" t="s">
        <v>65</v>
      </c>
      <c r="M5198" s="148" t="s">
        <v>66</v>
      </c>
      <c r="N5198" s="278">
        <v>46232.0</v>
      </c>
      <c r="O5198" s="148" t="s">
        <v>67</v>
      </c>
      <c r="P5198" s="148" t="s">
        <v>68</v>
      </c>
      <c r="Q5198" s="103"/>
      <c r="R5198" s="103"/>
      <c r="S5198" s="103"/>
      <c r="T5198" s="103"/>
      <c r="U5198" s="148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1">
        <v>5193.0</v>
      </c>
      <c r="B5199" s="90" t="s">
        <v>8603</v>
      </c>
      <c r="C5199" s="82" t="str">
        <f>VLOOKUP($B$7:$B$5000,SUM!$L$6:$L$500,1,FALSE)</f>
        <v>#VALUE!</v>
      </c>
      <c r="D5199" s="190" t="s">
        <v>8604</v>
      </c>
      <c r="E5199" s="198" t="s">
        <v>58</v>
      </c>
      <c r="F5199" s="199" t="s">
        <v>8479</v>
      </c>
      <c r="G5199" s="191" t="s">
        <v>8605</v>
      </c>
      <c r="H5199" s="199" t="s">
        <v>8606</v>
      </c>
      <c r="I5199" s="197" t="s">
        <v>8607</v>
      </c>
      <c r="J5199" s="148" t="s">
        <v>63</v>
      </c>
      <c r="K5199" s="148" t="s">
        <v>64</v>
      </c>
      <c r="L5199" s="148" t="s">
        <v>65</v>
      </c>
      <c r="M5199" s="148" t="s">
        <v>66</v>
      </c>
      <c r="N5199" s="278">
        <v>46232.0</v>
      </c>
      <c r="O5199" s="148" t="s">
        <v>67</v>
      </c>
      <c r="P5199" s="148" t="s">
        <v>68</v>
      </c>
      <c r="Q5199" s="103"/>
      <c r="R5199" s="103"/>
      <c r="S5199" s="103"/>
      <c r="T5199" s="103"/>
      <c r="U5199" s="148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1">
        <v>5194.0</v>
      </c>
      <c r="B5200" s="90" t="s">
        <v>8608</v>
      </c>
      <c r="C5200" s="82" t="str">
        <f>VLOOKUP($B$7:$B$5000,SUM!$L$6:$L$500,1,FALSE)</f>
        <v>#VALUE!</v>
      </c>
      <c r="D5200" s="190" t="s">
        <v>8604</v>
      </c>
      <c r="E5200" s="198" t="s">
        <v>58</v>
      </c>
      <c r="F5200" s="199" t="s">
        <v>8479</v>
      </c>
      <c r="G5200" s="191" t="s">
        <v>8605</v>
      </c>
      <c r="H5200" s="199" t="s">
        <v>8609</v>
      </c>
      <c r="I5200" s="197" t="s">
        <v>8607</v>
      </c>
      <c r="J5200" s="148" t="s">
        <v>63</v>
      </c>
      <c r="K5200" s="148" t="s">
        <v>64</v>
      </c>
      <c r="L5200" s="148" t="s">
        <v>65</v>
      </c>
      <c r="M5200" s="148" t="s">
        <v>66</v>
      </c>
      <c r="N5200" s="278">
        <v>46232.0</v>
      </c>
      <c r="O5200" s="148" t="s">
        <v>67</v>
      </c>
      <c r="P5200" s="148" t="s">
        <v>68</v>
      </c>
      <c r="Q5200" s="103"/>
      <c r="R5200" s="103"/>
      <c r="S5200" s="103"/>
      <c r="T5200" s="103"/>
      <c r="U5200" s="148" t="s">
        <v>69</v>
      </c>
      <c r="V5200" s="131"/>
      <c r="W5200" s="90" t="s">
        <v>8610</v>
      </c>
      <c r="X5200" s="82" t="str">
        <f>VLOOKUP($B$7:$B$5000,SUM!$L$6:$L$500,1,FALSE)</f>
        <v>#VALUE!</v>
      </c>
      <c r="Y5200" s="171"/>
      <c r="Z5200" s="165"/>
      <c r="AA5200" s="81"/>
      <c r="AB5200" s="125"/>
      <c r="AC5200" s="81"/>
      <c r="AD5200" s="149"/>
    </row>
    <row r="5201" ht="18.0" customHeight="1">
      <c r="A5201" s="131">
        <f t="shared" ref="A5201:A5898" si="1">A5200+1</f>
        <v>5195</v>
      </c>
      <c r="B5201" s="90" t="s">
        <v>8610</v>
      </c>
      <c r="C5201" s="82" t="str">
        <f>VLOOKUP($B$7:$B$5000,SUM!$L$6:$L$500,1,FALSE)</f>
        <v>#VALUE!</v>
      </c>
      <c r="D5201" s="279" t="s">
        <v>8604</v>
      </c>
      <c r="E5201" s="198" t="s">
        <v>58</v>
      </c>
      <c r="F5201" s="199" t="s">
        <v>8479</v>
      </c>
      <c r="G5201" s="191" t="s">
        <v>8605</v>
      </c>
      <c r="H5201" s="199" t="s">
        <v>8611</v>
      </c>
      <c r="I5201" s="197" t="s">
        <v>8607</v>
      </c>
      <c r="J5201" s="148" t="s">
        <v>63</v>
      </c>
      <c r="K5201" s="148" t="s">
        <v>64</v>
      </c>
      <c r="L5201" s="148" t="s">
        <v>65</v>
      </c>
      <c r="M5201" s="148" t="s">
        <v>66</v>
      </c>
      <c r="N5201" s="278">
        <v>46232.0</v>
      </c>
      <c r="O5201" s="148" t="s">
        <v>67</v>
      </c>
      <c r="P5201" s="148" t="s">
        <v>68</v>
      </c>
      <c r="Q5201" s="103"/>
      <c r="R5201" s="103"/>
      <c r="S5201" s="103"/>
      <c r="T5201" s="103"/>
      <c r="U5201" s="148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1">
        <f t="shared" si="1"/>
        <v>5196</v>
      </c>
      <c r="B5202" s="90" t="s">
        <v>8612</v>
      </c>
      <c r="C5202" s="82" t="str">
        <f>VLOOKUP($B$7:$B$5000,SUM!$L$6:$L$500,1,FALSE)</f>
        <v>#VALUE!</v>
      </c>
      <c r="D5202" s="279" t="s">
        <v>8604</v>
      </c>
      <c r="E5202" s="198" t="s">
        <v>58</v>
      </c>
      <c r="F5202" s="199" t="s">
        <v>8479</v>
      </c>
      <c r="G5202" s="191" t="s">
        <v>8605</v>
      </c>
      <c r="H5202" s="199" t="s">
        <v>8613</v>
      </c>
      <c r="I5202" s="197" t="s">
        <v>8607</v>
      </c>
      <c r="J5202" s="148" t="s">
        <v>63</v>
      </c>
      <c r="K5202" s="148" t="s">
        <v>64</v>
      </c>
      <c r="L5202" s="148" t="s">
        <v>65</v>
      </c>
      <c r="M5202" s="148" t="s">
        <v>66</v>
      </c>
      <c r="N5202" s="278">
        <v>46232.0</v>
      </c>
      <c r="O5202" s="148" t="s">
        <v>67</v>
      </c>
      <c r="P5202" s="148" t="s">
        <v>68</v>
      </c>
      <c r="Q5202" s="103"/>
      <c r="R5202" s="103"/>
      <c r="S5202" s="103"/>
      <c r="T5202" s="103"/>
      <c r="U5202" s="148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1">
        <f t="shared" si="1"/>
        <v>5197</v>
      </c>
      <c r="B5203" s="90" t="s">
        <v>8614</v>
      </c>
      <c r="C5203" s="82" t="str">
        <f>VLOOKUP($B$7:$B$5000,SUM!$L$6:$L$500,1,FALSE)</f>
        <v>#VALUE!</v>
      </c>
      <c r="D5203" s="279" t="s">
        <v>8604</v>
      </c>
      <c r="E5203" s="198" t="s">
        <v>58</v>
      </c>
      <c r="F5203" s="199" t="s">
        <v>8479</v>
      </c>
      <c r="G5203" s="191" t="s">
        <v>8605</v>
      </c>
      <c r="H5203" s="199" t="s">
        <v>8615</v>
      </c>
      <c r="I5203" s="197" t="s">
        <v>8607</v>
      </c>
      <c r="J5203" s="148" t="s">
        <v>63</v>
      </c>
      <c r="K5203" s="148" t="s">
        <v>64</v>
      </c>
      <c r="L5203" s="148" t="s">
        <v>65</v>
      </c>
      <c r="M5203" s="148" t="s">
        <v>66</v>
      </c>
      <c r="N5203" s="278">
        <v>46232.0</v>
      </c>
      <c r="O5203" s="148" t="s">
        <v>67</v>
      </c>
      <c r="P5203" s="148" t="s">
        <v>68</v>
      </c>
      <c r="Q5203" s="103"/>
      <c r="R5203" s="103"/>
      <c r="S5203" s="103"/>
      <c r="T5203" s="103"/>
      <c r="U5203" s="148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1">
        <f t="shared" si="1"/>
        <v>5198</v>
      </c>
      <c r="B5204" s="90" t="s">
        <v>8616</v>
      </c>
      <c r="C5204" s="82" t="str">
        <f>VLOOKUP($B$7:$B$5000,SUM!$L$6:$L$500,1,FALSE)</f>
        <v>#VALUE!</v>
      </c>
      <c r="D5204" s="279" t="s">
        <v>8604</v>
      </c>
      <c r="E5204" s="198" t="s">
        <v>58</v>
      </c>
      <c r="F5204" s="199" t="s">
        <v>8479</v>
      </c>
      <c r="G5204" s="191" t="s">
        <v>8605</v>
      </c>
      <c r="H5204" s="199" t="s">
        <v>8617</v>
      </c>
      <c r="I5204" s="197" t="s">
        <v>8607</v>
      </c>
      <c r="J5204" s="148" t="s">
        <v>63</v>
      </c>
      <c r="K5204" s="148" t="s">
        <v>64</v>
      </c>
      <c r="L5204" s="148" t="s">
        <v>65</v>
      </c>
      <c r="M5204" s="148" t="s">
        <v>66</v>
      </c>
      <c r="N5204" s="278">
        <v>46232.0</v>
      </c>
      <c r="O5204" s="148" t="s">
        <v>67</v>
      </c>
      <c r="P5204" s="148" t="s">
        <v>68</v>
      </c>
      <c r="Q5204" s="103"/>
      <c r="R5204" s="103"/>
      <c r="S5204" s="103"/>
      <c r="T5204" s="103"/>
      <c r="U5204" s="148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1">
        <f t="shared" si="1"/>
        <v>5199</v>
      </c>
      <c r="B5205" s="90" t="s">
        <v>8618</v>
      </c>
      <c r="C5205" s="82" t="str">
        <f>VLOOKUP($B$7:$B$5000,SUM!$L$6:$L$500,1,FALSE)</f>
        <v>#VALUE!</v>
      </c>
      <c r="D5205" s="279" t="s">
        <v>8604</v>
      </c>
      <c r="E5205" s="198" t="s">
        <v>58</v>
      </c>
      <c r="F5205" s="199" t="s">
        <v>8479</v>
      </c>
      <c r="G5205" s="191" t="s">
        <v>8605</v>
      </c>
      <c r="H5205" s="199" t="s">
        <v>8619</v>
      </c>
      <c r="I5205" s="197" t="s">
        <v>8607</v>
      </c>
      <c r="J5205" s="148" t="s">
        <v>63</v>
      </c>
      <c r="K5205" s="148" t="s">
        <v>64</v>
      </c>
      <c r="L5205" s="148" t="s">
        <v>65</v>
      </c>
      <c r="M5205" s="148" t="s">
        <v>66</v>
      </c>
      <c r="N5205" s="278">
        <v>46232.0</v>
      </c>
      <c r="O5205" s="148" t="s">
        <v>67</v>
      </c>
      <c r="P5205" s="148" t="s">
        <v>68</v>
      </c>
      <c r="Q5205" s="103"/>
      <c r="R5205" s="103"/>
      <c r="S5205" s="103"/>
      <c r="T5205" s="103"/>
      <c r="U5205" s="148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1">
        <f t="shared" si="1"/>
        <v>5200</v>
      </c>
      <c r="B5206" s="90" t="s">
        <v>8620</v>
      </c>
      <c r="C5206" s="82" t="str">
        <f>VLOOKUP($B$7:$B$5000,SUM!$L$6:$L$500,1,FALSE)</f>
        <v>#VALUE!</v>
      </c>
      <c r="D5206" s="279" t="s">
        <v>8604</v>
      </c>
      <c r="E5206" s="198" t="s">
        <v>58</v>
      </c>
      <c r="F5206" s="199" t="s">
        <v>8479</v>
      </c>
      <c r="G5206" s="191" t="s">
        <v>8605</v>
      </c>
      <c r="H5206" s="199" t="s">
        <v>8621</v>
      </c>
      <c r="I5206" s="197" t="s">
        <v>8607</v>
      </c>
      <c r="J5206" s="148" t="s">
        <v>63</v>
      </c>
      <c r="K5206" s="148" t="s">
        <v>64</v>
      </c>
      <c r="L5206" s="148" t="s">
        <v>65</v>
      </c>
      <c r="M5206" s="148" t="s">
        <v>66</v>
      </c>
      <c r="N5206" s="278">
        <v>46232.0</v>
      </c>
      <c r="O5206" s="148" t="s">
        <v>67</v>
      </c>
      <c r="P5206" s="148" t="s">
        <v>68</v>
      </c>
      <c r="Q5206" s="103"/>
      <c r="R5206" s="103"/>
      <c r="S5206" s="103"/>
      <c r="T5206" s="103"/>
      <c r="U5206" s="148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1">
        <f t="shared" si="1"/>
        <v>5201</v>
      </c>
      <c r="B5207" s="90" t="s">
        <v>8622</v>
      </c>
      <c r="C5207" s="82" t="str">
        <f>VLOOKUP($B$7:$B$5000,SUM!$L$6:$L$500,1,FALSE)</f>
        <v>#VALUE!</v>
      </c>
      <c r="D5207" s="279" t="s">
        <v>8604</v>
      </c>
      <c r="E5207" s="198" t="s">
        <v>58</v>
      </c>
      <c r="F5207" s="199" t="s">
        <v>8479</v>
      </c>
      <c r="G5207" s="191" t="s">
        <v>8605</v>
      </c>
      <c r="H5207" s="199" t="s">
        <v>8623</v>
      </c>
      <c r="I5207" s="197" t="s">
        <v>8607</v>
      </c>
      <c r="J5207" s="148" t="s">
        <v>63</v>
      </c>
      <c r="K5207" s="148" t="s">
        <v>64</v>
      </c>
      <c r="L5207" s="148" t="s">
        <v>65</v>
      </c>
      <c r="M5207" s="148" t="s">
        <v>66</v>
      </c>
      <c r="N5207" s="278">
        <v>46232.0</v>
      </c>
      <c r="O5207" s="148" t="s">
        <v>67</v>
      </c>
      <c r="P5207" s="148" t="s">
        <v>68</v>
      </c>
      <c r="Q5207" s="103"/>
      <c r="R5207" s="103"/>
      <c r="S5207" s="103"/>
      <c r="T5207" s="103"/>
      <c r="U5207" s="148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1">
        <f t="shared" si="1"/>
        <v>5202</v>
      </c>
      <c r="B5208" s="90" t="s">
        <v>8624</v>
      </c>
      <c r="C5208" s="82" t="str">
        <f>VLOOKUP($B$7:$B$5000,SUM!$L$6:$L$500,1,FALSE)</f>
        <v>#VALUE!</v>
      </c>
      <c r="D5208" s="279" t="s">
        <v>8604</v>
      </c>
      <c r="E5208" s="198" t="s">
        <v>58</v>
      </c>
      <c r="F5208" s="199" t="s">
        <v>8479</v>
      </c>
      <c r="G5208" s="191" t="s">
        <v>8605</v>
      </c>
      <c r="H5208" s="199" t="s">
        <v>8625</v>
      </c>
      <c r="I5208" s="197" t="s">
        <v>8607</v>
      </c>
      <c r="J5208" s="148" t="s">
        <v>63</v>
      </c>
      <c r="K5208" s="148" t="s">
        <v>64</v>
      </c>
      <c r="L5208" s="148" t="s">
        <v>65</v>
      </c>
      <c r="M5208" s="148" t="s">
        <v>66</v>
      </c>
      <c r="N5208" s="278">
        <v>46232.0</v>
      </c>
      <c r="O5208" s="148" t="s">
        <v>67</v>
      </c>
      <c r="P5208" s="148" t="s">
        <v>68</v>
      </c>
      <c r="Q5208" s="103"/>
      <c r="R5208" s="103"/>
      <c r="S5208" s="103"/>
      <c r="T5208" s="103"/>
      <c r="U5208" s="148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1">
        <f t="shared" si="1"/>
        <v>5203</v>
      </c>
      <c r="B5209" s="90" t="s">
        <v>8626</v>
      </c>
      <c r="C5209" s="82" t="str">
        <f>VLOOKUP($B$7:$B$5000,SUM!$L$6:$L$500,1,FALSE)</f>
        <v>#VALUE!</v>
      </c>
      <c r="D5209" s="279" t="s">
        <v>8604</v>
      </c>
      <c r="E5209" s="198" t="s">
        <v>58</v>
      </c>
      <c r="F5209" s="199" t="s">
        <v>8479</v>
      </c>
      <c r="G5209" s="191" t="s">
        <v>8605</v>
      </c>
      <c r="H5209" s="199" t="s">
        <v>8627</v>
      </c>
      <c r="I5209" s="197" t="s">
        <v>8607</v>
      </c>
      <c r="J5209" s="148" t="s">
        <v>63</v>
      </c>
      <c r="K5209" s="148" t="s">
        <v>64</v>
      </c>
      <c r="L5209" s="148" t="s">
        <v>65</v>
      </c>
      <c r="M5209" s="148" t="s">
        <v>66</v>
      </c>
      <c r="N5209" s="278">
        <v>46232.0</v>
      </c>
      <c r="O5209" s="148" t="s">
        <v>67</v>
      </c>
      <c r="P5209" s="148" t="s">
        <v>68</v>
      </c>
      <c r="Q5209" s="103"/>
      <c r="R5209" s="103"/>
      <c r="S5209" s="103"/>
      <c r="T5209" s="103"/>
      <c r="U5209" s="148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1">
        <f t="shared" si="1"/>
        <v>5204</v>
      </c>
      <c r="B5210" s="90" t="s">
        <v>8628</v>
      </c>
      <c r="C5210" s="82" t="str">
        <f>VLOOKUP($B$7:$B$5000,SUM!$L$6:$L$500,1,FALSE)</f>
        <v>#VALUE!</v>
      </c>
      <c r="D5210" s="279" t="s">
        <v>8604</v>
      </c>
      <c r="E5210" s="198" t="s">
        <v>58</v>
      </c>
      <c r="F5210" s="199" t="s">
        <v>8479</v>
      </c>
      <c r="G5210" s="191" t="s">
        <v>5443</v>
      </c>
      <c r="H5210" s="199" t="s">
        <v>8629</v>
      </c>
      <c r="I5210" s="197" t="s">
        <v>8607</v>
      </c>
      <c r="J5210" s="148" t="s">
        <v>63</v>
      </c>
      <c r="K5210" s="148" t="s">
        <v>64</v>
      </c>
      <c r="L5210" s="148" t="s">
        <v>65</v>
      </c>
      <c r="M5210" s="148" t="s">
        <v>66</v>
      </c>
      <c r="N5210" s="278">
        <v>46232.0</v>
      </c>
      <c r="O5210" s="148" t="s">
        <v>67</v>
      </c>
      <c r="P5210" s="148" t="s">
        <v>68</v>
      </c>
      <c r="Q5210" s="103"/>
      <c r="R5210" s="103"/>
      <c r="S5210" s="103"/>
      <c r="T5210" s="103"/>
      <c r="U5210" s="148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1">
        <f t="shared" si="1"/>
        <v>5205</v>
      </c>
      <c r="B5211" s="90" t="s">
        <v>8630</v>
      </c>
      <c r="C5211" s="82" t="str">
        <f>VLOOKUP($B$7:$B$5000,SUM!$L$6:$L$500,1,FALSE)</f>
        <v>#VALUE!</v>
      </c>
      <c r="D5211" s="190" t="s">
        <v>8631</v>
      </c>
      <c r="E5211" s="198" t="s">
        <v>58</v>
      </c>
      <c r="F5211" s="199" t="s">
        <v>8632</v>
      </c>
      <c r="G5211" s="191" t="s">
        <v>8633</v>
      </c>
      <c r="H5211" s="199" t="s">
        <v>61</v>
      </c>
      <c r="I5211" s="221" t="s">
        <v>8634</v>
      </c>
      <c r="J5211" s="148" t="s">
        <v>74</v>
      </c>
      <c r="K5211" s="148" t="s">
        <v>4434</v>
      </c>
      <c r="L5211" s="148" t="s">
        <v>65</v>
      </c>
      <c r="M5211" s="148" t="s">
        <v>66</v>
      </c>
      <c r="N5211" s="278">
        <v>46232.0</v>
      </c>
      <c r="O5211" s="148" t="s">
        <v>67</v>
      </c>
      <c r="P5211" s="148" t="s">
        <v>68</v>
      </c>
      <c r="Q5211" s="103"/>
      <c r="R5211" s="103"/>
      <c r="S5211" s="103"/>
      <c r="T5211" s="103"/>
      <c r="U5211" s="148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1">
        <f t="shared" si="1"/>
        <v>5206</v>
      </c>
      <c r="B5212" s="90" t="s">
        <v>8635</v>
      </c>
      <c r="C5212" s="82" t="str">
        <f>VLOOKUP($B$7:$B$5000,SUM!$L$6:$L$500,1,FALSE)</f>
        <v>#VALUE!</v>
      </c>
      <c r="D5212" s="190" t="s">
        <v>8631</v>
      </c>
      <c r="E5212" s="198" t="s">
        <v>58</v>
      </c>
      <c r="F5212" s="199" t="s">
        <v>8632</v>
      </c>
      <c r="G5212" s="191" t="s">
        <v>8633</v>
      </c>
      <c r="H5212" s="199" t="s">
        <v>61</v>
      </c>
      <c r="I5212" s="223" t="s">
        <v>6033</v>
      </c>
      <c r="J5212" s="148" t="s">
        <v>108</v>
      </c>
      <c r="K5212" s="148" t="s">
        <v>4434</v>
      </c>
      <c r="L5212" s="148" t="s">
        <v>65</v>
      </c>
      <c r="M5212" s="148" t="s">
        <v>66</v>
      </c>
      <c r="N5212" s="278">
        <v>46232.0</v>
      </c>
      <c r="O5212" s="148" t="s">
        <v>67</v>
      </c>
      <c r="P5212" s="148" t="s">
        <v>68</v>
      </c>
      <c r="Q5212" s="103"/>
      <c r="R5212" s="103"/>
      <c r="S5212" s="103"/>
      <c r="T5212" s="103"/>
      <c r="U5212" s="148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1">
        <f t="shared" si="1"/>
        <v>5207</v>
      </c>
      <c r="B5213" s="90" t="s">
        <v>8636</v>
      </c>
      <c r="C5213" s="82" t="str">
        <f>VLOOKUP($B$7:$B$5000,SUM!$L$6:$L$500,1,FALSE)</f>
        <v>#VALUE!</v>
      </c>
      <c r="D5213" s="190" t="s">
        <v>8631</v>
      </c>
      <c r="E5213" s="198" t="s">
        <v>58</v>
      </c>
      <c r="F5213" s="199" t="s">
        <v>8632</v>
      </c>
      <c r="G5213" s="191" t="s">
        <v>8633</v>
      </c>
      <c r="H5213" s="199" t="s">
        <v>61</v>
      </c>
      <c r="I5213" s="223" t="s">
        <v>8637</v>
      </c>
      <c r="J5213" s="148" t="s">
        <v>63</v>
      </c>
      <c r="K5213" s="148" t="s">
        <v>4434</v>
      </c>
      <c r="L5213" s="148" t="s">
        <v>65</v>
      </c>
      <c r="M5213" s="148" t="s">
        <v>66</v>
      </c>
      <c r="N5213" s="278">
        <v>46232.0</v>
      </c>
      <c r="O5213" s="148" t="s">
        <v>67</v>
      </c>
      <c r="P5213" s="148" t="s">
        <v>68</v>
      </c>
      <c r="Q5213" s="103"/>
      <c r="R5213" s="103"/>
      <c r="S5213" s="103"/>
      <c r="T5213" s="103"/>
      <c r="U5213" s="148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1">
        <f t="shared" si="1"/>
        <v>5208</v>
      </c>
      <c r="B5214" s="90" t="s">
        <v>8638</v>
      </c>
      <c r="C5214" s="82" t="str">
        <f>VLOOKUP($B$7:$B$5000,SUM!$L$6:$L$500,1,FALSE)</f>
        <v>#VALUE!</v>
      </c>
      <c r="D5214" s="190" t="s">
        <v>8631</v>
      </c>
      <c r="E5214" s="198" t="s">
        <v>58</v>
      </c>
      <c r="F5214" s="199" t="s">
        <v>8632</v>
      </c>
      <c r="G5214" s="191" t="s">
        <v>8633</v>
      </c>
      <c r="H5214" s="199" t="s">
        <v>61</v>
      </c>
      <c r="I5214" s="223" t="s">
        <v>8639</v>
      </c>
      <c r="J5214" s="148" t="s">
        <v>74</v>
      </c>
      <c r="K5214" s="148" t="s">
        <v>4434</v>
      </c>
      <c r="L5214" s="148" t="s">
        <v>65</v>
      </c>
      <c r="M5214" s="148" t="s">
        <v>66</v>
      </c>
      <c r="N5214" s="278">
        <v>46232.0</v>
      </c>
      <c r="O5214" s="148" t="s">
        <v>67</v>
      </c>
      <c r="P5214" s="148" t="s">
        <v>68</v>
      </c>
      <c r="Q5214" s="103"/>
      <c r="R5214" s="103"/>
      <c r="S5214" s="103"/>
      <c r="T5214" s="103"/>
      <c r="U5214" s="148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1">
        <f t="shared" si="1"/>
        <v>5209</v>
      </c>
      <c r="B5215" s="90" t="s">
        <v>8640</v>
      </c>
      <c r="C5215" s="82" t="str">
        <f>VLOOKUP($B$7:$B$5000,SUM!$L$6:$L$500,1,FALSE)</f>
        <v>#VALUE!</v>
      </c>
      <c r="D5215" s="190" t="s">
        <v>8631</v>
      </c>
      <c r="E5215" s="280" t="s">
        <v>58</v>
      </c>
      <c r="F5215" s="199" t="s">
        <v>8632</v>
      </c>
      <c r="G5215" s="191" t="s">
        <v>8633</v>
      </c>
      <c r="H5215" s="199" t="s">
        <v>61</v>
      </c>
      <c r="I5215" s="281" t="s">
        <v>8641</v>
      </c>
      <c r="J5215" s="148" t="s">
        <v>74</v>
      </c>
      <c r="K5215" s="148" t="s">
        <v>4434</v>
      </c>
      <c r="L5215" s="148" t="s">
        <v>65</v>
      </c>
      <c r="M5215" s="148" t="s">
        <v>66</v>
      </c>
      <c r="N5215" s="278">
        <v>46232.0</v>
      </c>
      <c r="O5215" s="148" t="s">
        <v>67</v>
      </c>
      <c r="P5215" s="148" t="s">
        <v>68</v>
      </c>
      <c r="Q5215" s="103"/>
      <c r="R5215" s="103"/>
      <c r="S5215" s="103"/>
      <c r="T5215" s="103"/>
      <c r="U5215" s="148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1">
        <f t="shared" si="1"/>
        <v>5210</v>
      </c>
      <c r="B5216" s="90" t="s">
        <v>8642</v>
      </c>
      <c r="C5216" s="82" t="str">
        <f>VLOOKUP($B$7:$B$5000,SUM!$L$6:$L$500,1,FALSE)</f>
        <v>#VALUE!</v>
      </c>
      <c r="D5216" s="232" t="s">
        <v>8643</v>
      </c>
      <c r="E5216" s="191" t="s">
        <v>58</v>
      </c>
      <c r="F5216" s="199" t="s">
        <v>8479</v>
      </c>
      <c r="G5216" s="191" t="s">
        <v>8644</v>
      </c>
      <c r="H5216" s="199" t="s">
        <v>8645</v>
      </c>
      <c r="I5216" s="197" t="s">
        <v>8607</v>
      </c>
      <c r="J5216" s="148" t="s">
        <v>63</v>
      </c>
      <c r="K5216" s="148" t="s">
        <v>64</v>
      </c>
      <c r="L5216" s="148" t="s">
        <v>65</v>
      </c>
      <c r="M5216" s="148" t="s">
        <v>66</v>
      </c>
      <c r="N5216" s="278">
        <v>46233.0</v>
      </c>
      <c r="O5216" s="148" t="s">
        <v>67</v>
      </c>
      <c r="P5216" s="148" t="s">
        <v>68</v>
      </c>
      <c r="Q5216" s="103"/>
      <c r="R5216" s="103"/>
      <c r="S5216" s="103"/>
      <c r="T5216" s="103"/>
      <c r="U5216" s="148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1">
        <f t="shared" si="1"/>
        <v>5211</v>
      </c>
      <c r="B5217" s="97" t="s">
        <v>8646</v>
      </c>
      <c r="C5217" s="82" t="str">
        <f>VLOOKUP($B$7:$B$5000,SUM!$L$6:$L$500,1,FALSE)</f>
        <v>#VALUE!</v>
      </c>
      <c r="D5217" s="232" t="s">
        <v>8643</v>
      </c>
      <c r="E5217" s="191" t="s">
        <v>58</v>
      </c>
      <c r="F5217" s="199" t="s">
        <v>8479</v>
      </c>
      <c r="G5217" s="191" t="s">
        <v>8644</v>
      </c>
      <c r="H5217" s="199" t="s">
        <v>8647</v>
      </c>
      <c r="I5217" s="197" t="s">
        <v>8607</v>
      </c>
      <c r="J5217" s="148" t="s">
        <v>63</v>
      </c>
      <c r="K5217" s="148" t="s">
        <v>64</v>
      </c>
      <c r="L5217" s="148" t="s">
        <v>65</v>
      </c>
      <c r="M5217" s="148" t="s">
        <v>66</v>
      </c>
      <c r="N5217" s="278">
        <v>46233.0</v>
      </c>
      <c r="O5217" s="148" t="s">
        <v>67</v>
      </c>
      <c r="P5217" s="148" t="s">
        <v>68</v>
      </c>
      <c r="Q5217" s="103"/>
      <c r="R5217" s="103"/>
      <c r="S5217" s="103"/>
      <c r="T5217" s="103"/>
      <c r="U5217" s="148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1">
        <f t="shared" si="1"/>
        <v>5212</v>
      </c>
      <c r="B5218" s="97" t="s">
        <v>8648</v>
      </c>
      <c r="C5218" s="82" t="str">
        <f>VLOOKUP($B$7:$B$5000,SUM!$L$6:$L$500,1,FALSE)</f>
        <v>#VALUE!</v>
      </c>
      <c r="D5218" s="232" t="s">
        <v>8643</v>
      </c>
      <c r="E5218" s="191" t="s">
        <v>58</v>
      </c>
      <c r="F5218" s="199" t="s">
        <v>8479</v>
      </c>
      <c r="G5218" s="191" t="s">
        <v>8644</v>
      </c>
      <c r="H5218" s="199" t="s">
        <v>8649</v>
      </c>
      <c r="I5218" s="197" t="s">
        <v>8607</v>
      </c>
      <c r="J5218" s="148" t="s">
        <v>63</v>
      </c>
      <c r="K5218" s="148" t="s">
        <v>64</v>
      </c>
      <c r="L5218" s="148" t="s">
        <v>65</v>
      </c>
      <c r="M5218" s="148" t="s">
        <v>66</v>
      </c>
      <c r="N5218" s="278">
        <v>46233.0</v>
      </c>
      <c r="O5218" s="148" t="s">
        <v>67</v>
      </c>
      <c r="P5218" s="148" t="s">
        <v>68</v>
      </c>
      <c r="Q5218" s="103"/>
      <c r="R5218" s="103"/>
      <c r="S5218" s="103"/>
      <c r="T5218" s="103"/>
      <c r="U5218" s="148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1">
        <f t="shared" si="1"/>
        <v>5213</v>
      </c>
      <c r="B5219" s="97" t="s">
        <v>8650</v>
      </c>
      <c r="C5219" s="82" t="str">
        <f>VLOOKUP($B$7:$B$5000,SUM!$L$6:$L$500,1,FALSE)</f>
        <v>#VALUE!</v>
      </c>
      <c r="D5219" s="232" t="s">
        <v>8643</v>
      </c>
      <c r="E5219" s="191" t="s">
        <v>58</v>
      </c>
      <c r="F5219" s="199" t="s">
        <v>8479</v>
      </c>
      <c r="G5219" s="191" t="s">
        <v>8644</v>
      </c>
      <c r="H5219" s="199" t="s">
        <v>8651</v>
      </c>
      <c r="I5219" s="197" t="s">
        <v>8607</v>
      </c>
      <c r="J5219" s="148" t="s">
        <v>63</v>
      </c>
      <c r="K5219" s="148" t="s">
        <v>64</v>
      </c>
      <c r="L5219" s="148" t="s">
        <v>65</v>
      </c>
      <c r="M5219" s="148" t="s">
        <v>66</v>
      </c>
      <c r="N5219" s="278">
        <v>46233.0</v>
      </c>
      <c r="O5219" s="148" t="s">
        <v>67</v>
      </c>
      <c r="P5219" s="148" t="s">
        <v>68</v>
      </c>
      <c r="Q5219" s="103"/>
      <c r="R5219" s="103"/>
      <c r="S5219" s="103"/>
      <c r="T5219" s="103"/>
      <c r="U5219" s="148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1">
        <f t="shared" si="1"/>
        <v>5214</v>
      </c>
      <c r="B5220" s="97" t="s">
        <v>8652</v>
      </c>
      <c r="C5220" s="82" t="str">
        <f>VLOOKUP($B$7:$B$5000,SUM!$L$6:$L$500,1,FALSE)</f>
        <v>#VALUE!</v>
      </c>
      <c r="D5220" s="190" t="s">
        <v>8653</v>
      </c>
      <c r="E5220" s="191" t="s">
        <v>58</v>
      </c>
      <c r="F5220" s="199" t="s">
        <v>8580</v>
      </c>
      <c r="G5220" s="191" t="s">
        <v>1362</v>
      </c>
      <c r="H5220" s="199" t="s">
        <v>6358</v>
      </c>
      <c r="I5220" s="197" t="s">
        <v>8581</v>
      </c>
      <c r="J5220" s="148" t="s">
        <v>63</v>
      </c>
      <c r="K5220" s="148" t="s">
        <v>64</v>
      </c>
      <c r="L5220" s="148" t="s">
        <v>65</v>
      </c>
      <c r="M5220" s="148" t="s">
        <v>66</v>
      </c>
      <c r="N5220" s="278">
        <v>46235.0</v>
      </c>
      <c r="O5220" s="148" t="s">
        <v>67</v>
      </c>
      <c r="P5220" s="148" t="s">
        <v>68</v>
      </c>
      <c r="Q5220" s="103"/>
      <c r="R5220" s="103"/>
      <c r="S5220" s="103"/>
      <c r="T5220" s="103"/>
      <c r="U5220" s="148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1">
        <f t="shared" si="1"/>
        <v>5215</v>
      </c>
      <c r="B5221" s="97" t="s">
        <v>8654</v>
      </c>
      <c r="C5221" s="82" t="str">
        <f>VLOOKUP($B$7:$B$5000,SUM!$L$6:$L$500,1,FALSE)</f>
        <v>#VALUE!</v>
      </c>
      <c r="D5221" s="190" t="s">
        <v>8653</v>
      </c>
      <c r="E5221" s="191" t="s">
        <v>58</v>
      </c>
      <c r="F5221" s="199" t="s">
        <v>8580</v>
      </c>
      <c r="G5221" s="191" t="s">
        <v>1362</v>
      </c>
      <c r="H5221" s="199" t="s">
        <v>6762</v>
      </c>
      <c r="I5221" s="197" t="s">
        <v>8581</v>
      </c>
      <c r="J5221" s="148" t="s">
        <v>63</v>
      </c>
      <c r="K5221" s="148" t="s">
        <v>64</v>
      </c>
      <c r="L5221" s="148" t="s">
        <v>65</v>
      </c>
      <c r="M5221" s="148" t="s">
        <v>66</v>
      </c>
      <c r="N5221" s="278">
        <v>46235.0</v>
      </c>
      <c r="O5221" s="148" t="s">
        <v>67</v>
      </c>
      <c r="P5221" s="148" t="s">
        <v>68</v>
      </c>
      <c r="Q5221" s="103"/>
      <c r="R5221" s="103"/>
      <c r="S5221" s="103"/>
      <c r="T5221" s="103"/>
      <c r="U5221" s="148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1">
        <f t="shared" si="1"/>
        <v>5216</v>
      </c>
      <c r="B5222" s="97" t="s">
        <v>8655</v>
      </c>
      <c r="C5222" s="82" t="str">
        <f>VLOOKUP($B$7:$B$5000,SUM!$L$6:$L$500,1,FALSE)</f>
        <v>#VALUE!</v>
      </c>
      <c r="D5222" s="190" t="s">
        <v>8653</v>
      </c>
      <c r="E5222" s="191" t="s">
        <v>58</v>
      </c>
      <c r="F5222" s="199" t="s">
        <v>8580</v>
      </c>
      <c r="G5222" s="191" t="s">
        <v>1362</v>
      </c>
      <c r="H5222" s="199" t="s">
        <v>6765</v>
      </c>
      <c r="I5222" s="197" t="s">
        <v>8581</v>
      </c>
      <c r="J5222" s="148" t="s">
        <v>63</v>
      </c>
      <c r="K5222" s="148" t="s">
        <v>64</v>
      </c>
      <c r="L5222" s="148" t="s">
        <v>65</v>
      </c>
      <c r="M5222" s="148" t="s">
        <v>66</v>
      </c>
      <c r="N5222" s="278">
        <v>46235.0</v>
      </c>
      <c r="O5222" s="148" t="s">
        <v>67</v>
      </c>
      <c r="P5222" s="148" t="s">
        <v>68</v>
      </c>
      <c r="Q5222" s="103"/>
      <c r="R5222" s="103"/>
      <c r="S5222" s="103"/>
      <c r="T5222" s="103"/>
      <c r="U5222" s="148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1">
        <f t="shared" si="1"/>
        <v>5217</v>
      </c>
      <c r="B5223" s="97" t="s">
        <v>8656</v>
      </c>
      <c r="C5223" s="82" t="str">
        <f>VLOOKUP($B$7:$B$5000,SUM!$L$6:$L$500,1,FALSE)</f>
        <v>#VALUE!</v>
      </c>
      <c r="D5223" s="190" t="s">
        <v>8653</v>
      </c>
      <c r="E5223" s="191" t="s">
        <v>58</v>
      </c>
      <c r="F5223" s="199" t="s">
        <v>8580</v>
      </c>
      <c r="G5223" s="191" t="s">
        <v>1362</v>
      </c>
      <c r="H5223" s="199" t="s">
        <v>1827</v>
      </c>
      <c r="I5223" s="197" t="s">
        <v>8657</v>
      </c>
      <c r="J5223" s="148" t="s">
        <v>63</v>
      </c>
      <c r="K5223" s="148" t="s">
        <v>64</v>
      </c>
      <c r="L5223" s="148" t="s">
        <v>65</v>
      </c>
      <c r="M5223" s="148" t="s">
        <v>66</v>
      </c>
      <c r="N5223" s="278">
        <v>46235.0</v>
      </c>
      <c r="O5223" s="148" t="s">
        <v>67</v>
      </c>
      <c r="P5223" s="148" t="s">
        <v>68</v>
      </c>
      <c r="Q5223" s="103"/>
      <c r="R5223" s="103"/>
      <c r="S5223" s="103"/>
      <c r="T5223" s="103"/>
      <c r="U5223" s="148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1">
        <f t="shared" si="1"/>
        <v>5218</v>
      </c>
      <c r="B5224" s="97" t="s">
        <v>8658</v>
      </c>
      <c r="C5224" s="82" t="str">
        <f>VLOOKUP($B$7:$B$5000,SUM!$L$6:$L$500,1,FALSE)</f>
        <v>#VALUE!</v>
      </c>
      <c r="D5224" s="190" t="s">
        <v>8653</v>
      </c>
      <c r="E5224" s="191" t="s">
        <v>58</v>
      </c>
      <c r="F5224" s="199" t="s">
        <v>8580</v>
      </c>
      <c r="G5224" s="191" t="s">
        <v>1362</v>
      </c>
      <c r="H5224" s="199" t="s">
        <v>1830</v>
      </c>
      <c r="I5224" s="197" t="s">
        <v>8657</v>
      </c>
      <c r="J5224" s="148" t="s">
        <v>63</v>
      </c>
      <c r="K5224" s="148" t="s">
        <v>64</v>
      </c>
      <c r="L5224" s="148" t="s">
        <v>65</v>
      </c>
      <c r="M5224" s="148" t="s">
        <v>66</v>
      </c>
      <c r="N5224" s="278">
        <v>46235.0</v>
      </c>
      <c r="O5224" s="148" t="s">
        <v>67</v>
      </c>
      <c r="P5224" s="148" t="s">
        <v>68</v>
      </c>
      <c r="Q5224" s="103"/>
      <c r="R5224" s="103"/>
      <c r="S5224" s="103"/>
      <c r="T5224" s="103"/>
      <c r="U5224" s="148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1">
        <f t="shared" si="1"/>
        <v>5219</v>
      </c>
      <c r="B5225" s="97" t="s">
        <v>8659</v>
      </c>
      <c r="C5225" s="82" t="str">
        <f>VLOOKUP($B$7:$B$5000,SUM!$L$6:$L$500,1,FALSE)</f>
        <v>#VALUE!</v>
      </c>
      <c r="D5225" s="190" t="s">
        <v>8653</v>
      </c>
      <c r="E5225" s="191" t="s">
        <v>58</v>
      </c>
      <c r="F5225" s="199" t="s">
        <v>8580</v>
      </c>
      <c r="G5225" s="191" t="s">
        <v>1362</v>
      </c>
      <c r="H5225" s="199" t="s">
        <v>1832</v>
      </c>
      <c r="I5225" s="197" t="s">
        <v>8657</v>
      </c>
      <c r="J5225" s="148" t="s">
        <v>63</v>
      </c>
      <c r="K5225" s="148" t="s">
        <v>64</v>
      </c>
      <c r="L5225" s="148" t="s">
        <v>65</v>
      </c>
      <c r="M5225" s="148" t="s">
        <v>66</v>
      </c>
      <c r="N5225" s="278">
        <v>46235.0</v>
      </c>
      <c r="O5225" s="148" t="s">
        <v>67</v>
      </c>
      <c r="P5225" s="148" t="s">
        <v>68</v>
      </c>
      <c r="Q5225" s="103"/>
      <c r="R5225" s="103"/>
      <c r="S5225" s="103"/>
      <c r="T5225" s="103"/>
      <c r="U5225" s="148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1">
        <f t="shared" si="1"/>
        <v>5220</v>
      </c>
      <c r="B5226" s="97" t="s">
        <v>8660</v>
      </c>
      <c r="C5226" s="82" t="str">
        <f>VLOOKUP($B$7:$B$5000,SUM!$L$6:$L$500,1,FALSE)</f>
        <v>#VALUE!</v>
      </c>
      <c r="D5226" s="190" t="s">
        <v>8653</v>
      </c>
      <c r="E5226" s="191" t="s">
        <v>58</v>
      </c>
      <c r="F5226" s="199" t="s">
        <v>8580</v>
      </c>
      <c r="G5226" s="191" t="s">
        <v>1362</v>
      </c>
      <c r="H5226" s="199" t="s">
        <v>6767</v>
      </c>
      <c r="I5226" s="197" t="s">
        <v>8581</v>
      </c>
      <c r="J5226" s="148" t="s">
        <v>63</v>
      </c>
      <c r="K5226" s="148" t="s">
        <v>64</v>
      </c>
      <c r="L5226" s="148" t="s">
        <v>65</v>
      </c>
      <c r="M5226" s="148" t="s">
        <v>66</v>
      </c>
      <c r="N5226" s="278">
        <v>46235.0</v>
      </c>
      <c r="O5226" s="148" t="s">
        <v>67</v>
      </c>
      <c r="P5226" s="148" t="s">
        <v>68</v>
      </c>
      <c r="Q5226" s="103"/>
      <c r="R5226" s="103"/>
      <c r="S5226" s="103"/>
      <c r="T5226" s="103"/>
      <c r="U5226" s="148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1">
        <f t="shared" si="1"/>
        <v>5221</v>
      </c>
      <c r="B5227" s="97" t="s">
        <v>8661</v>
      </c>
      <c r="C5227" s="82" t="str">
        <f>VLOOKUP($B$7:$B$5000,SUM!$L$6:$L$500,1,FALSE)</f>
        <v>#VALUE!</v>
      </c>
      <c r="D5227" s="190" t="s">
        <v>8653</v>
      </c>
      <c r="E5227" s="191" t="s">
        <v>58</v>
      </c>
      <c r="F5227" s="199" t="s">
        <v>8580</v>
      </c>
      <c r="G5227" s="191" t="s">
        <v>1362</v>
      </c>
      <c r="H5227" s="199" t="s">
        <v>1983</v>
      </c>
      <c r="I5227" s="197" t="s">
        <v>8662</v>
      </c>
      <c r="J5227" s="148" t="s">
        <v>63</v>
      </c>
      <c r="K5227" s="148" t="s">
        <v>64</v>
      </c>
      <c r="L5227" s="148" t="s">
        <v>65</v>
      </c>
      <c r="M5227" s="148" t="s">
        <v>66</v>
      </c>
      <c r="N5227" s="278">
        <v>46235.0</v>
      </c>
      <c r="O5227" s="148" t="s">
        <v>67</v>
      </c>
      <c r="P5227" s="148" t="s">
        <v>68</v>
      </c>
      <c r="Q5227" s="103"/>
      <c r="R5227" s="103"/>
      <c r="S5227" s="103"/>
      <c r="T5227" s="103"/>
      <c r="U5227" s="148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1">
        <f t="shared" si="1"/>
        <v>5222</v>
      </c>
      <c r="B5228" s="97" t="s">
        <v>8663</v>
      </c>
      <c r="C5228" s="82" t="str">
        <f>VLOOKUP($B$7:$B$5000,SUM!$L$6:$L$500,1,FALSE)</f>
        <v>#VALUE!</v>
      </c>
      <c r="D5228" s="190" t="s">
        <v>8653</v>
      </c>
      <c r="E5228" s="191" t="s">
        <v>58</v>
      </c>
      <c r="F5228" s="199" t="s">
        <v>8580</v>
      </c>
      <c r="G5228" s="191" t="s">
        <v>1362</v>
      </c>
      <c r="H5228" s="199" t="s">
        <v>1985</v>
      </c>
      <c r="I5228" s="197" t="s">
        <v>8662</v>
      </c>
      <c r="J5228" s="148" t="s">
        <v>63</v>
      </c>
      <c r="K5228" s="148" t="s">
        <v>64</v>
      </c>
      <c r="L5228" s="148" t="s">
        <v>65</v>
      </c>
      <c r="M5228" s="148" t="s">
        <v>66</v>
      </c>
      <c r="N5228" s="278">
        <v>46235.0</v>
      </c>
      <c r="O5228" s="148" t="s">
        <v>67</v>
      </c>
      <c r="P5228" s="148" t="s">
        <v>68</v>
      </c>
      <c r="Q5228" s="103"/>
      <c r="R5228" s="103"/>
      <c r="S5228" s="103"/>
      <c r="T5228" s="103"/>
      <c r="U5228" s="148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1">
        <f t="shared" si="1"/>
        <v>5223</v>
      </c>
      <c r="B5229" s="97" t="s">
        <v>8664</v>
      </c>
      <c r="C5229" s="82" t="str">
        <f>VLOOKUP($B$7:$B$5000,SUM!$L$6:$L$500,1,FALSE)</f>
        <v>#VALUE!</v>
      </c>
      <c r="D5229" s="219" t="s">
        <v>8665</v>
      </c>
      <c r="E5229" s="191" t="s">
        <v>58</v>
      </c>
      <c r="F5229" s="199" t="s">
        <v>8363</v>
      </c>
      <c r="G5229" s="191" t="s">
        <v>8666</v>
      </c>
      <c r="H5229" s="282" t="s">
        <v>8667</v>
      </c>
      <c r="I5229" s="197" t="s">
        <v>8366</v>
      </c>
      <c r="J5229" s="148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48"/>
      <c r="V5229" s="9"/>
      <c r="W5229" s="9"/>
      <c r="X5229" s="9"/>
      <c r="Y5229" s="9"/>
      <c r="Z5229" s="9"/>
      <c r="AA5229" s="9"/>
      <c r="AB5229" s="9"/>
    </row>
    <row r="5230" ht="18.0" customHeight="1">
      <c r="A5230" s="131">
        <f t="shared" si="1"/>
        <v>5224</v>
      </c>
      <c r="B5230" s="97" t="s">
        <v>8668</v>
      </c>
      <c r="C5230" s="82" t="str">
        <f>VLOOKUP($B$7:$B$5000,SUM!$L$6:$L$500,1,FALSE)</f>
        <v>#VALUE!</v>
      </c>
      <c r="D5230" s="219" t="s">
        <v>8665</v>
      </c>
      <c r="E5230" s="191" t="s">
        <v>58</v>
      </c>
      <c r="F5230" s="199" t="s">
        <v>8363</v>
      </c>
      <c r="G5230" s="191" t="s">
        <v>8666</v>
      </c>
      <c r="H5230" s="282" t="s">
        <v>8669</v>
      </c>
      <c r="I5230" s="197" t="s">
        <v>8366</v>
      </c>
      <c r="J5230" s="148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1">
        <f t="shared" si="1"/>
        <v>5225</v>
      </c>
      <c r="B5231" s="97" t="s">
        <v>8670</v>
      </c>
      <c r="C5231" s="82" t="str">
        <f>VLOOKUP($B$7:$B$5000,SUM!$L$6:$L$500,1,FALSE)</f>
        <v>#VALUE!</v>
      </c>
      <c r="D5231" s="219" t="s">
        <v>8665</v>
      </c>
      <c r="E5231" s="191" t="s">
        <v>58</v>
      </c>
      <c r="F5231" s="199" t="s">
        <v>8363</v>
      </c>
      <c r="G5231" s="191" t="s">
        <v>8666</v>
      </c>
      <c r="H5231" s="282" t="s">
        <v>8671</v>
      </c>
      <c r="I5231" s="197" t="s">
        <v>8366</v>
      </c>
      <c r="J5231" s="148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1">
        <f t="shared" si="1"/>
        <v>5226</v>
      </c>
      <c r="B5232" s="97" t="s">
        <v>8672</v>
      </c>
      <c r="C5232" s="82" t="str">
        <f>VLOOKUP($B$7:$B$5000,SUM!$L$6:$L$500,1,FALSE)</f>
        <v>#VALUE!</v>
      </c>
      <c r="D5232" s="219" t="s">
        <v>8665</v>
      </c>
      <c r="E5232" s="191" t="s">
        <v>58</v>
      </c>
      <c r="F5232" s="199" t="s">
        <v>8363</v>
      </c>
      <c r="G5232" s="191" t="s">
        <v>8666</v>
      </c>
      <c r="H5232" s="282" t="s">
        <v>8673</v>
      </c>
      <c r="I5232" s="197" t="s">
        <v>8366</v>
      </c>
      <c r="J5232" s="148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1">
        <f t="shared" si="1"/>
        <v>5227</v>
      </c>
      <c r="B5233" s="97" t="s">
        <v>8674</v>
      </c>
      <c r="C5233" s="82" t="str">
        <f>VLOOKUP($B$7:$B$5000,SUM!$L$6:$L$500,1,FALSE)</f>
        <v>#VALUE!</v>
      </c>
      <c r="D5233" s="219" t="s">
        <v>8665</v>
      </c>
      <c r="E5233" s="191" t="s">
        <v>58</v>
      </c>
      <c r="F5233" s="199" t="s">
        <v>8363</v>
      </c>
      <c r="G5233" s="191" t="s">
        <v>8666</v>
      </c>
      <c r="H5233" s="282" t="s">
        <v>8675</v>
      </c>
      <c r="I5233" s="197" t="s">
        <v>8366</v>
      </c>
      <c r="J5233" s="148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1">
        <f t="shared" si="1"/>
        <v>5228</v>
      </c>
      <c r="B5234" s="97" t="s">
        <v>8676</v>
      </c>
      <c r="C5234" s="82" t="str">
        <f>VLOOKUP($B$7:$B$5000,SUM!$L$6:$L$500,1,FALSE)</f>
        <v>#VALUE!</v>
      </c>
      <c r="D5234" s="219" t="s">
        <v>8665</v>
      </c>
      <c r="E5234" s="191" t="s">
        <v>58</v>
      </c>
      <c r="F5234" s="199" t="s">
        <v>8363</v>
      </c>
      <c r="G5234" s="191" t="s">
        <v>8666</v>
      </c>
      <c r="H5234" s="282" t="s">
        <v>8677</v>
      </c>
      <c r="I5234" s="197" t="s">
        <v>8366</v>
      </c>
      <c r="J5234" s="148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1">
        <f t="shared" si="1"/>
        <v>5229</v>
      </c>
      <c r="B5235" s="97" t="s">
        <v>8678</v>
      </c>
      <c r="C5235" s="82" t="str">
        <f>VLOOKUP($B$7:$B$5000,SUM!$L$6:$L$500,1,FALSE)</f>
        <v>#VALUE!</v>
      </c>
      <c r="D5235" s="232" t="s">
        <v>8679</v>
      </c>
      <c r="E5235" s="191" t="s">
        <v>58</v>
      </c>
      <c r="F5235" s="199" t="s">
        <v>8479</v>
      </c>
      <c r="G5235" s="191" t="s">
        <v>5443</v>
      </c>
      <c r="H5235" s="199" t="s">
        <v>8680</v>
      </c>
      <c r="I5235" s="197" t="s">
        <v>8607</v>
      </c>
      <c r="J5235" s="148" t="s">
        <v>63</v>
      </c>
      <c r="K5235" s="148" t="s">
        <v>64</v>
      </c>
      <c r="L5235" s="148" t="s">
        <v>65</v>
      </c>
      <c r="M5235" s="148" t="s">
        <v>66</v>
      </c>
      <c r="N5235" s="278">
        <v>46235.0</v>
      </c>
      <c r="O5235" s="148" t="s">
        <v>67</v>
      </c>
      <c r="P5235" s="148" t="s">
        <v>68</v>
      </c>
      <c r="Q5235" s="103"/>
      <c r="R5235" s="103"/>
      <c r="S5235" s="103"/>
      <c r="T5235" s="103"/>
      <c r="U5235" s="148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1">
        <f t="shared" si="1"/>
        <v>5230</v>
      </c>
      <c r="B5236" s="97" t="s">
        <v>8681</v>
      </c>
      <c r="C5236" s="82" t="str">
        <f>VLOOKUP($B$7:$B$5000,SUM!$L$6:$L$500,1,FALSE)</f>
        <v>#VALUE!</v>
      </c>
      <c r="D5236" s="232" t="s">
        <v>8679</v>
      </c>
      <c r="E5236" s="191" t="s">
        <v>58</v>
      </c>
      <c r="F5236" s="199" t="s">
        <v>8479</v>
      </c>
      <c r="G5236" s="191" t="s">
        <v>5443</v>
      </c>
      <c r="H5236" s="199" t="s">
        <v>8682</v>
      </c>
      <c r="I5236" s="197" t="s">
        <v>8607</v>
      </c>
      <c r="J5236" s="148" t="s">
        <v>63</v>
      </c>
      <c r="K5236" s="148" t="s">
        <v>64</v>
      </c>
      <c r="L5236" s="148" t="s">
        <v>65</v>
      </c>
      <c r="M5236" s="148" t="s">
        <v>66</v>
      </c>
      <c r="N5236" s="278">
        <v>46235.0</v>
      </c>
      <c r="O5236" s="148" t="s">
        <v>67</v>
      </c>
      <c r="P5236" s="148" t="s">
        <v>68</v>
      </c>
      <c r="Q5236" s="103"/>
      <c r="R5236" s="103"/>
      <c r="S5236" s="103"/>
      <c r="T5236" s="103"/>
      <c r="U5236" s="148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1">
        <f t="shared" si="1"/>
        <v>5231</v>
      </c>
      <c r="B5237" s="97" t="s">
        <v>8683</v>
      </c>
      <c r="C5237" s="82" t="str">
        <f>VLOOKUP($B$7:$B$5000,SUM!$L$6:$L$500,1,FALSE)</f>
        <v>#VALUE!</v>
      </c>
      <c r="D5237" s="232" t="s">
        <v>8679</v>
      </c>
      <c r="E5237" s="191" t="s">
        <v>58</v>
      </c>
      <c r="F5237" s="199" t="s">
        <v>8479</v>
      </c>
      <c r="G5237" s="191" t="s">
        <v>5443</v>
      </c>
      <c r="H5237" s="199" t="s">
        <v>8684</v>
      </c>
      <c r="I5237" s="197" t="s">
        <v>8607</v>
      </c>
      <c r="J5237" s="148" t="s">
        <v>63</v>
      </c>
      <c r="K5237" s="148" t="s">
        <v>64</v>
      </c>
      <c r="L5237" s="148" t="s">
        <v>65</v>
      </c>
      <c r="M5237" s="148" t="s">
        <v>66</v>
      </c>
      <c r="N5237" s="278">
        <v>46235.0</v>
      </c>
      <c r="O5237" s="148" t="s">
        <v>67</v>
      </c>
      <c r="P5237" s="148" t="s">
        <v>68</v>
      </c>
      <c r="Q5237" s="103"/>
      <c r="R5237" s="103"/>
      <c r="S5237" s="103"/>
      <c r="T5237" s="103"/>
      <c r="U5237" s="148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1">
        <f t="shared" si="1"/>
        <v>5232</v>
      </c>
      <c r="B5238" s="97" t="s">
        <v>8685</v>
      </c>
      <c r="C5238" s="82" t="str">
        <f>VLOOKUP($B$7:$B$5000,SUM!$L$6:$L$500,1,FALSE)</f>
        <v>#VALUE!</v>
      </c>
      <c r="D5238" s="232" t="s">
        <v>8679</v>
      </c>
      <c r="E5238" s="191" t="s">
        <v>58</v>
      </c>
      <c r="F5238" s="199" t="s">
        <v>8479</v>
      </c>
      <c r="G5238" s="191" t="s">
        <v>5443</v>
      </c>
      <c r="H5238" s="199" t="s">
        <v>8686</v>
      </c>
      <c r="I5238" s="197" t="s">
        <v>8607</v>
      </c>
      <c r="J5238" s="148" t="s">
        <v>63</v>
      </c>
      <c r="K5238" s="148" t="s">
        <v>64</v>
      </c>
      <c r="L5238" s="148" t="s">
        <v>65</v>
      </c>
      <c r="M5238" s="148" t="s">
        <v>66</v>
      </c>
      <c r="N5238" s="278">
        <v>46235.0</v>
      </c>
      <c r="O5238" s="148" t="s">
        <v>67</v>
      </c>
      <c r="P5238" s="148" t="s">
        <v>68</v>
      </c>
      <c r="Q5238" s="103"/>
      <c r="R5238" s="103"/>
      <c r="S5238" s="103"/>
      <c r="T5238" s="103"/>
      <c r="U5238" s="148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1">
        <f t="shared" si="1"/>
        <v>5233</v>
      </c>
      <c r="B5239" s="97" t="s">
        <v>8687</v>
      </c>
      <c r="C5239" s="82" t="str">
        <f>VLOOKUP($B$7:$B$5000,SUM!$L$6:$L$500,1,FALSE)</f>
        <v>#VALUE!</v>
      </c>
      <c r="D5239" s="232" t="s">
        <v>8679</v>
      </c>
      <c r="E5239" s="191" t="s">
        <v>58</v>
      </c>
      <c r="F5239" s="199" t="s">
        <v>8479</v>
      </c>
      <c r="G5239" s="191" t="s">
        <v>5443</v>
      </c>
      <c r="H5239" s="199" t="s">
        <v>8688</v>
      </c>
      <c r="I5239" s="197" t="s">
        <v>8607</v>
      </c>
      <c r="J5239" s="148" t="s">
        <v>63</v>
      </c>
      <c r="K5239" s="148" t="s">
        <v>64</v>
      </c>
      <c r="L5239" s="148" t="s">
        <v>65</v>
      </c>
      <c r="M5239" s="148" t="s">
        <v>66</v>
      </c>
      <c r="N5239" s="278">
        <v>46235.0</v>
      </c>
      <c r="O5239" s="148" t="s">
        <v>67</v>
      </c>
      <c r="P5239" s="148" t="s">
        <v>68</v>
      </c>
      <c r="Q5239" s="103"/>
      <c r="R5239" s="103"/>
      <c r="S5239" s="103"/>
      <c r="T5239" s="103"/>
      <c r="U5239" s="148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1">
        <f t="shared" si="1"/>
        <v>5234</v>
      </c>
      <c r="B5240" s="97" t="s">
        <v>8689</v>
      </c>
      <c r="C5240" s="82" t="str">
        <f>VLOOKUP($B$7:$B$5000,SUM!$L$6:$L$500,1,FALSE)</f>
        <v>#VALUE!</v>
      </c>
      <c r="D5240" s="232" t="s">
        <v>8679</v>
      </c>
      <c r="E5240" s="191" t="s">
        <v>58</v>
      </c>
      <c r="F5240" s="199" t="s">
        <v>8479</v>
      </c>
      <c r="G5240" s="191" t="s">
        <v>5443</v>
      </c>
      <c r="H5240" s="199" t="s">
        <v>8690</v>
      </c>
      <c r="I5240" s="197" t="s">
        <v>8607</v>
      </c>
      <c r="J5240" s="148" t="s">
        <v>63</v>
      </c>
      <c r="K5240" s="148" t="s">
        <v>64</v>
      </c>
      <c r="L5240" s="148" t="s">
        <v>65</v>
      </c>
      <c r="M5240" s="148" t="s">
        <v>66</v>
      </c>
      <c r="N5240" s="278">
        <v>46235.0</v>
      </c>
      <c r="O5240" s="148" t="s">
        <v>67</v>
      </c>
      <c r="P5240" s="148" t="s">
        <v>68</v>
      </c>
      <c r="Q5240" s="103"/>
      <c r="R5240" s="103"/>
      <c r="S5240" s="103"/>
      <c r="T5240" s="103"/>
      <c r="U5240" s="148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1">
        <f t="shared" si="1"/>
        <v>5235</v>
      </c>
      <c r="B5241" s="97" t="s">
        <v>8691</v>
      </c>
      <c r="C5241" s="82" t="str">
        <f>VLOOKUP($B$7:$B$5000,SUM!$L$6:$L$500,1,FALSE)</f>
        <v>#VALUE!</v>
      </c>
      <c r="D5241" s="232" t="s">
        <v>8679</v>
      </c>
      <c r="E5241" s="191" t="s">
        <v>58</v>
      </c>
      <c r="F5241" s="199" t="s">
        <v>8479</v>
      </c>
      <c r="G5241" s="191" t="s">
        <v>5443</v>
      </c>
      <c r="H5241" s="199" t="s">
        <v>8692</v>
      </c>
      <c r="I5241" s="197" t="s">
        <v>8607</v>
      </c>
      <c r="J5241" s="148" t="s">
        <v>63</v>
      </c>
      <c r="K5241" s="148" t="s">
        <v>64</v>
      </c>
      <c r="L5241" s="148" t="s">
        <v>65</v>
      </c>
      <c r="M5241" s="148" t="s">
        <v>66</v>
      </c>
      <c r="N5241" s="278">
        <v>46235.0</v>
      </c>
      <c r="O5241" s="148" t="s">
        <v>67</v>
      </c>
      <c r="P5241" s="148" t="s">
        <v>68</v>
      </c>
      <c r="Q5241" s="103"/>
      <c r="R5241" s="103"/>
      <c r="S5241" s="103"/>
      <c r="T5241" s="103"/>
      <c r="U5241" s="148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1">
        <f t="shared" si="1"/>
        <v>5236</v>
      </c>
      <c r="B5242" s="97" t="s">
        <v>8693</v>
      </c>
      <c r="C5242" s="82" t="str">
        <f>VLOOKUP($B$7:$B$5000,SUM!$L$6:$L$500,1,FALSE)</f>
        <v>#VALUE!</v>
      </c>
      <c r="D5242" s="232" t="s">
        <v>8679</v>
      </c>
      <c r="E5242" s="191" t="s">
        <v>58</v>
      </c>
      <c r="F5242" s="199" t="s">
        <v>8479</v>
      </c>
      <c r="G5242" s="191" t="s">
        <v>5443</v>
      </c>
      <c r="H5242" s="199" t="s">
        <v>8694</v>
      </c>
      <c r="I5242" s="197" t="s">
        <v>8607</v>
      </c>
      <c r="J5242" s="148" t="s">
        <v>63</v>
      </c>
      <c r="K5242" s="148" t="s">
        <v>64</v>
      </c>
      <c r="L5242" s="148" t="s">
        <v>65</v>
      </c>
      <c r="M5242" s="148" t="s">
        <v>66</v>
      </c>
      <c r="N5242" s="278">
        <v>46235.0</v>
      </c>
      <c r="O5242" s="148" t="s">
        <v>67</v>
      </c>
      <c r="P5242" s="148" t="s">
        <v>68</v>
      </c>
      <c r="Q5242" s="103"/>
      <c r="R5242" s="103"/>
      <c r="S5242" s="103"/>
      <c r="T5242" s="103"/>
      <c r="U5242" s="148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1">
        <f t="shared" si="1"/>
        <v>5237</v>
      </c>
      <c r="B5243" s="97" t="s">
        <v>8695</v>
      </c>
      <c r="C5243" s="82" t="str">
        <f>VLOOKUP($B$7:$B$5000,SUM!$L$6:$L$500,1,FALSE)</f>
        <v>#VALUE!</v>
      </c>
      <c r="D5243" s="232" t="s">
        <v>8679</v>
      </c>
      <c r="E5243" s="191" t="s">
        <v>58</v>
      </c>
      <c r="F5243" s="199" t="s">
        <v>8479</v>
      </c>
      <c r="G5243" s="191" t="s">
        <v>5443</v>
      </c>
      <c r="H5243" s="199" t="s">
        <v>8696</v>
      </c>
      <c r="I5243" s="197" t="s">
        <v>8607</v>
      </c>
      <c r="J5243" s="148" t="s">
        <v>63</v>
      </c>
      <c r="K5243" s="148" t="s">
        <v>64</v>
      </c>
      <c r="L5243" s="148" t="s">
        <v>65</v>
      </c>
      <c r="M5243" s="148" t="s">
        <v>66</v>
      </c>
      <c r="N5243" s="278">
        <v>46235.0</v>
      </c>
      <c r="O5243" s="148" t="s">
        <v>67</v>
      </c>
      <c r="P5243" s="148" t="s">
        <v>68</v>
      </c>
      <c r="Q5243" s="103"/>
      <c r="R5243" s="103"/>
      <c r="S5243" s="103"/>
      <c r="T5243" s="103"/>
      <c r="U5243" s="148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1">
        <f t="shared" si="1"/>
        <v>5238</v>
      </c>
      <c r="B5244" s="97" t="s">
        <v>8697</v>
      </c>
      <c r="C5244" s="82" t="str">
        <f>VLOOKUP($B$7:$B$5000,SUM!$L$6:$L$500,1,FALSE)</f>
        <v>#VALUE!</v>
      </c>
      <c r="D5244" s="232" t="s">
        <v>8679</v>
      </c>
      <c r="E5244" s="191" t="s">
        <v>58</v>
      </c>
      <c r="F5244" s="199" t="s">
        <v>8479</v>
      </c>
      <c r="G5244" s="191" t="s">
        <v>5443</v>
      </c>
      <c r="H5244" s="199" t="s">
        <v>8698</v>
      </c>
      <c r="I5244" s="197" t="s">
        <v>8607</v>
      </c>
      <c r="J5244" s="148" t="s">
        <v>63</v>
      </c>
      <c r="K5244" s="148" t="s">
        <v>64</v>
      </c>
      <c r="L5244" s="148" t="s">
        <v>65</v>
      </c>
      <c r="M5244" s="148" t="s">
        <v>66</v>
      </c>
      <c r="N5244" s="278">
        <v>46235.0</v>
      </c>
      <c r="O5244" s="148" t="s">
        <v>67</v>
      </c>
      <c r="P5244" s="148" t="s">
        <v>68</v>
      </c>
      <c r="Q5244" s="103"/>
      <c r="R5244" s="103"/>
      <c r="S5244" s="103"/>
      <c r="T5244" s="103"/>
      <c r="U5244" s="148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1">
        <f t="shared" si="1"/>
        <v>5239</v>
      </c>
      <c r="B5245" s="97" t="s">
        <v>8699</v>
      </c>
      <c r="C5245" s="82" t="str">
        <f>VLOOKUP($B$7:$B$5000,SUM!$L$6:$L$500,1,FALSE)</f>
        <v>#VALUE!</v>
      </c>
      <c r="D5245" s="232" t="s">
        <v>8679</v>
      </c>
      <c r="E5245" s="191" t="s">
        <v>58</v>
      </c>
      <c r="F5245" s="199" t="s">
        <v>8479</v>
      </c>
      <c r="G5245" s="191" t="s">
        <v>8700</v>
      </c>
      <c r="H5245" s="199" t="s">
        <v>8497</v>
      </c>
      <c r="I5245" s="197" t="s">
        <v>8607</v>
      </c>
      <c r="J5245" s="148" t="s">
        <v>63</v>
      </c>
      <c r="K5245" s="148" t="s">
        <v>64</v>
      </c>
      <c r="L5245" s="148" t="s">
        <v>65</v>
      </c>
      <c r="M5245" s="148" t="s">
        <v>66</v>
      </c>
      <c r="N5245" s="278">
        <v>46235.0</v>
      </c>
      <c r="O5245" s="148" t="s">
        <v>67</v>
      </c>
      <c r="P5245" s="148" t="s">
        <v>68</v>
      </c>
      <c r="Q5245" s="103"/>
      <c r="R5245" s="103"/>
      <c r="S5245" s="103"/>
      <c r="T5245" s="103"/>
      <c r="U5245" s="148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1">
        <f t="shared" si="1"/>
        <v>5240</v>
      </c>
      <c r="B5246" s="97" t="s">
        <v>8701</v>
      </c>
      <c r="C5246" s="82" t="str">
        <f>VLOOKUP($B$7:$B$5000,SUM!$L$6:$L$500,1,FALSE)</f>
        <v>#VALUE!</v>
      </c>
      <c r="D5246" s="232" t="s">
        <v>8679</v>
      </c>
      <c r="E5246" s="191" t="s">
        <v>58</v>
      </c>
      <c r="F5246" s="199" t="s">
        <v>8479</v>
      </c>
      <c r="G5246" s="191" t="s">
        <v>8700</v>
      </c>
      <c r="H5246" s="199" t="s">
        <v>8500</v>
      </c>
      <c r="I5246" s="197" t="s">
        <v>8607</v>
      </c>
      <c r="J5246" s="148" t="s">
        <v>63</v>
      </c>
      <c r="K5246" s="148" t="s">
        <v>64</v>
      </c>
      <c r="L5246" s="148" t="s">
        <v>65</v>
      </c>
      <c r="M5246" s="148" t="s">
        <v>66</v>
      </c>
      <c r="N5246" s="278">
        <v>46235.0</v>
      </c>
      <c r="O5246" s="148" t="s">
        <v>67</v>
      </c>
      <c r="P5246" s="148" t="s">
        <v>68</v>
      </c>
      <c r="Q5246" s="103"/>
      <c r="R5246" s="103"/>
      <c r="S5246" s="103"/>
      <c r="T5246" s="103"/>
      <c r="U5246" s="148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1">
        <f t="shared" si="1"/>
        <v>5241</v>
      </c>
      <c r="B5247" s="97" t="s">
        <v>8702</v>
      </c>
      <c r="C5247" s="82" t="str">
        <f>VLOOKUP($B$7:$B$5000,SUM!$L$6:$L$500,1,FALSE)</f>
        <v>#VALUE!</v>
      </c>
      <c r="D5247" s="283" t="s">
        <v>8703</v>
      </c>
      <c r="E5247" s="191" t="s">
        <v>58</v>
      </c>
      <c r="F5247" s="191" t="s">
        <v>8363</v>
      </c>
      <c r="G5247" s="191" t="s">
        <v>8704</v>
      </c>
      <c r="H5247" s="199" t="s">
        <v>8705</v>
      </c>
      <c r="I5247" s="197" t="s">
        <v>8366</v>
      </c>
      <c r="J5247" s="148" t="s">
        <v>63</v>
      </c>
      <c r="K5247" s="148" t="s">
        <v>4434</v>
      </c>
      <c r="L5247" s="148" t="s">
        <v>65</v>
      </c>
      <c r="M5247" s="148" t="s">
        <v>66</v>
      </c>
      <c r="N5247" s="278">
        <v>46238.0</v>
      </c>
      <c r="O5247" s="148" t="s">
        <v>67</v>
      </c>
      <c r="P5247" s="148" t="s">
        <v>68</v>
      </c>
      <c r="Q5247" s="103"/>
      <c r="R5247" s="103"/>
      <c r="S5247" s="103"/>
      <c r="T5247" s="103"/>
      <c r="U5247" s="148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1">
        <f t="shared" si="1"/>
        <v>5242</v>
      </c>
      <c r="B5248" s="97" t="s">
        <v>8706</v>
      </c>
      <c r="C5248" s="82" t="str">
        <f>VLOOKUP($B$7:$B$5000,SUM!$L$6:$L$500,1,FALSE)</f>
        <v>#VALUE!</v>
      </c>
      <c r="D5248" s="283" t="s">
        <v>8703</v>
      </c>
      <c r="E5248" s="191" t="s">
        <v>58</v>
      </c>
      <c r="F5248" s="191" t="s">
        <v>8363</v>
      </c>
      <c r="G5248" s="191" t="s">
        <v>8704</v>
      </c>
      <c r="H5248" s="199" t="s">
        <v>8707</v>
      </c>
      <c r="I5248" s="197" t="s">
        <v>8366</v>
      </c>
      <c r="J5248" s="148" t="s">
        <v>63</v>
      </c>
      <c r="K5248" s="148" t="s">
        <v>4434</v>
      </c>
      <c r="L5248" s="148" t="s">
        <v>65</v>
      </c>
      <c r="M5248" s="148" t="s">
        <v>66</v>
      </c>
      <c r="N5248" s="278">
        <v>46238.0</v>
      </c>
      <c r="O5248" s="148" t="s">
        <v>67</v>
      </c>
      <c r="P5248" s="148" t="s">
        <v>68</v>
      </c>
      <c r="Q5248" s="103"/>
      <c r="R5248" s="103"/>
      <c r="S5248" s="103"/>
      <c r="T5248" s="103"/>
      <c r="U5248" s="148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1">
        <f t="shared" si="1"/>
        <v>5243</v>
      </c>
      <c r="B5249" s="97" t="s">
        <v>8708</v>
      </c>
      <c r="C5249" s="82" t="str">
        <f>VLOOKUP($B$7:$B$5000,SUM!$L$6:$L$500,1,FALSE)</f>
        <v>#VALUE!</v>
      </c>
      <c r="D5249" s="283" t="s">
        <v>8703</v>
      </c>
      <c r="E5249" s="191" t="s">
        <v>58</v>
      </c>
      <c r="F5249" s="191" t="s">
        <v>8363</v>
      </c>
      <c r="G5249" s="191" t="s">
        <v>8704</v>
      </c>
      <c r="H5249" s="199" t="s">
        <v>8709</v>
      </c>
      <c r="I5249" s="197" t="s">
        <v>8366</v>
      </c>
      <c r="J5249" s="148" t="s">
        <v>63</v>
      </c>
      <c r="K5249" s="148" t="s">
        <v>4434</v>
      </c>
      <c r="L5249" s="148" t="s">
        <v>65</v>
      </c>
      <c r="M5249" s="148" t="s">
        <v>66</v>
      </c>
      <c r="N5249" s="278">
        <v>46238.0</v>
      </c>
      <c r="O5249" s="148" t="s">
        <v>67</v>
      </c>
      <c r="P5249" s="148" t="s">
        <v>68</v>
      </c>
      <c r="Q5249" s="103"/>
      <c r="R5249" s="103"/>
      <c r="S5249" s="103"/>
      <c r="T5249" s="103"/>
      <c r="U5249" s="148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1">
        <f t="shared" si="1"/>
        <v>5244</v>
      </c>
      <c r="B5250" s="97" t="s">
        <v>8710</v>
      </c>
      <c r="C5250" s="82" t="str">
        <f>VLOOKUP($B$7:$B$5000,SUM!$L$6:$L$500,1,FALSE)</f>
        <v>#VALUE!</v>
      </c>
      <c r="D5250" s="190" t="s">
        <v>8711</v>
      </c>
      <c r="E5250" s="191" t="s">
        <v>58</v>
      </c>
      <c r="F5250" s="199" t="s">
        <v>8712</v>
      </c>
      <c r="G5250" s="191" t="s">
        <v>8518</v>
      </c>
      <c r="H5250" s="199" t="s">
        <v>8713</v>
      </c>
      <c r="I5250" s="270" t="s">
        <v>8520</v>
      </c>
      <c r="J5250" s="148" t="s">
        <v>63</v>
      </c>
      <c r="K5250" s="148" t="s">
        <v>4434</v>
      </c>
      <c r="L5250" s="148" t="s">
        <v>65</v>
      </c>
      <c r="M5250" s="148" t="s">
        <v>66</v>
      </c>
      <c r="N5250" s="278">
        <v>46238.0</v>
      </c>
      <c r="O5250" s="148" t="s">
        <v>67</v>
      </c>
      <c r="P5250" s="148" t="s">
        <v>68</v>
      </c>
      <c r="Q5250" s="103"/>
      <c r="R5250" s="103"/>
      <c r="S5250" s="103"/>
      <c r="T5250" s="103"/>
      <c r="U5250" s="148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1">
        <f t="shared" si="1"/>
        <v>5245</v>
      </c>
      <c r="B5251" s="97" t="s">
        <v>8714</v>
      </c>
      <c r="C5251" s="82" t="str">
        <f>VLOOKUP($B$7:$B$5000,SUM!$L$6:$L$500,1,FALSE)</f>
        <v>#VALUE!</v>
      </c>
      <c r="D5251" s="190" t="s">
        <v>8711</v>
      </c>
      <c r="E5251" s="191" t="s">
        <v>58</v>
      </c>
      <c r="F5251" s="199" t="s">
        <v>8712</v>
      </c>
      <c r="G5251" s="191" t="s">
        <v>8518</v>
      </c>
      <c r="H5251" s="199" t="s">
        <v>8715</v>
      </c>
      <c r="I5251" s="270" t="s">
        <v>8520</v>
      </c>
      <c r="J5251" s="148" t="s">
        <v>63</v>
      </c>
      <c r="K5251" s="148" t="s">
        <v>4434</v>
      </c>
      <c r="L5251" s="148" t="s">
        <v>65</v>
      </c>
      <c r="M5251" s="148" t="s">
        <v>66</v>
      </c>
      <c r="N5251" s="278">
        <v>46238.0</v>
      </c>
      <c r="O5251" s="148" t="s">
        <v>67</v>
      </c>
      <c r="P5251" s="148" t="s">
        <v>68</v>
      </c>
      <c r="Q5251" s="103"/>
      <c r="R5251" s="103"/>
      <c r="S5251" s="103"/>
      <c r="T5251" s="103"/>
      <c r="U5251" s="148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1">
        <f t="shared" si="1"/>
        <v>5246</v>
      </c>
      <c r="B5252" s="97" t="s">
        <v>8716</v>
      </c>
      <c r="C5252" s="82" t="str">
        <f>VLOOKUP($B$7:$B$5000,SUM!$L$6:$L$500,1,FALSE)</f>
        <v>#VALUE!</v>
      </c>
      <c r="D5252" s="190" t="s">
        <v>8711</v>
      </c>
      <c r="E5252" s="191" t="s">
        <v>58</v>
      </c>
      <c r="F5252" s="199" t="s">
        <v>8712</v>
      </c>
      <c r="G5252" s="189" t="s">
        <v>8518</v>
      </c>
      <c r="H5252" s="199" t="s">
        <v>8717</v>
      </c>
      <c r="I5252" s="197" t="s">
        <v>8520</v>
      </c>
      <c r="J5252" s="148" t="s">
        <v>63</v>
      </c>
      <c r="K5252" s="148" t="s">
        <v>4434</v>
      </c>
      <c r="L5252" s="148" t="s">
        <v>65</v>
      </c>
      <c r="M5252" s="148" t="s">
        <v>66</v>
      </c>
      <c r="N5252" s="278">
        <v>46238.0</v>
      </c>
      <c r="O5252" s="148" t="s">
        <v>67</v>
      </c>
      <c r="P5252" s="148" t="s">
        <v>68</v>
      </c>
      <c r="Q5252" s="103"/>
      <c r="R5252" s="103"/>
      <c r="S5252" s="103"/>
      <c r="T5252" s="103"/>
      <c r="U5252" s="148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1">
        <f t="shared" si="1"/>
        <v>5247</v>
      </c>
      <c r="B5253" s="97" t="s">
        <v>8718</v>
      </c>
      <c r="C5253" s="82" t="str">
        <f>VLOOKUP($B$7:$B$5000,SUM!$L$6:$L$500,1,FALSE)</f>
        <v>#VALUE!</v>
      </c>
      <c r="D5253" s="190" t="s">
        <v>8711</v>
      </c>
      <c r="E5253" s="191" t="s">
        <v>58</v>
      </c>
      <c r="F5253" s="199" t="s">
        <v>8712</v>
      </c>
      <c r="G5253" s="191" t="s">
        <v>8518</v>
      </c>
      <c r="H5253" s="199" t="s">
        <v>8719</v>
      </c>
      <c r="I5253" s="197" t="s">
        <v>8520</v>
      </c>
      <c r="J5253" s="148" t="s">
        <v>63</v>
      </c>
      <c r="K5253" s="148" t="s">
        <v>4434</v>
      </c>
      <c r="L5253" s="148" t="s">
        <v>65</v>
      </c>
      <c r="M5253" s="148" t="s">
        <v>66</v>
      </c>
      <c r="N5253" s="278">
        <v>46238.0</v>
      </c>
      <c r="O5253" s="148" t="s">
        <v>67</v>
      </c>
      <c r="P5253" s="148" t="s">
        <v>68</v>
      </c>
      <c r="Q5253" s="103"/>
      <c r="R5253" s="103"/>
      <c r="S5253" s="103"/>
      <c r="T5253" s="103"/>
      <c r="U5253" s="148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1">
        <f t="shared" si="1"/>
        <v>5248</v>
      </c>
      <c r="B5254" s="97" t="s">
        <v>8720</v>
      </c>
      <c r="C5254" s="82" t="str">
        <f>VLOOKUP($B$7:$B$5000,SUM!$L$6:$L$500,1,FALSE)</f>
        <v>#VALUE!</v>
      </c>
      <c r="D5254" s="190" t="s">
        <v>8711</v>
      </c>
      <c r="E5254" s="191" t="s">
        <v>58</v>
      </c>
      <c r="F5254" s="199" t="s">
        <v>8712</v>
      </c>
      <c r="G5254" s="191" t="s">
        <v>8518</v>
      </c>
      <c r="H5254" s="199" t="s">
        <v>8721</v>
      </c>
      <c r="I5254" s="197" t="s">
        <v>8520</v>
      </c>
      <c r="J5254" s="148" t="s">
        <v>63</v>
      </c>
      <c r="K5254" s="148" t="s">
        <v>4434</v>
      </c>
      <c r="L5254" s="148" t="s">
        <v>65</v>
      </c>
      <c r="M5254" s="148" t="s">
        <v>66</v>
      </c>
      <c r="N5254" s="278">
        <v>46238.0</v>
      </c>
      <c r="O5254" s="148" t="s">
        <v>67</v>
      </c>
      <c r="P5254" s="148" t="s">
        <v>68</v>
      </c>
      <c r="Q5254" s="103"/>
      <c r="R5254" s="103"/>
      <c r="S5254" s="103"/>
      <c r="T5254" s="103"/>
      <c r="U5254" s="148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1">
        <f t="shared" si="1"/>
        <v>5249</v>
      </c>
      <c r="B5255" s="97" t="s">
        <v>8722</v>
      </c>
      <c r="C5255" s="82" t="str">
        <f>VLOOKUP($B$7:$B$5000,SUM!$L$6:$L$500,1,FALSE)</f>
        <v>#VALUE!</v>
      </c>
      <c r="D5255" s="190" t="s">
        <v>8723</v>
      </c>
      <c r="E5255" s="191" t="s">
        <v>58</v>
      </c>
      <c r="F5255" s="148" t="s">
        <v>8724</v>
      </c>
      <c r="G5255" s="191" t="s">
        <v>8518</v>
      </c>
      <c r="H5255" s="199" t="s">
        <v>8713</v>
      </c>
      <c r="I5255" s="197" t="s">
        <v>8533</v>
      </c>
      <c r="J5255" s="148" t="s">
        <v>63</v>
      </c>
      <c r="K5255" s="148" t="s">
        <v>4434</v>
      </c>
      <c r="L5255" s="148" t="s">
        <v>65</v>
      </c>
      <c r="M5255" s="148" t="s">
        <v>66</v>
      </c>
      <c r="N5255" s="278">
        <v>46238.0</v>
      </c>
      <c r="O5255" s="148" t="s">
        <v>67</v>
      </c>
      <c r="P5255" s="148" t="s">
        <v>68</v>
      </c>
      <c r="Q5255" s="103"/>
      <c r="R5255" s="103"/>
      <c r="S5255" s="103"/>
      <c r="T5255" s="103"/>
      <c r="U5255" s="148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1">
        <f t="shared" si="1"/>
        <v>5250</v>
      </c>
      <c r="B5256" s="97" t="s">
        <v>8725</v>
      </c>
      <c r="C5256" s="82" t="str">
        <f>VLOOKUP($B$7:$B$5000,SUM!$L$6:$L$500,1,FALSE)</f>
        <v>#VALUE!</v>
      </c>
      <c r="D5256" s="190" t="s">
        <v>8723</v>
      </c>
      <c r="E5256" s="191" t="s">
        <v>58</v>
      </c>
      <c r="F5256" s="199" t="s">
        <v>8724</v>
      </c>
      <c r="G5256" s="191" t="s">
        <v>8518</v>
      </c>
      <c r="H5256" s="199" t="s">
        <v>8715</v>
      </c>
      <c r="I5256" s="270" t="s">
        <v>8533</v>
      </c>
      <c r="J5256" s="148" t="s">
        <v>63</v>
      </c>
      <c r="K5256" s="148" t="s">
        <v>4434</v>
      </c>
      <c r="L5256" s="148" t="s">
        <v>65</v>
      </c>
      <c r="M5256" s="148" t="s">
        <v>66</v>
      </c>
      <c r="N5256" s="278">
        <v>46238.0</v>
      </c>
      <c r="O5256" s="148" t="s">
        <v>67</v>
      </c>
      <c r="P5256" s="148" t="s">
        <v>68</v>
      </c>
      <c r="Q5256" s="103"/>
      <c r="R5256" s="103"/>
      <c r="S5256" s="103"/>
      <c r="T5256" s="103"/>
      <c r="U5256" s="148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1">
        <f t="shared" si="1"/>
        <v>5251</v>
      </c>
      <c r="B5257" s="97" t="s">
        <v>8726</v>
      </c>
      <c r="C5257" s="82" t="str">
        <f>VLOOKUP($B$7:$B$5000,SUM!$L$6:$L$500,1,FALSE)</f>
        <v>#VALUE!</v>
      </c>
      <c r="D5257" s="190" t="s">
        <v>8723</v>
      </c>
      <c r="E5257" s="191" t="s">
        <v>58</v>
      </c>
      <c r="F5257" s="199" t="s">
        <v>8724</v>
      </c>
      <c r="G5257" s="191" t="s">
        <v>8518</v>
      </c>
      <c r="H5257" s="199" t="s">
        <v>8717</v>
      </c>
      <c r="I5257" s="197" t="s">
        <v>8533</v>
      </c>
      <c r="J5257" s="148" t="s">
        <v>63</v>
      </c>
      <c r="K5257" s="148" t="s">
        <v>4434</v>
      </c>
      <c r="L5257" s="148" t="s">
        <v>65</v>
      </c>
      <c r="M5257" s="148" t="s">
        <v>66</v>
      </c>
      <c r="N5257" s="278">
        <v>46238.0</v>
      </c>
      <c r="O5257" s="148" t="s">
        <v>67</v>
      </c>
      <c r="P5257" s="148" t="s">
        <v>68</v>
      </c>
      <c r="Q5257" s="103"/>
      <c r="R5257" s="103"/>
      <c r="S5257" s="103"/>
      <c r="T5257" s="103"/>
      <c r="U5257" s="148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1">
        <f t="shared" si="1"/>
        <v>5252</v>
      </c>
      <c r="B5258" s="97" t="s">
        <v>8727</v>
      </c>
      <c r="C5258" s="82" t="str">
        <f>VLOOKUP($B$7:$B$5000,SUM!$L$6:$L$500,1,FALSE)</f>
        <v>#VALUE!</v>
      </c>
      <c r="D5258" s="190" t="s">
        <v>8723</v>
      </c>
      <c r="E5258" s="191" t="s">
        <v>58</v>
      </c>
      <c r="F5258" s="199" t="s">
        <v>8724</v>
      </c>
      <c r="G5258" s="191" t="s">
        <v>8518</v>
      </c>
      <c r="H5258" s="199" t="s">
        <v>8719</v>
      </c>
      <c r="I5258" s="197" t="s">
        <v>8728</v>
      </c>
      <c r="J5258" s="148" t="s">
        <v>63</v>
      </c>
      <c r="K5258" s="148" t="s">
        <v>4434</v>
      </c>
      <c r="L5258" s="148" t="s">
        <v>65</v>
      </c>
      <c r="M5258" s="148" t="s">
        <v>66</v>
      </c>
      <c r="N5258" s="278">
        <v>46238.0</v>
      </c>
      <c r="O5258" s="148" t="s">
        <v>67</v>
      </c>
      <c r="P5258" s="148" t="s">
        <v>68</v>
      </c>
      <c r="Q5258" s="103"/>
      <c r="R5258" s="103"/>
      <c r="S5258" s="103"/>
      <c r="T5258" s="103"/>
      <c r="U5258" s="148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1">
        <f t="shared" si="1"/>
        <v>5253</v>
      </c>
      <c r="B5259" s="97" t="s">
        <v>8729</v>
      </c>
      <c r="C5259" s="82" t="str">
        <f>VLOOKUP($B$7:$B$5000,SUM!$L$6:$L$500,1,FALSE)</f>
        <v>#VALUE!</v>
      </c>
      <c r="D5259" s="190" t="s">
        <v>8723</v>
      </c>
      <c r="E5259" s="191" t="s">
        <v>58</v>
      </c>
      <c r="F5259" s="199" t="s">
        <v>8724</v>
      </c>
      <c r="G5259" s="191" t="s">
        <v>8518</v>
      </c>
      <c r="H5259" s="199" t="s">
        <v>8721</v>
      </c>
      <c r="I5259" s="197" t="s">
        <v>8728</v>
      </c>
      <c r="J5259" s="148" t="s">
        <v>63</v>
      </c>
      <c r="K5259" s="148" t="s">
        <v>4434</v>
      </c>
      <c r="L5259" s="148" t="s">
        <v>65</v>
      </c>
      <c r="M5259" s="148" t="s">
        <v>66</v>
      </c>
      <c r="N5259" s="278">
        <v>46238.0</v>
      </c>
      <c r="O5259" s="148" t="s">
        <v>67</v>
      </c>
      <c r="P5259" s="148" t="s">
        <v>68</v>
      </c>
      <c r="Q5259" s="103"/>
      <c r="R5259" s="103"/>
      <c r="S5259" s="103"/>
      <c r="T5259" s="103"/>
      <c r="U5259" s="148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1">
        <f t="shared" si="1"/>
        <v>5254</v>
      </c>
      <c r="B5260" s="97" t="s">
        <v>8730</v>
      </c>
      <c r="C5260" s="82" t="str">
        <f>VLOOKUP($B$7:$B$5000,SUM!$L$6:$L$500,1,FALSE)</f>
        <v>#VALUE!</v>
      </c>
      <c r="D5260" s="190" t="s">
        <v>8731</v>
      </c>
      <c r="E5260" s="191" t="s">
        <v>58</v>
      </c>
      <c r="F5260" s="199" t="s">
        <v>8732</v>
      </c>
      <c r="G5260" s="191" t="s">
        <v>8733</v>
      </c>
      <c r="H5260" s="284" t="s">
        <v>6381</v>
      </c>
      <c r="I5260" s="197" t="s">
        <v>8734</v>
      </c>
      <c r="J5260" s="148" t="s">
        <v>63</v>
      </c>
      <c r="K5260" s="148" t="s">
        <v>64</v>
      </c>
      <c r="L5260" s="148" t="s">
        <v>65</v>
      </c>
      <c r="M5260" s="148" t="s">
        <v>66</v>
      </c>
      <c r="N5260" s="148" t="s">
        <v>8735</v>
      </c>
      <c r="O5260" s="148" t="s">
        <v>67</v>
      </c>
      <c r="P5260" s="148" t="s">
        <v>68</v>
      </c>
      <c r="Q5260" s="103"/>
      <c r="R5260" s="103"/>
      <c r="S5260" s="103"/>
      <c r="T5260" s="103"/>
      <c r="U5260" s="148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1">
        <f t="shared" si="1"/>
        <v>5255</v>
      </c>
      <c r="B5261" s="97" t="s">
        <v>8736</v>
      </c>
      <c r="C5261" s="82" t="str">
        <f>VLOOKUP($B$7:$B$5000,SUM!$L$6:$L$500,1,FALSE)</f>
        <v>#VALUE!</v>
      </c>
      <c r="D5261" s="190" t="s">
        <v>8731</v>
      </c>
      <c r="E5261" s="191" t="s">
        <v>58</v>
      </c>
      <c r="F5261" s="199" t="s">
        <v>8732</v>
      </c>
      <c r="G5261" s="256" t="s">
        <v>8733</v>
      </c>
      <c r="H5261" s="284" t="s">
        <v>6389</v>
      </c>
      <c r="I5261" s="197" t="s">
        <v>8734</v>
      </c>
      <c r="J5261" s="148" t="s">
        <v>63</v>
      </c>
      <c r="K5261" s="148" t="s">
        <v>64</v>
      </c>
      <c r="L5261" s="148" t="s">
        <v>65</v>
      </c>
      <c r="M5261" s="148" t="s">
        <v>66</v>
      </c>
      <c r="N5261" s="148" t="s">
        <v>8735</v>
      </c>
      <c r="O5261" s="148" t="s">
        <v>67</v>
      </c>
      <c r="P5261" s="148" t="s">
        <v>68</v>
      </c>
      <c r="Q5261" s="103"/>
      <c r="R5261" s="103"/>
      <c r="S5261" s="103"/>
      <c r="T5261" s="103"/>
      <c r="U5261" s="148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1">
        <f t="shared" si="1"/>
        <v>5256</v>
      </c>
      <c r="B5262" s="97" t="s">
        <v>8737</v>
      </c>
      <c r="C5262" s="82" t="str">
        <f>VLOOKUP($B$7:$B$5000,SUM!$L$6:$L$500,1,FALSE)</f>
        <v>#VALUE!</v>
      </c>
      <c r="D5262" s="190" t="s">
        <v>8731</v>
      </c>
      <c r="E5262" s="191" t="s">
        <v>58</v>
      </c>
      <c r="F5262" s="199" t="s">
        <v>8732</v>
      </c>
      <c r="G5262" s="191" t="s">
        <v>8733</v>
      </c>
      <c r="H5262" s="284" t="s">
        <v>8738</v>
      </c>
      <c r="I5262" s="197" t="s">
        <v>8734</v>
      </c>
      <c r="J5262" s="148" t="s">
        <v>63</v>
      </c>
      <c r="K5262" s="148" t="s">
        <v>64</v>
      </c>
      <c r="L5262" s="148" t="s">
        <v>65</v>
      </c>
      <c r="M5262" s="148" t="s">
        <v>66</v>
      </c>
      <c r="N5262" s="148" t="s">
        <v>8735</v>
      </c>
      <c r="O5262" s="148" t="s">
        <v>67</v>
      </c>
      <c r="P5262" s="148" t="s">
        <v>68</v>
      </c>
      <c r="Q5262" s="103"/>
      <c r="R5262" s="103"/>
      <c r="S5262" s="103"/>
      <c r="T5262" s="103"/>
      <c r="U5262" s="148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1">
        <f t="shared" si="1"/>
        <v>5257</v>
      </c>
      <c r="B5263" s="97" t="s">
        <v>8739</v>
      </c>
      <c r="C5263" s="82" t="str">
        <f>VLOOKUP($B$7:$B$5000,SUM!$L$6:$L$500,1,FALSE)</f>
        <v>#VALUE!</v>
      </c>
      <c r="D5263" s="190" t="s">
        <v>8731</v>
      </c>
      <c r="E5263" s="191" t="s">
        <v>58</v>
      </c>
      <c r="F5263" s="199" t="s">
        <v>8732</v>
      </c>
      <c r="G5263" s="256" t="s">
        <v>8733</v>
      </c>
      <c r="H5263" s="284" t="s">
        <v>6399</v>
      </c>
      <c r="I5263" s="197" t="s">
        <v>8734</v>
      </c>
      <c r="J5263" s="148" t="s">
        <v>63</v>
      </c>
      <c r="K5263" s="148" t="s">
        <v>64</v>
      </c>
      <c r="L5263" s="148" t="s">
        <v>65</v>
      </c>
      <c r="M5263" s="148" t="s">
        <v>66</v>
      </c>
      <c r="N5263" s="148" t="s">
        <v>8735</v>
      </c>
      <c r="O5263" s="148" t="s">
        <v>67</v>
      </c>
      <c r="P5263" s="148" t="s">
        <v>68</v>
      </c>
      <c r="Q5263" s="103"/>
      <c r="R5263" s="103"/>
      <c r="S5263" s="103"/>
      <c r="T5263" s="103"/>
      <c r="U5263" s="148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1">
        <f t="shared" si="1"/>
        <v>5258</v>
      </c>
      <c r="B5264" s="97" t="s">
        <v>8740</v>
      </c>
      <c r="C5264" s="82" t="str">
        <f>VLOOKUP($B$7:$B$5000,SUM!$L$6:$L$500,1,FALSE)</f>
        <v>#VALUE!</v>
      </c>
      <c r="D5264" s="190" t="s">
        <v>8731</v>
      </c>
      <c r="E5264" s="191" t="s">
        <v>58</v>
      </c>
      <c r="F5264" s="199" t="s">
        <v>8732</v>
      </c>
      <c r="G5264" s="191" t="s">
        <v>8733</v>
      </c>
      <c r="H5264" s="284" t="s">
        <v>6401</v>
      </c>
      <c r="I5264" s="197" t="s">
        <v>8734</v>
      </c>
      <c r="J5264" s="148" t="s">
        <v>63</v>
      </c>
      <c r="K5264" s="148" t="s">
        <v>64</v>
      </c>
      <c r="L5264" s="148" t="s">
        <v>65</v>
      </c>
      <c r="M5264" s="148" t="s">
        <v>66</v>
      </c>
      <c r="N5264" s="148" t="s">
        <v>8735</v>
      </c>
      <c r="O5264" s="148" t="s">
        <v>67</v>
      </c>
      <c r="P5264" s="148" t="s">
        <v>68</v>
      </c>
      <c r="Q5264" s="103"/>
      <c r="R5264" s="103"/>
      <c r="S5264" s="103"/>
      <c r="T5264" s="103"/>
      <c r="U5264" s="148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1">
        <f t="shared" si="1"/>
        <v>5259</v>
      </c>
      <c r="B5265" s="97" t="s">
        <v>8741</v>
      </c>
      <c r="C5265" s="82" t="str">
        <f>VLOOKUP($B$7:$B$5000,SUM!$L$6:$L$500,1,FALSE)</f>
        <v>#VALUE!</v>
      </c>
      <c r="D5265" s="190" t="s">
        <v>8731</v>
      </c>
      <c r="E5265" s="191" t="s">
        <v>58</v>
      </c>
      <c r="F5265" s="199" t="s">
        <v>8732</v>
      </c>
      <c r="G5265" s="256" t="s">
        <v>8733</v>
      </c>
      <c r="H5265" s="284" t="s">
        <v>6409</v>
      </c>
      <c r="I5265" s="197" t="s">
        <v>8734</v>
      </c>
      <c r="J5265" s="148" t="s">
        <v>63</v>
      </c>
      <c r="K5265" s="148" t="s">
        <v>64</v>
      </c>
      <c r="L5265" s="148" t="s">
        <v>65</v>
      </c>
      <c r="M5265" s="148" t="s">
        <v>66</v>
      </c>
      <c r="N5265" s="148" t="s">
        <v>8735</v>
      </c>
      <c r="O5265" s="148" t="s">
        <v>67</v>
      </c>
      <c r="P5265" s="148" t="s">
        <v>68</v>
      </c>
      <c r="Q5265" s="103"/>
      <c r="R5265" s="103"/>
      <c r="S5265" s="103"/>
      <c r="T5265" s="103"/>
      <c r="U5265" s="148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1">
        <f t="shared" si="1"/>
        <v>5260</v>
      </c>
      <c r="B5266" s="97" t="s">
        <v>8742</v>
      </c>
      <c r="C5266" s="82" t="str">
        <f>VLOOKUP($B$7:$B$5000,SUM!$L$6:$L$500,1,FALSE)</f>
        <v>#VALUE!</v>
      </c>
      <c r="D5266" s="190" t="s">
        <v>8731</v>
      </c>
      <c r="E5266" s="191" t="s">
        <v>58</v>
      </c>
      <c r="F5266" s="199" t="s">
        <v>8732</v>
      </c>
      <c r="G5266" s="191" t="s">
        <v>8733</v>
      </c>
      <c r="H5266" s="284" t="s">
        <v>6417</v>
      </c>
      <c r="I5266" s="197" t="s">
        <v>8734</v>
      </c>
      <c r="J5266" s="148" t="s">
        <v>63</v>
      </c>
      <c r="K5266" s="148" t="s">
        <v>64</v>
      </c>
      <c r="L5266" s="148" t="s">
        <v>65</v>
      </c>
      <c r="M5266" s="148" t="s">
        <v>66</v>
      </c>
      <c r="N5266" s="148" t="s">
        <v>8735</v>
      </c>
      <c r="O5266" s="148" t="s">
        <v>67</v>
      </c>
      <c r="P5266" s="148" t="s">
        <v>68</v>
      </c>
      <c r="Q5266" s="103"/>
      <c r="R5266" s="103"/>
      <c r="S5266" s="103"/>
      <c r="T5266" s="103"/>
      <c r="U5266" s="148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1">
        <f t="shared" si="1"/>
        <v>5261</v>
      </c>
      <c r="B5267" s="97" t="s">
        <v>8743</v>
      </c>
      <c r="C5267" s="82" t="str">
        <f>VLOOKUP($B$7:$B$5000,SUM!$L$6:$L$500,1,FALSE)</f>
        <v>#VALUE!</v>
      </c>
      <c r="D5267" s="190" t="s">
        <v>8731</v>
      </c>
      <c r="E5267" s="191" t="s">
        <v>58</v>
      </c>
      <c r="F5267" s="199" t="s">
        <v>8732</v>
      </c>
      <c r="G5267" s="256" t="s">
        <v>8733</v>
      </c>
      <c r="H5267" s="284" t="s">
        <v>6379</v>
      </c>
      <c r="I5267" s="197" t="s">
        <v>8734</v>
      </c>
      <c r="J5267" s="148" t="s">
        <v>63</v>
      </c>
      <c r="K5267" s="148" t="s">
        <v>64</v>
      </c>
      <c r="L5267" s="148" t="s">
        <v>65</v>
      </c>
      <c r="M5267" s="148" t="s">
        <v>66</v>
      </c>
      <c r="N5267" s="148" t="s">
        <v>8735</v>
      </c>
      <c r="O5267" s="148" t="s">
        <v>67</v>
      </c>
      <c r="P5267" s="148" t="s">
        <v>68</v>
      </c>
      <c r="Q5267" s="103"/>
      <c r="R5267" s="103"/>
      <c r="S5267" s="103"/>
      <c r="T5267" s="103"/>
      <c r="U5267" s="148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1">
        <f t="shared" si="1"/>
        <v>5262</v>
      </c>
      <c r="B5268" s="97" t="s">
        <v>8744</v>
      </c>
      <c r="C5268" s="82" t="str">
        <f>VLOOKUP($B$7:$B$5000,SUM!$L$6:$L$500,1,FALSE)</f>
        <v>#VALUE!</v>
      </c>
      <c r="D5268" s="190" t="s">
        <v>8731</v>
      </c>
      <c r="E5268" s="191" t="s">
        <v>58</v>
      </c>
      <c r="F5268" s="199" t="s">
        <v>8732</v>
      </c>
      <c r="G5268" s="191" t="s">
        <v>8733</v>
      </c>
      <c r="H5268" s="284" t="s">
        <v>6385</v>
      </c>
      <c r="I5268" s="197" t="s">
        <v>8734</v>
      </c>
      <c r="J5268" s="148" t="s">
        <v>63</v>
      </c>
      <c r="K5268" s="148" t="s">
        <v>64</v>
      </c>
      <c r="L5268" s="148" t="s">
        <v>65</v>
      </c>
      <c r="M5268" s="148" t="s">
        <v>66</v>
      </c>
      <c r="N5268" s="148" t="s">
        <v>8735</v>
      </c>
      <c r="O5268" s="148" t="s">
        <v>67</v>
      </c>
      <c r="P5268" s="148" t="s">
        <v>68</v>
      </c>
      <c r="Q5268" s="103"/>
      <c r="R5268" s="103"/>
      <c r="S5268" s="103"/>
      <c r="T5268" s="103"/>
      <c r="U5268" s="148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1">
        <f t="shared" si="1"/>
        <v>5263</v>
      </c>
      <c r="B5269" s="97" t="s">
        <v>8745</v>
      </c>
      <c r="C5269" s="82" t="str">
        <f>VLOOKUP($B$7:$B$5000,SUM!$L$6:$L$500,1,FALSE)</f>
        <v>#VALUE!</v>
      </c>
      <c r="D5269" s="190" t="s">
        <v>8731</v>
      </c>
      <c r="E5269" s="191" t="s">
        <v>58</v>
      </c>
      <c r="F5269" s="199" t="s">
        <v>8732</v>
      </c>
      <c r="G5269" s="256" t="s">
        <v>8733</v>
      </c>
      <c r="H5269" s="284" t="s">
        <v>8746</v>
      </c>
      <c r="I5269" s="197" t="s">
        <v>8734</v>
      </c>
      <c r="J5269" s="148" t="s">
        <v>63</v>
      </c>
      <c r="K5269" s="148" t="s">
        <v>64</v>
      </c>
      <c r="L5269" s="148" t="s">
        <v>65</v>
      </c>
      <c r="M5269" s="148" t="s">
        <v>66</v>
      </c>
      <c r="N5269" s="148" t="s">
        <v>8735</v>
      </c>
      <c r="O5269" s="148" t="s">
        <v>67</v>
      </c>
      <c r="P5269" s="148" t="s">
        <v>68</v>
      </c>
      <c r="Q5269" s="103"/>
      <c r="R5269" s="103"/>
      <c r="S5269" s="103"/>
      <c r="T5269" s="103"/>
      <c r="U5269" s="148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1">
        <f t="shared" si="1"/>
        <v>5264</v>
      </c>
      <c r="B5270" s="97" t="s">
        <v>8747</v>
      </c>
      <c r="C5270" s="82" t="str">
        <f>VLOOKUP($B$7:$B$5000,SUM!$L$6:$L$500,1,FALSE)</f>
        <v>#VALUE!</v>
      </c>
      <c r="D5270" s="190" t="s">
        <v>8731</v>
      </c>
      <c r="E5270" s="191" t="s">
        <v>58</v>
      </c>
      <c r="F5270" s="199" t="s">
        <v>8732</v>
      </c>
      <c r="G5270" s="191" t="s">
        <v>8733</v>
      </c>
      <c r="H5270" s="284" t="s">
        <v>6395</v>
      </c>
      <c r="I5270" s="197" t="s">
        <v>8734</v>
      </c>
      <c r="J5270" s="148" t="s">
        <v>63</v>
      </c>
      <c r="K5270" s="148" t="s">
        <v>64</v>
      </c>
      <c r="L5270" s="148" t="s">
        <v>65</v>
      </c>
      <c r="M5270" s="148" t="s">
        <v>66</v>
      </c>
      <c r="N5270" s="148" t="s">
        <v>8735</v>
      </c>
      <c r="O5270" s="148" t="s">
        <v>67</v>
      </c>
      <c r="P5270" s="148" t="s">
        <v>68</v>
      </c>
      <c r="Q5270" s="103"/>
      <c r="R5270" s="103"/>
      <c r="S5270" s="103"/>
      <c r="T5270" s="103"/>
      <c r="U5270" s="148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1">
        <f t="shared" si="1"/>
        <v>5265</v>
      </c>
      <c r="B5271" s="97" t="s">
        <v>8748</v>
      </c>
      <c r="C5271" s="82" t="str">
        <f>VLOOKUP($B$7:$B$5000,SUM!$L$6:$L$500,1,FALSE)</f>
        <v>#VALUE!</v>
      </c>
      <c r="D5271" s="190" t="s">
        <v>8731</v>
      </c>
      <c r="E5271" s="191" t="s">
        <v>58</v>
      </c>
      <c r="F5271" s="199" t="s">
        <v>8732</v>
      </c>
      <c r="G5271" s="256" t="s">
        <v>8733</v>
      </c>
      <c r="H5271" s="284" t="s">
        <v>6407</v>
      </c>
      <c r="I5271" s="197" t="s">
        <v>8734</v>
      </c>
      <c r="J5271" s="148" t="s">
        <v>63</v>
      </c>
      <c r="K5271" s="148" t="s">
        <v>64</v>
      </c>
      <c r="L5271" s="148" t="s">
        <v>65</v>
      </c>
      <c r="M5271" s="148" t="s">
        <v>66</v>
      </c>
      <c r="N5271" s="148" t="s">
        <v>8735</v>
      </c>
      <c r="O5271" s="148" t="s">
        <v>67</v>
      </c>
      <c r="P5271" s="148" t="s">
        <v>68</v>
      </c>
      <c r="Q5271" s="103"/>
      <c r="R5271" s="103"/>
      <c r="S5271" s="103"/>
      <c r="T5271" s="103"/>
      <c r="U5271" s="148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1">
        <f t="shared" si="1"/>
        <v>5266</v>
      </c>
      <c r="B5272" s="97" t="s">
        <v>8749</v>
      </c>
      <c r="C5272" s="82" t="str">
        <f>VLOOKUP($B$7:$B$5000,SUM!$L$6:$L$500,1,FALSE)</f>
        <v>#VALUE!</v>
      </c>
      <c r="D5272" s="190" t="s">
        <v>8731</v>
      </c>
      <c r="E5272" s="191" t="s">
        <v>58</v>
      </c>
      <c r="F5272" s="199" t="s">
        <v>8732</v>
      </c>
      <c r="G5272" s="191" t="s">
        <v>8733</v>
      </c>
      <c r="H5272" s="284" t="s">
        <v>6415</v>
      </c>
      <c r="I5272" s="197" t="s">
        <v>8734</v>
      </c>
      <c r="J5272" s="148" t="s">
        <v>63</v>
      </c>
      <c r="K5272" s="148" t="s">
        <v>64</v>
      </c>
      <c r="L5272" s="148" t="s">
        <v>65</v>
      </c>
      <c r="M5272" s="148" t="s">
        <v>66</v>
      </c>
      <c r="N5272" s="148" t="s">
        <v>8735</v>
      </c>
      <c r="O5272" s="148" t="s">
        <v>67</v>
      </c>
      <c r="P5272" s="148" t="s">
        <v>68</v>
      </c>
      <c r="Q5272" s="103"/>
      <c r="R5272" s="103"/>
      <c r="S5272" s="103"/>
      <c r="T5272" s="103"/>
      <c r="U5272" s="148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1">
        <f t="shared" si="1"/>
        <v>5267</v>
      </c>
      <c r="B5273" s="97" t="s">
        <v>8750</v>
      </c>
      <c r="C5273" s="82" t="str">
        <f>VLOOKUP($B$7:$B$5000,SUM!$L$6:$L$500,1,FALSE)</f>
        <v>#VALUE!</v>
      </c>
      <c r="D5273" s="190" t="s">
        <v>8731</v>
      </c>
      <c r="E5273" s="191" t="s">
        <v>58</v>
      </c>
      <c r="F5273" s="199" t="s">
        <v>8732</v>
      </c>
      <c r="G5273" s="256" t="s">
        <v>8733</v>
      </c>
      <c r="H5273" s="199" t="s">
        <v>8738</v>
      </c>
      <c r="I5273" s="197" t="s">
        <v>8751</v>
      </c>
      <c r="J5273" s="148" t="s">
        <v>63</v>
      </c>
      <c r="K5273" s="148" t="s">
        <v>64</v>
      </c>
      <c r="L5273" s="148" t="s">
        <v>65</v>
      </c>
      <c r="M5273" s="148" t="s">
        <v>66</v>
      </c>
      <c r="N5273" s="148" t="s">
        <v>8735</v>
      </c>
      <c r="O5273" s="148" t="s">
        <v>67</v>
      </c>
      <c r="P5273" s="148" t="s">
        <v>68</v>
      </c>
      <c r="Q5273" s="103"/>
      <c r="R5273" s="103"/>
      <c r="S5273" s="103"/>
      <c r="T5273" s="103"/>
      <c r="U5273" s="148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1">
        <f t="shared" si="1"/>
        <v>5268</v>
      </c>
      <c r="B5274" s="97" t="s">
        <v>8752</v>
      </c>
      <c r="C5274" s="82" t="str">
        <f>VLOOKUP($B$7:$B$5000,SUM!$L$6:$L$500,1,FALSE)</f>
        <v>#VALUE!</v>
      </c>
      <c r="D5274" s="190" t="s">
        <v>8731</v>
      </c>
      <c r="E5274" s="191" t="s">
        <v>58</v>
      </c>
      <c r="F5274" s="199" t="s">
        <v>8732</v>
      </c>
      <c r="G5274" s="191" t="s">
        <v>8733</v>
      </c>
      <c r="H5274" s="199" t="s">
        <v>6399</v>
      </c>
      <c r="I5274" s="197" t="s">
        <v>8751</v>
      </c>
      <c r="J5274" s="148" t="s">
        <v>63</v>
      </c>
      <c r="K5274" s="148" t="s">
        <v>64</v>
      </c>
      <c r="L5274" s="148" t="s">
        <v>65</v>
      </c>
      <c r="M5274" s="148" t="s">
        <v>66</v>
      </c>
      <c r="N5274" s="148" t="s">
        <v>8735</v>
      </c>
      <c r="O5274" s="148" t="s">
        <v>67</v>
      </c>
      <c r="P5274" s="148" t="s">
        <v>68</v>
      </c>
      <c r="Q5274" s="103"/>
      <c r="R5274" s="103"/>
      <c r="S5274" s="103"/>
      <c r="T5274" s="103"/>
      <c r="U5274" s="148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1">
        <f t="shared" si="1"/>
        <v>5269</v>
      </c>
      <c r="B5275" s="97" t="s">
        <v>8753</v>
      </c>
      <c r="C5275" s="82" t="str">
        <f>VLOOKUP($B$7:$B$5000,SUM!$L$6:$L$500,1,FALSE)</f>
        <v>#VALUE!</v>
      </c>
      <c r="D5275" s="190" t="s">
        <v>8731</v>
      </c>
      <c r="E5275" s="191" t="s">
        <v>58</v>
      </c>
      <c r="F5275" s="199" t="s">
        <v>8732</v>
      </c>
      <c r="G5275" s="256" t="s">
        <v>8733</v>
      </c>
      <c r="H5275" s="199" t="s">
        <v>6401</v>
      </c>
      <c r="I5275" s="197" t="s">
        <v>8751</v>
      </c>
      <c r="J5275" s="148" t="s">
        <v>63</v>
      </c>
      <c r="K5275" s="148" t="s">
        <v>64</v>
      </c>
      <c r="L5275" s="148" t="s">
        <v>65</v>
      </c>
      <c r="M5275" s="148" t="s">
        <v>66</v>
      </c>
      <c r="N5275" s="148" t="s">
        <v>8735</v>
      </c>
      <c r="O5275" s="148" t="s">
        <v>67</v>
      </c>
      <c r="P5275" s="148" t="s">
        <v>68</v>
      </c>
      <c r="Q5275" s="103"/>
      <c r="R5275" s="103"/>
      <c r="S5275" s="103"/>
      <c r="T5275" s="103"/>
      <c r="U5275" s="148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1">
        <f t="shared" si="1"/>
        <v>5270</v>
      </c>
      <c r="B5276" s="97" t="s">
        <v>8754</v>
      </c>
      <c r="C5276" s="82" t="str">
        <f>VLOOKUP($B$7:$B$5000,SUM!$L$6:$L$500,1,FALSE)</f>
        <v>#VALUE!</v>
      </c>
      <c r="D5276" s="190" t="s">
        <v>8731</v>
      </c>
      <c r="E5276" s="191" t="s">
        <v>58</v>
      </c>
      <c r="F5276" s="199" t="s">
        <v>8732</v>
      </c>
      <c r="G5276" s="191" t="s">
        <v>8733</v>
      </c>
      <c r="H5276" s="199" t="s">
        <v>8746</v>
      </c>
      <c r="I5276" s="197" t="s">
        <v>8755</v>
      </c>
      <c r="J5276" s="148" t="s">
        <v>63</v>
      </c>
      <c r="K5276" s="148" t="s">
        <v>64</v>
      </c>
      <c r="L5276" s="148" t="s">
        <v>65</v>
      </c>
      <c r="M5276" s="148" t="s">
        <v>66</v>
      </c>
      <c r="N5276" s="148" t="s">
        <v>8735</v>
      </c>
      <c r="O5276" s="148" t="s">
        <v>67</v>
      </c>
      <c r="P5276" s="148" t="s">
        <v>68</v>
      </c>
      <c r="Q5276" s="103"/>
      <c r="R5276" s="103"/>
      <c r="S5276" s="103"/>
      <c r="T5276" s="103"/>
      <c r="U5276" s="148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1">
        <f t="shared" si="1"/>
        <v>5271</v>
      </c>
      <c r="B5277" s="97" t="s">
        <v>8756</v>
      </c>
      <c r="C5277" s="82" t="str">
        <f>VLOOKUP($B$7:$B$5000,SUM!$L$6:$L$500,1,FALSE)</f>
        <v>#VALUE!</v>
      </c>
      <c r="D5277" s="190" t="s">
        <v>8731</v>
      </c>
      <c r="E5277" s="191" t="s">
        <v>58</v>
      </c>
      <c r="F5277" s="199" t="s">
        <v>8732</v>
      </c>
      <c r="G5277" s="256" t="s">
        <v>8733</v>
      </c>
      <c r="H5277" s="199" t="s">
        <v>6395</v>
      </c>
      <c r="I5277" s="197" t="s">
        <v>8755</v>
      </c>
      <c r="J5277" s="148" t="s">
        <v>63</v>
      </c>
      <c r="K5277" s="148" t="s">
        <v>64</v>
      </c>
      <c r="L5277" s="148" t="s">
        <v>65</v>
      </c>
      <c r="M5277" s="148" t="s">
        <v>66</v>
      </c>
      <c r="N5277" s="148" t="s">
        <v>8735</v>
      </c>
      <c r="O5277" s="148" t="s">
        <v>67</v>
      </c>
      <c r="P5277" s="148" t="s">
        <v>68</v>
      </c>
      <c r="Q5277" s="103"/>
      <c r="R5277" s="103"/>
      <c r="S5277" s="103"/>
      <c r="T5277" s="103"/>
      <c r="U5277" s="148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1">
        <f t="shared" si="1"/>
        <v>5272</v>
      </c>
      <c r="B5278" s="97" t="s">
        <v>8757</v>
      </c>
      <c r="C5278" s="82" t="str">
        <f>VLOOKUP($B$7:$B$5000,SUM!$L$6:$L$500,1,FALSE)</f>
        <v>#VALUE!</v>
      </c>
      <c r="D5278" s="190" t="s">
        <v>8758</v>
      </c>
      <c r="E5278" s="191" t="s">
        <v>58</v>
      </c>
      <c r="F5278" s="199" t="s">
        <v>8732</v>
      </c>
      <c r="H5278" s="199" t="s">
        <v>7083</v>
      </c>
      <c r="I5278" s="197" t="s">
        <v>8759</v>
      </c>
      <c r="J5278" s="148" t="s">
        <v>63</v>
      </c>
      <c r="K5278" s="148" t="s">
        <v>64</v>
      </c>
      <c r="L5278" s="148" t="s">
        <v>65</v>
      </c>
      <c r="M5278" s="148" t="s">
        <v>66</v>
      </c>
      <c r="N5278" s="285">
        <v>46120.0</v>
      </c>
      <c r="O5278" s="148" t="s">
        <v>67</v>
      </c>
      <c r="P5278" s="148" t="s">
        <v>68</v>
      </c>
      <c r="Q5278" s="103"/>
      <c r="R5278" s="103"/>
      <c r="S5278" s="103"/>
      <c r="T5278" s="103"/>
      <c r="U5278" s="148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1">
        <f t="shared" si="1"/>
        <v>5273</v>
      </c>
      <c r="B5279" s="97" t="s">
        <v>8760</v>
      </c>
      <c r="C5279" s="82" t="str">
        <f>VLOOKUP($B$7:$B$5000,SUM!$L$6:$L$500,1,FALSE)</f>
        <v>#VALUE!</v>
      </c>
      <c r="D5279" s="190" t="s">
        <v>8758</v>
      </c>
      <c r="E5279" s="191" t="s">
        <v>58</v>
      </c>
      <c r="F5279" s="199" t="s">
        <v>8732</v>
      </c>
      <c r="G5279" s="191" t="s">
        <v>8733</v>
      </c>
      <c r="H5279" s="199" t="s">
        <v>7086</v>
      </c>
      <c r="I5279" s="197" t="s">
        <v>8759</v>
      </c>
      <c r="J5279" s="148" t="s">
        <v>63</v>
      </c>
      <c r="K5279" s="148" t="s">
        <v>64</v>
      </c>
      <c r="L5279" s="148" t="s">
        <v>65</v>
      </c>
      <c r="M5279" s="148" t="s">
        <v>66</v>
      </c>
      <c r="N5279" s="285">
        <v>46120.0</v>
      </c>
      <c r="O5279" s="148" t="s">
        <v>67</v>
      </c>
      <c r="P5279" s="148" t="s">
        <v>68</v>
      </c>
      <c r="Q5279" s="103"/>
      <c r="R5279" s="103"/>
      <c r="S5279" s="103"/>
      <c r="T5279" s="103"/>
      <c r="U5279" s="148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1">
        <f t="shared" si="1"/>
        <v>5274</v>
      </c>
      <c r="B5280" s="97" t="s">
        <v>8761</v>
      </c>
      <c r="C5280" s="82" t="str">
        <f>VLOOKUP($B$7:$B$5000,SUM!$L$6:$L$500,1,FALSE)</f>
        <v>#VALUE!</v>
      </c>
      <c r="D5280" s="190" t="s">
        <v>8758</v>
      </c>
      <c r="E5280" s="191" t="s">
        <v>58</v>
      </c>
      <c r="F5280" s="199" t="s">
        <v>8732</v>
      </c>
      <c r="G5280" s="191" t="s">
        <v>8733</v>
      </c>
      <c r="H5280" s="199" t="s">
        <v>7088</v>
      </c>
      <c r="I5280" s="197" t="s">
        <v>8759</v>
      </c>
      <c r="J5280" s="148" t="s">
        <v>63</v>
      </c>
      <c r="K5280" s="148" t="s">
        <v>64</v>
      </c>
      <c r="L5280" s="148" t="s">
        <v>65</v>
      </c>
      <c r="M5280" s="148" t="s">
        <v>66</v>
      </c>
      <c r="N5280" s="285">
        <v>46120.0</v>
      </c>
      <c r="O5280" s="148" t="s">
        <v>67</v>
      </c>
      <c r="P5280" s="148" t="s">
        <v>68</v>
      </c>
      <c r="Q5280" s="103"/>
      <c r="R5280" s="103"/>
      <c r="S5280" s="103"/>
      <c r="T5280" s="103"/>
      <c r="U5280" s="148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1">
        <f t="shared" si="1"/>
        <v>5275</v>
      </c>
      <c r="B5281" s="97" t="s">
        <v>8762</v>
      </c>
      <c r="C5281" s="82" t="str">
        <f>VLOOKUP($B$7:$B$5000,SUM!$L$6:$L$500,1,FALSE)</f>
        <v>#VALUE!</v>
      </c>
      <c r="D5281" s="190" t="s">
        <v>8758</v>
      </c>
      <c r="E5281" s="191" t="s">
        <v>58</v>
      </c>
      <c r="F5281" s="199" t="s">
        <v>8732</v>
      </c>
      <c r="G5281" s="191" t="s">
        <v>8733</v>
      </c>
      <c r="H5281" s="199" t="s">
        <v>7091</v>
      </c>
      <c r="I5281" s="197" t="s">
        <v>8759</v>
      </c>
      <c r="J5281" s="148" t="s">
        <v>63</v>
      </c>
      <c r="K5281" s="148" t="s">
        <v>64</v>
      </c>
      <c r="L5281" s="148" t="s">
        <v>65</v>
      </c>
      <c r="M5281" s="148" t="s">
        <v>66</v>
      </c>
      <c r="N5281" s="285">
        <v>46120.0</v>
      </c>
      <c r="O5281" s="148" t="s">
        <v>67</v>
      </c>
      <c r="P5281" s="148" t="s">
        <v>68</v>
      </c>
      <c r="Q5281" s="103"/>
      <c r="R5281" s="103"/>
      <c r="S5281" s="103"/>
      <c r="T5281" s="103"/>
      <c r="U5281" s="148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1">
        <f t="shared" si="1"/>
        <v>5276</v>
      </c>
      <c r="B5282" s="97" t="s">
        <v>8763</v>
      </c>
      <c r="C5282" s="82" t="str">
        <f>VLOOKUP($B$7:$B$5000,SUM!$L$6:$L$500,1,FALSE)</f>
        <v>#VALUE!</v>
      </c>
      <c r="D5282" s="190" t="s">
        <v>8758</v>
      </c>
      <c r="E5282" s="191" t="s">
        <v>58</v>
      </c>
      <c r="F5282" s="199" t="s">
        <v>8732</v>
      </c>
      <c r="G5282" s="191" t="s">
        <v>8733</v>
      </c>
      <c r="H5282" s="199" t="s">
        <v>7093</v>
      </c>
      <c r="I5282" s="197" t="s">
        <v>8759</v>
      </c>
      <c r="J5282" s="148" t="s">
        <v>63</v>
      </c>
      <c r="K5282" s="148" t="s">
        <v>64</v>
      </c>
      <c r="L5282" s="148" t="s">
        <v>65</v>
      </c>
      <c r="M5282" s="148" t="s">
        <v>66</v>
      </c>
      <c r="N5282" s="285">
        <v>46120.0</v>
      </c>
      <c r="O5282" s="148" t="s">
        <v>67</v>
      </c>
      <c r="P5282" s="148" t="s">
        <v>68</v>
      </c>
      <c r="Q5282" s="103"/>
      <c r="R5282" s="103"/>
      <c r="S5282" s="103"/>
      <c r="T5282" s="103"/>
      <c r="U5282" s="148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1">
        <f t="shared" si="1"/>
        <v>5277</v>
      </c>
      <c r="B5283" s="97" t="s">
        <v>8764</v>
      </c>
      <c r="C5283" s="82" t="str">
        <f>VLOOKUP($B$7:$B$5000,SUM!$L$6:$L$500,1,FALSE)</f>
        <v>#VALUE!</v>
      </c>
      <c r="D5283" s="190" t="s">
        <v>8758</v>
      </c>
      <c r="E5283" s="191" t="s">
        <v>58</v>
      </c>
      <c r="F5283" s="199" t="s">
        <v>8732</v>
      </c>
      <c r="G5283" s="191" t="s">
        <v>8733</v>
      </c>
      <c r="H5283" s="199" t="s">
        <v>7095</v>
      </c>
      <c r="I5283" s="197" t="s">
        <v>8759</v>
      </c>
      <c r="J5283" s="148" t="s">
        <v>63</v>
      </c>
      <c r="K5283" s="148" t="s">
        <v>64</v>
      </c>
      <c r="L5283" s="148" t="s">
        <v>65</v>
      </c>
      <c r="M5283" s="148" t="s">
        <v>66</v>
      </c>
      <c r="N5283" s="285">
        <v>46120.0</v>
      </c>
      <c r="O5283" s="148" t="s">
        <v>67</v>
      </c>
      <c r="P5283" s="148" t="s">
        <v>68</v>
      </c>
      <c r="Q5283" s="103"/>
      <c r="R5283" s="103"/>
      <c r="S5283" s="103"/>
      <c r="T5283" s="103"/>
      <c r="U5283" s="148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1">
        <f t="shared" si="1"/>
        <v>5278</v>
      </c>
      <c r="B5284" s="97" t="s">
        <v>8765</v>
      </c>
      <c r="C5284" s="82" t="str">
        <f>VLOOKUP($B$7:$B$5000,SUM!$L$6:$L$500,1,FALSE)</f>
        <v>#VALUE!</v>
      </c>
      <c r="D5284" s="190" t="s">
        <v>8758</v>
      </c>
      <c r="E5284" s="191" t="s">
        <v>58</v>
      </c>
      <c r="F5284" s="199" t="s">
        <v>8732</v>
      </c>
      <c r="G5284" s="191" t="s">
        <v>1362</v>
      </c>
      <c r="H5284" s="199" t="s">
        <v>6297</v>
      </c>
      <c r="I5284" s="197" t="s">
        <v>8759</v>
      </c>
      <c r="J5284" s="148" t="s">
        <v>63</v>
      </c>
      <c r="K5284" s="148" t="s">
        <v>64</v>
      </c>
      <c r="L5284" s="148" t="s">
        <v>65</v>
      </c>
      <c r="M5284" s="148" t="s">
        <v>66</v>
      </c>
      <c r="N5284" s="285">
        <v>46120.0</v>
      </c>
      <c r="O5284" s="148" t="s">
        <v>67</v>
      </c>
      <c r="P5284" s="148" t="s">
        <v>68</v>
      </c>
      <c r="Q5284" s="103"/>
      <c r="R5284" s="103"/>
      <c r="S5284" s="103"/>
      <c r="T5284" s="103"/>
      <c r="U5284" s="148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1">
        <f t="shared" si="1"/>
        <v>5279</v>
      </c>
      <c r="B5285" s="97" t="s">
        <v>8766</v>
      </c>
      <c r="C5285" s="82" t="str">
        <f>VLOOKUP($B$7:$B$5000,SUM!$L$6:$L$500,1,FALSE)</f>
        <v>#VALUE!</v>
      </c>
      <c r="D5285" s="190" t="s">
        <v>8758</v>
      </c>
      <c r="E5285" s="191" t="s">
        <v>58</v>
      </c>
      <c r="F5285" s="199" t="s">
        <v>8732</v>
      </c>
      <c r="G5285" s="191" t="s">
        <v>1362</v>
      </c>
      <c r="H5285" s="199" t="s">
        <v>6299</v>
      </c>
      <c r="I5285" s="197" t="s">
        <v>8759</v>
      </c>
      <c r="J5285" s="148" t="s">
        <v>63</v>
      </c>
      <c r="K5285" s="148" t="s">
        <v>64</v>
      </c>
      <c r="L5285" s="148" t="s">
        <v>65</v>
      </c>
      <c r="M5285" s="148" t="s">
        <v>66</v>
      </c>
      <c r="N5285" s="285">
        <v>46120.0</v>
      </c>
      <c r="O5285" s="148" t="s">
        <v>67</v>
      </c>
      <c r="P5285" s="148" t="s">
        <v>68</v>
      </c>
      <c r="Q5285" s="103"/>
      <c r="R5285" s="103"/>
      <c r="S5285" s="103"/>
      <c r="T5285" s="103"/>
      <c r="U5285" s="148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1">
        <f t="shared" si="1"/>
        <v>5280</v>
      </c>
      <c r="B5286" s="97" t="s">
        <v>8767</v>
      </c>
      <c r="C5286" s="82" t="str">
        <f>VLOOKUP($B$7:$B$5000,SUM!$L$6:$L$500,1,FALSE)</f>
        <v>#VALUE!</v>
      </c>
      <c r="D5286" s="190" t="s">
        <v>8758</v>
      </c>
      <c r="E5286" s="191" t="s">
        <v>58</v>
      </c>
      <c r="F5286" s="199" t="s">
        <v>8732</v>
      </c>
      <c r="G5286" s="191" t="s">
        <v>1362</v>
      </c>
      <c r="H5286" s="199" t="s">
        <v>6301</v>
      </c>
      <c r="I5286" s="197" t="s">
        <v>8759</v>
      </c>
      <c r="J5286" s="148" t="s">
        <v>63</v>
      </c>
      <c r="K5286" s="148" t="s">
        <v>64</v>
      </c>
      <c r="L5286" s="148" t="s">
        <v>65</v>
      </c>
      <c r="M5286" s="148" t="s">
        <v>66</v>
      </c>
      <c r="N5286" s="285">
        <v>46120.0</v>
      </c>
      <c r="O5286" s="148" t="s">
        <v>67</v>
      </c>
      <c r="P5286" s="148" t="s">
        <v>68</v>
      </c>
      <c r="Q5286" s="103"/>
      <c r="R5286" s="103"/>
      <c r="S5286" s="103"/>
      <c r="T5286" s="103"/>
      <c r="U5286" s="148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1">
        <f t="shared" si="1"/>
        <v>5281</v>
      </c>
      <c r="B5287" s="97" t="s">
        <v>8768</v>
      </c>
      <c r="C5287" s="82" t="str">
        <f>VLOOKUP($B$7:$B$5000,SUM!$L$6:$L$500,1,FALSE)</f>
        <v>#VALUE!</v>
      </c>
      <c r="D5287" s="190" t="s">
        <v>8758</v>
      </c>
      <c r="E5287" s="191" t="s">
        <v>58</v>
      </c>
      <c r="F5287" s="199" t="s">
        <v>8732</v>
      </c>
      <c r="G5287" s="191" t="s">
        <v>1362</v>
      </c>
      <c r="H5287" s="199" t="s">
        <v>6303</v>
      </c>
      <c r="I5287" s="197" t="s">
        <v>8759</v>
      </c>
      <c r="J5287" s="148" t="s">
        <v>63</v>
      </c>
      <c r="K5287" s="148" t="s">
        <v>64</v>
      </c>
      <c r="L5287" s="148" t="s">
        <v>65</v>
      </c>
      <c r="M5287" s="148" t="s">
        <v>66</v>
      </c>
      <c r="N5287" s="285">
        <v>46120.0</v>
      </c>
      <c r="O5287" s="148" t="s">
        <v>67</v>
      </c>
      <c r="P5287" s="148" t="s">
        <v>68</v>
      </c>
      <c r="Q5287" s="103"/>
      <c r="R5287" s="103"/>
      <c r="S5287" s="103"/>
      <c r="T5287" s="103"/>
      <c r="U5287" s="148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1">
        <f t="shared" si="1"/>
        <v>5282</v>
      </c>
      <c r="B5288" s="97" t="s">
        <v>8769</v>
      </c>
      <c r="C5288" s="82" t="str">
        <f>VLOOKUP($B$7:$B$5000,SUM!$L$6:$L$500,1,FALSE)</f>
        <v>#VALUE!</v>
      </c>
      <c r="D5288" s="190" t="s">
        <v>8758</v>
      </c>
      <c r="E5288" s="191" t="s">
        <v>58</v>
      </c>
      <c r="F5288" s="199" t="s">
        <v>8732</v>
      </c>
      <c r="G5288" s="191" t="s">
        <v>8733</v>
      </c>
      <c r="H5288" s="199" t="s">
        <v>6407</v>
      </c>
      <c r="I5288" s="197" t="s">
        <v>8759</v>
      </c>
      <c r="J5288" s="148" t="s">
        <v>63</v>
      </c>
      <c r="K5288" s="148" t="s">
        <v>64</v>
      </c>
      <c r="L5288" s="148" t="s">
        <v>65</v>
      </c>
      <c r="M5288" s="148" t="s">
        <v>66</v>
      </c>
      <c r="N5288" s="285">
        <v>46120.0</v>
      </c>
      <c r="O5288" s="148" t="s">
        <v>67</v>
      </c>
      <c r="P5288" s="148" t="s">
        <v>68</v>
      </c>
      <c r="Q5288" s="103"/>
      <c r="R5288" s="103"/>
      <c r="S5288" s="103"/>
      <c r="T5288" s="103"/>
      <c r="U5288" s="148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1">
        <f t="shared" si="1"/>
        <v>5283</v>
      </c>
      <c r="B5289" s="97" t="s">
        <v>8770</v>
      </c>
      <c r="C5289" s="82" t="str">
        <f>VLOOKUP($B$7:$B$5000,SUM!$L$6:$L$500,1,FALSE)</f>
        <v>#VALUE!</v>
      </c>
      <c r="D5289" s="190" t="s">
        <v>8758</v>
      </c>
      <c r="E5289" s="191" t="s">
        <v>58</v>
      </c>
      <c r="F5289" s="199" t="s">
        <v>8732</v>
      </c>
      <c r="G5289" s="191" t="s">
        <v>8733</v>
      </c>
      <c r="H5289" s="199" t="s">
        <v>6409</v>
      </c>
      <c r="I5289" s="197" t="s">
        <v>8759</v>
      </c>
      <c r="J5289" s="148" t="s">
        <v>63</v>
      </c>
      <c r="K5289" s="148" t="s">
        <v>64</v>
      </c>
      <c r="L5289" s="148" t="s">
        <v>65</v>
      </c>
      <c r="M5289" s="148" t="s">
        <v>66</v>
      </c>
      <c r="N5289" s="285">
        <v>46120.0</v>
      </c>
      <c r="O5289" s="148" t="s">
        <v>67</v>
      </c>
      <c r="P5289" s="148" t="s">
        <v>68</v>
      </c>
      <c r="Q5289" s="103"/>
      <c r="R5289" s="103"/>
      <c r="S5289" s="103"/>
      <c r="T5289" s="103"/>
      <c r="U5289" s="148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1">
        <f t="shared" si="1"/>
        <v>5284</v>
      </c>
      <c r="B5290" s="97" t="s">
        <v>8771</v>
      </c>
      <c r="C5290" s="82" t="str">
        <f>VLOOKUP($B$7:$B$5000,SUM!$L$6:$L$500,1,FALSE)</f>
        <v>#VALUE!</v>
      </c>
      <c r="D5290" s="190" t="s">
        <v>8758</v>
      </c>
      <c r="E5290" s="191" t="s">
        <v>58</v>
      </c>
      <c r="F5290" s="199" t="s">
        <v>8732</v>
      </c>
      <c r="G5290" s="191" t="s">
        <v>1362</v>
      </c>
      <c r="H5290" s="199" t="s">
        <v>6297</v>
      </c>
      <c r="I5290" s="197" t="s">
        <v>8772</v>
      </c>
      <c r="J5290" s="148" t="s">
        <v>74</v>
      </c>
      <c r="K5290" s="148" t="s">
        <v>64</v>
      </c>
      <c r="L5290" s="148" t="s">
        <v>65</v>
      </c>
      <c r="M5290" s="148" t="s">
        <v>66</v>
      </c>
      <c r="N5290" s="285">
        <v>46120.0</v>
      </c>
      <c r="O5290" s="148" t="s">
        <v>67</v>
      </c>
      <c r="P5290" s="148" t="s">
        <v>68</v>
      </c>
      <c r="Q5290" s="103"/>
      <c r="R5290" s="103"/>
      <c r="S5290" s="103"/>
      <c r="T5290" s="103"/>
      <c r="U5290" s="148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1">
        <f t="shared" si="1"/>
        <v>5285</v>
      </c>
      <c r="B5291" s="97" t="s">
        <v>8773</v>
      </c>
      <c r="C5291" s="82" t="str">
        <f>VLOOKUP($B$7:$B$5000,SUM!$L$6:$L$500,1,FALSE)</f>
        <v>#VALUE!</v>
      </c>
      <c r="D5291" s="190" t="s">
        <v>8758</v>
      </c>
      <c r="E5291" s="191" t="s">
        <v>58</v>
      </c>
      <c r="F5291" s="199" t="s">
        <v>8732</v>
      </c>
      <c r="G5291" s="256" t="s">
        <v>1362</v>
      </c>
      <c r="H5291" s="199" t="s">
        <v>6299</v>
      </c>
      <c r="I5291" s="197" t="s">
        <v>8772</v>
      </c>
      <c r="J5291" s="148" t="s">
        <v>74</v>
      </c>
      <c r="K5291" s="148" t="s">
        <v>64</v>
      </c>
      <c r="L5291" s="148" t="s">
        <v>65</v>
      </c>
      <c r="M5291" s="148" t="s">
        <v>66</v>
      </c>
      <c r="N5291" s="285">
        <v>46120.0</v>
      </c>
      <c r="O5291" s="148" t="s">
        <v>67</v>
      </c>
      <c r="P5291" s="148" t="s">
        <v>68</v>
      </c>
      <c r="Q5291" s="103"/>
      <c r="R5291" s="103"/>
      <c r="S5291" s="103"/>
      <c r="T5291" s="103"/>
      <c r="U5291" s="148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1">
        <f t="shared" si="1"/>
        <v>5286</v>
      </c>
      <c r="B5292" s="97" t="s">
        <v>8774</v>
      </c>
      <c r="C5292" s="82" t="str">
        <f>VLOOKUP($B$7:$B$5000,SUM!$L$6:$L$500,1,FALSE)</f>
        <v>#VALUE!</v>
      </c>
      <c r="D5292" s="190" t="s">
        <v>8758</v>
      </c>
      <c r="E5292" s="191" t="s">
        <v>58</v>
      </c>
      <c r="F5292" s="199" t="s">
        <v>8732</v>
      </c>
      <c r="G5292" s="191" t="s">
        <v>1362</v>
      </c>
      <c r="H5292" s="199" t="s">
        <v>6301</v>
      </c>
      <c r="I5292" s="197" t="s">
        <v>8772</v>
      </c>
      <c r="J5292" s="148" t="s">
        <v>74</v>
      </c>
      <c r="K5292" s="148" t="s">
        <v>64</v>
      </c>
      <c r="L5292" s="148" t="s">
        <v>65</v>
      </c>
      <c r="M5292" s="148" t="s">
        <v>66</v>
      </c>
      <c r="N5292" s="285">
        <v>46120.0</v>
      </c>
      <c r="O5292" s="148" t="s">
        <v>67</v>
      </c>
      <c r="P5292" s="148" t="s">
        <v>68</v>
      </c>
      <c r="Q5292" s="103"/>
      <c r="R5292" s="103"/>
      <c r="S5292" s="103"/>
      <c r="T5292" s="103"/>
      <c r="U5292" s="148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1">
        <f t="shared" si="1"/>
        <v>5287</v>
      </c>
      <c r="B5293" s="97" t="s">
        <v>8775</v>
      </c>
      <c r="C5293" s="82" t="str">
        <f>VLOOKUP($B$7:$B$5000,SUM!$L$6:$L$500,1,FALSE)</f>
        <v>#VALUE!</v>
      </c>
      <c r="D5293" s="190" t="s">
        <v>8758</v>
      </c>
      <c r="E5293" s="191" t="s">
        <v>58</v>
      </c>
      <c r="F5293" s="199" t="s">
        <v>8732</v>
      </c>
      <c r="G5293" s="191" t="s">
        <v>1362</v>
      </c>
      <c r="H5293" s="199" t="s">
        <v>6303</v>
      </c>
      <c r="I5293" s="197" t="s">
        <v>8772</v>
      </c>
      <c r="J5293" s="148" t="s">
        <v>74</v>
      </c>
      <c r="K5293" s="148" t="s">
        <v>64</v>
      </c>
      <c r="L5293" s="148" t="s">
        <v>65</v>
      </c>
      <c r="M5293" s="148" t="s">
        <v>66</v>
      </c>
      <c r="N5293" s="285">
        <v>46120.0</v>
      </c>
      <c r="O5293" s="148" t="s">
        <v>67</v>
      </c>
      <c r="P5293" s="148" t="s">
        <v>68</v>
      </c>
      <c r="Q5293" s="103"/>
      <c r="R5293" s="103"/>
      <c r="S5293" s="103"/>
      <c r="T5293" s="103"/>
      <c r="U5293" s="148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1">
        <f t="shared" si="1"/>
        <v>5288</v>
      </c>
      <c r="B5294" s="97" t="s">
        <v>8776</v>
      </c>
      <c r="C5294" s="82" t="str">
        <f>VLOOKUP($B$7:$B$5000,SUM!$L$6:$L$500,1,FALSE)</f>
        <v>#VALUE!</v>
      </c>
      <c r="D5294" s="190" t="s">
        <v>8777</v>
      </c>
      <c r="E5294" s="191" t="s">
        <v>58</v>
      </c>
      <c r="F5294" s="199" t="s">
        <v>8732</v>
      </c>
      <c r="G5294" s="191" t="s">
        <v>1362</v>
      </c>
      <c r="H5294" s="199" t="s">
        <v>1928</v>
      </c>
      <c r="I5294" s="197" t="s">
        <v>8772</v>
      </c>
      <c r="J5294" s="148" t="s">
        <v>74</v>
      </c>
      <c r="K5294" s="148" t="s">
        <v>64</v>
      </c>
      <c r="L5294" s="148" t="s">
        <v>65</v>
      </c>
      <c r="M5294" s="148" t="s">
        <v>66</v>
      </c>
      <c r="N5294" s="285">
        <v>46120.0</v>
      </c>
      <c r="O5294" s="148" t="s">
        <v>67</v>
      </c>
      <c r="P5294" s="148" t="s">
        <v>68</v>
      </c>
      <c r="Q5294" s="103"/>
      <c r="R5294" s="103"/>
      <c r="S5294" s="103"/>
      <c r="T5294" s="103"/>
      <c r="U5294" s="148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1">
        <f t="shared" si="1"/>
        <v>5289</v>
      </c>
      <c r="B5295" s="97" t="s">
        <v>8778</v>
      </c>
      <c r="C5295" s="82" t="str">
        <f>VLOOKUP($B$7:$B$5000,SUM!$L$6:$L$500,1,FALSE)</f>
        <v>#VALUE!</v>
      </c>
      <c r="D5295" s="190" t="s">
        <v>8777</v>
      </c>
      <c r="E5295" s="191" t="s">
        <v>58</v>
      </c>
      <c r="F5295" s="199" t="s">
        <v>8732</v>
      </c>
      <c r="G5295" s="191" t="s">
        <v>1362</v>
      </c>
      <c r="H5295" s="199" t="s">
        <v>1930</v>
      </c>
      <c r="I5295" s="197" t="s">
        <v>8772</v>
      </c>
      <c r="J5295" s="148" t="s">
        <v>74</v>
      </c>
      <c r="K5295" s="148" t="s">
        <v>64</v>
      </c>
      <c r="L5295" s="148" t="s">
        <v>65</v>
      </c>
      <c r="M5295" s="148" t="s">
        <v>66</v>
      </c>
      <c r="N5295" s="285">
        <v>46120.0</v>
      </c>
      <c r="O5295" s="148" t="s">
        <v>67</v>
      </c>
      <c r="P5295" s="148" t="s">
        <v>68</v>
      </c>
      <c r="Q5295" s="103"/>
      <c r="R5295" s="103"/>
      <c r="S5295" s="103"/>
      <c r="T5295" s="103"/>
      <c r="U5295" s="148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1">
        <f t="shared" si="1"/>
        <v>5290</v>
      </c>
      <c r="B5296" s="97" t="s">
        <v>8779</v>
      </c>
      <c r="C5296" s="82" t="str">
        <f>VLOOKUP($B$7:$B$5000,SUM!$L$6:$L$500,1,FALSE)</f>
        <v>#VALUE!</v>
      </c>
      <c r="D5296" s="190" t="s">
        <v>8777</v>
      </c>
      <c r="E5296" s="191" t="s">
        <v>58</v>
      </c>
      <c r="F5296" s="199" t="s">
        <v>8732</v>
      </c>
      <c r="G5296" s="191" t="s">
        <v>1362</v>
      </c>
      <c r="H5296" s="199" t="s">
        <v>1932</v>
      </c>
      <c r="I5296" s="197" t="s">
        <v>8772</v>
      </c>
      <c r="J5296" s="148" t="s">
        <v>74</v>
      </c>
      <c r="K5296" s="148" t="s">
        <v>64</v>
      </c>
      <c r="L5296" s="148" t="s">
        <v>65</v>
      </c>
      <c r="M5296" s="148" t="s">
        <v>66</v>
      </c>
      <c r="N5296" s="285">
        <v>46120.0</v>
      </c>
      <c r="O5296" s="148" t="s">
        <v>67</v>
      </c>
      <c r="P5296" s="148" t="s">
        <v>68</v>
      </c>
      <c r="Q5296" s="103"/>
      <c r="R5296" s="103"/>
      <c r="S5296" s="103"/>
      <c r="T5296" s="103"/>
      <c r="U5296" s="148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1">
        <f t="shared" si="1"/>
        <v>5291</v>
      </c>
      <c r="B5297" s="97" t="s">
        <v>8780</v>
      </c>
      <c r="C5297" s="82" t="str">
        <f>VLOOKUP($B$7:$B$5000,SUM!$L$6:$L$500,1,FALSE)</f>
        <v>#VALUE!</v>
      </c>
      <c r="D5297" s="190" t="s">
        <v>8777</v>
      </c>
      <c r="E5297" s="191" t="s">
        <v>58</v>
      </c>
      <c r="F5297" s="199" t="s">
        <v>8732</v>
      </c>
      <c r="G5297" s="191" t="s">
        <v>1362</v>
      </c>
      <c r="H5297" s="199" t="s">
        <v>1934</v>
      </c>
      <c r="I5297" s="197" t="s">
        <v>8772</v>
      </c>
      <c r="J5297" s="148" t="s">
        <v>74</v>
      </c>
      <c r="K5297" s="148" t="s">
        <v>64</v>
      </c>
      <c r="L5297" s="148" t="s">
        <v>65</v>
      </c>
      <c r="M5297" s="148" t="s">
        <v>66</v>
      </c>
      <c r="N5297" s="285">
        <v>46120.0</v>
      </c>
      <c r="O5297" s="148" t="s">
        <v>67</v>
      </c>
      <c r="P5297" s="148" t="s">
        <v>68</v>
      </c>
      <c r="Q5297" s="103"/>
      <c r="R5297" s="103"/>
      <c r="S5297" s="103"/>
      <c r="T5297" s="103"/>
      <c r="U5297" s="148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1">
        <f t="shared" si="1"/>
        <v>5292</v>
      </c>
      <c r="B5298" s="97" t="s">
        <v>8781</v>
      </c>
      <c r="C5298" s="82" t="str">
        <f>VLOOKUP($B$7:$B$5000,SUM!$L$6:$L$500,1,FALSE)</f>
        <v>#VALUE!</v>
      </c>
      <c r="D5298" s="190" t="s">
        <v>8777</v>
      </c>
      <c r="E5298" s="191" t="s">
        <v>58</v>
      </c>
      <c r="F5298" s="199" t="s">
        <v>8732</v>
      </c>
      <c r="G5298" s="191" t="s">
        <v>1362</v>
      </c>
      <c r="H5298" s="199" t="s">
        <v>1936</v>
      </c>
      <c r="I5298" s="197" t="s">
        <v>8772</v>
      </c>
      <c r="J5298" s="148" t="s">
        <v>74</v>
      </c>
      <c r="K5298" s="148" t="s">
        <v>64</v>
      </c>
      <c r="L5298" s="148" t="s">
        <v>65</v>
      </c>
      <c r="M5298" s="148" t="s">
        <v>66</v>
      </c>
      <c r="N5298" s="285">
        <v>46120.0</v>
      </c>
      <c r="O5298" s="148" t="s">
        <v>67</v>
      </c>
      <c r="P5298" s="148" t="s">
        <v>68</v>
      </c>
      <c r="Q5298" s="103"/>
      <c r="R5298" s="103"/>
      <c r="S5298" s="103"/>
      <c r="T5298" s="103"/>
      <c r="U5298" s="148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1">
        <f t="shared" si="1"/>
        <v>5293</v>
      </c>
      <c r="B5299" s="97" t="s">
        <v>8782</v>
      </c>
      <c r="C5299" s="82" t="str">
        <f>VLOOKUP($B$7:$B$5000,SUM!$L$6:$L$500,1,FALSE)</f>
        <v>#VALUE!</v>
      </c>
      <c r="D5299" s="190" t="s">
        <v>8777</v>
      </c>
      <c r="E5299" s="191" t="s">
        <v>58</v>
      </c>
      <c r="F5299" s="199" t="s">
        <v>8732</v>
      </c>
      <c r="G5299" s="191" t="s">
        <v>1362</v>
      </c>
      <c r="H5299" s="199" t="s">
        <v>1938</v>
      </c>
      <c r="I5299" s="197" t="s">
        <v>8772</v>
      </c>
      <c r="J5299" s="148" t="s">
        <v>74</v>
      </c>
      <c r="K5299" s="148" t="s">
        <v>64</v>
      </c>
      <c r="L5299" s="148" t="s">
        <v>65</v>
      </c>
      <c r="M5299" s="148" t="s">
        <v>66</v>
      </c>
      <c r="N5299" s="285">
        <v>46120.0</v>
      </c>
      <c r="O5299" s="148" t="s">
        <v>67</v>
      </c>
      <c r="P5299" s="148" t="s">
        <v>68</v>
      </c>
      <c r="Q5299" s="103"/>
      <c r="R5299" s="103"/>
      <c r="S5299" s="103"/>
      <c r="T5299" s="103"/>
      <c r="U5299" s="148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1">
        <f t="shared" si="1"/>
        <v>5294</v>
      </c>
      <c r="B5300" s="97" t="s">
        <v>8783</v>
      </c>
      <c r="C5300" s="82" t="str">
        <f>VLOOKUP($B$7:$B$5000,SUM!$L$6:$L$500,1,FALSE)</f>
        <v>#VALUE!</v>
      </c>
      <c r="D5300" s="190" t="s">
        <v>8777</v>
      </c>
      <c r="E5300" s="191" t="s">
        <v>58</v>
      </c>
      <c r="F5300" s="199" t="s">
        <v>8732</v>
      </c>
      <c r="G5300" s="191" t="s">
        <v>1362</v>
      </c>
      <c r="H5300" s="199" t="s">
        <v>1940</v>
      </c>
      <c r="I5300" s="197" t="s">
        <v>8772</v>
      </c>
      <c r="J5300" s="148" t="s">
        <v>74</v>
      </c>
      <c r="K5300" s="148" t="s">
        <v>64</v>
      </c>
      <c r="L5300" s="148" t="s">
        <v>65</v>
      </c>
      <c r="M5300" s="148" t="s">
        <v>66</v>
      </c>
      <c r="N5300" s="285">
        <v>46120.0</v>
      </c>
      <c r="O5300" s="148" t="s">
        <v>67</v>
      </c>
      <c r="P5300" s="148" t="s">
        <v>68</v>
      </c>
      <c r="Q5300" s="103"/>
      <c r="R5300" s="103"/>
      <c r="S5300" s="103"/>
      <c r="T5300" s="103"/>
      <c r="U5300" s="148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1">
        <f t="shared" si="1"/>
        <v>5295</v>
      </c>
      <c r="B5301" s="97" t="s">
        <v>8784</v>
      </c>
      <c r="C5301" s="82" t="str">
        <f>VLOOKUP($B$7:$B$5000,SUM!$L$6:$L$500,1,FALSE)</f>
        <v>#VALUE!</v>
      </c>
      <c r="D5301" s="190" t="s">
        <v>8777</v>
      </c>
      <c r="E5301" s="191" t="s">
        <v>58</v>
      </c>
      <c r="F5301" s="199" t="s">
        <v>8732</v>
      </c>
      <c r="G5301" s="191" t="s">
        <v>1362</v>
      </c>
      <c r="H5301" s="199" t="s">
        <v>1928</v>
      </c>
      <c r="I5301" s="197" t="s">
        <v>8759</v>
      </c>
      <c r="J5301" s="148" t="s">
        <v>63</v>
      </c>
      <c r="K5301" s="148" t="s">
        <v>64</v>
      </c>
      <c r="L5301" s="148" t="s">
        <v>65</v>
      </c>
      <c r="M5301" s="148" t="s">
        <v>66</v>
      </c>
      <c r="N5301" s="285">
        <v>46120.0</v>
      </c>
      <c r="O5301" s="148" t="s">
        <v>67</v>
      </c>
      <c r="P5301" s="148" t="s">
        <v>68</v>
      </c>
      <c r="Q5301" s="103"/>
      <c r="R5301" s="103"/>
      <c r="S5301" s="103"/>
      <c r="T5301" s="103"/>
      <c r="U5301" s="148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1">
        <f t="shared" si="1"/>
        <v>5296</v>
      </c>
      <c r="B5302" s="97" t="s">
        <v>8785</v>
      </c>
      <c r="C5302" s="82" t="str">
        <f>VLOOKUP($B$7:$B$5000,SUM!$L$6:$L$500,1,FALSE)</f>
        <v>#VALUE!</v>
      </c>
      <c r="D5302" s="190" t="s">
        <v>8777</v>
      </c>
      <c r="E5302" s="191" t="s">
        <v>58</v>
      </c>
      <c r="F5302" s="199" t="s">
        <v>8732</v>
      </c>
      <c r="G5302" s="191" t="s">
        <v>1362</v>
      </c>
      <c r="H5302" s="199" t="s">
        <v>1930</v>
      </c>
      <c r="I5302" s="197" t="s">
        <v>8759</v>
      </c>
      <c r="J5302" s="148" t="s">
        <v>63</v>
      </c>
      <c r="K5302" s="148" t="s">
        <v>64</v>
      </c>
      <c r="L5302" s="148" t="s">
        <v>65</v>
      </c>
      <c r="M5302" s="148" t="s">
        <v>66</v>
      </c>
      <c r="N5302" s="285">
        <v>46120.0</v>
      </c>
      <c r="O5302" s="148" t="s">
        <v>67</v>
      </c>
      <c r="P5302" s="148" t="s">
        <v>68</v>
      </c>
      <c r="Q5302" s="103"/>
      <c r="R5302" s="103"/>
      <c r="S5302" s="103"/>
      <c r="T5302" s="103"/>
      <c r="U5302" s="148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1">
        <f t="shared" si="1"/>
        <v>5297</v>
      </c>
      <c r="B5303" s="97" t="s">
        <v>8786</v>
      </c>
      <c r="C5303" s="82" t="str">
        <f>VLOOKUP($B$7:$B$5000,SUM!$L$6:$L$500,1,FALSE)</f>
        <v>#VALUE!</v>
      </c>
      <c r="D5303" s="190" t="s">
        <v>8777</v>
      </c>
      <c r="E5303" s="191" t="s">
        <v>58</v>
      </c>
      <c r="F5303" s="199" t="s">
        <v>8732</v>
      </c>
      <c r="G5303" s="191" t="s">
        <v>1362</v>
      </c>
      <c r="H5303" s="199" t="s">
        <v>1932</v>
      </c>
      <c r="I5303" s="197" t="s">
        <v>8759</v>
      </c>
      <c r="J5303" s="148" t="s">
        <v>63</v>
      </c>
      <c r="K5303" s="148" t="s">
        <v>64</v>
      </c>
      <c r="L5303" s="148" t="s">
        <v>65</v>
      </c>
      <c r="M5303" s="148" t="s">
        <v>66</v>
      </c>
      <c r="N5303" s="285">
        <v>46120.0</v>
      </c>
      <c r="O5303" s="148" t="s">
        <v>67</v>
      </c>
      <c r="P5303" s="148" t="s">
        <v>68</v>
      </c>
      <c r="Q5303" s="103"/>
      <c r="R5303" s="103"/>
      <c r="S5303" s="103"/>
      <c r="T5303" s="103"/>
      <c r="U5303" s="148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1">
        <f t="shared" si="1"/>
        <v>5298</v>
      </c>
      <c r="B5304" s="97" t="s">
        <v>8787</v>
      </c>
      <c r="C5304" s="82" t="str">
        <f>VLOOKUP($B$7:$B$5000,SUM!$L$6:$L$500,1,FALSE)</f>
        <v>#VALUE!</v>
      </c>
      <c r="D5304" s="190" t="s">
        <v>8777</v>
      </c>
      <c r="E5304" s="191" t="s">
        <v>58</v>
      </c>
      <c r="F5304" s="199" t="s">
        <v>8732</v>
      </c>
      <c r="G5304" s="191" t="s">
        <v>1362</v>
      </c>
      <c r="H5304" s="199" t="s">
        <v>1934</v>
      </c>
      <c r="I5304" s="197" t="s">
        <v>8759</v>
      </c>
      <c r="J5304" s="148" t="s">
        <v>63</v>
      </c>
      <c r="K5304" s="148" t="s">
        <v>64</v>
      </c>
      <c r="L5304" s="148" t="s">
        <v>65</v>
      </c>
      <c r="M5304" s="148" t="s">
        <v>66</v>
      </c>
      <c r="N5304" s="285">
        <v>46120.0</v>
      </c>
      <c r="O5304" s="148" t="s">
        <v>67</v>
      </c>
      <c r="P5304" s="148" t="s">
        <v>68</v>
      </c>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1">
        <f t="shared" si="1"/>
        <v>5299</v>
      </c>
      <c r="B5305" s="97" t="s">
        <v>8788</v>
      </c>
      <c r="C5305" s="82" t="str">
        <f>VLOOKUP($B$7:$B$5000,SUM!$L$6:$L$500,1,FALSE)</f>
        <v>#VALUE!</v>
      </c>
      <c r="D5305" s="190" t="s">
        <v>8777</v>
      </c>
      <c r="E5305" s="191" t="s">
        <v>58</v>
      </c>
      <c r="F5305" s="199" t="s">
        <v>8732</v>
      </c>
      <c r="G5305" s="191" t="s">
        <v>1362</v>
      </c>
      <c r="H5305" s="199" t="s">
        <v>1936</v>
      </c>
      <c r="I5305" s="197" t="s">
        <v>8759</v>
      </c>
      <c r="J5305" s="148" t="s">
        <v>63</v>
      </c>
      <c r="K5305" s="148" t="s">
        <v>64</v>
      </c>
      <c r="L5305" s="148" t="s">
        <v>65</v>
      </c>
      <c r="M5305" s="148" t="s">
        <v>66</v>
      </c>
      <c r="N5305" s="285">
        <v>46120.0</v>
      </c>
      <c r="O5305" s="148" t="s">
        <v>67</v>
      </c>
      <c r="P5305" s="148" t="s">
        <v>68</v>
      </c>
      <c r="Q5305" s="103"/>
      <c r="R5305" s="103"/>
      <c r="S5305" s="103"/>
      <c r="T5305" s="103"/>
      <c r="U5305" s="148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1">
        <f t="shared" si="1"/>
        <v>5300</v>
      </c>
      <c r="B5306" s="97" t="s">
        <v>8789</v>
      </c>
      <c r="C5306" s="82" t="str">
        <f>VLOOKUP($B$7:$B$5000,SUM!$L$6:$L$500,1,FALSE)</f>
        <v>#VALUE!</v>
      </c>
      <c r="D5306" s="190" t="s">
        <v>8777</v>
      </c>
      <c r="E5306" s="191" t="s">
        <v>58</v>
      </c>
      <c r="F5306" s="199" t="s">
        <v>8732</v>
      </c>
      <c r="G5306" s="191" t="s">
        <v>1362</v>
      </c>
      <c r="H5306" s="199" t="s">
        <v>1938</v>
      </c>
      <c r="I5306" s="197" t="s">
        <v>8759</v>
      </c>
      <c r="J5306" s="148" t="s">
        <v>63</v>
      </c>
      <c r="K5306" s="148" t="s">
        <v>64</v>
      </c>
      <c r="L5306" s="148" t="s">
        <v>65</v>
      </c>
      <c r="M5306" s="148" t="s">
        <v>66</v>
      </c>
      <c r="N5306" s="285">
        <v>46120.0</v>
      </c>
      <c r="O5306" s="148" t="s">
        <v>67</v>
      </c>
      <c r="P5306" s="148" t="s">
        <v>68</v>
      </c>
      <c r="Q5306" s="103"/>
      <c r="R5306" s="103"/>
      <c r="S5306" s="103"/>
      <c r="T5306" s="103"/>
      <c r="U5306" s="148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1">
        <f t="shared" si="1"/>
        <v>5301</v>
      </c>
      <c r="B5307" s="97" t="s">
        <v>8790</v>
      </c>
      <c r="C5307" s="82" t="str">
        <f>VLOOKUP($B$7:$B$5000,SUM!$L$6:$L$500,1,FALSE)</f>
        <v>#VALUE!</v>
      </c>
      <c r="D5307" s="190" t="s">
        <v>8777</v>
      </c>
      <c r="E5307" s="191" t="s">
        <v>58</v>
      </c>
      <c r="F5307" s="199" t="s">
        <v>8732</v>
      </c>
      <c r="G5307" s="191" t="s">
        <v>1362</v>
      </c>
      <c r="H5307" s="199" t="s">
        <v>1940</v>
      </c>
      <c r="I5307" s="197" t="s">
        <v>8759</v>
      </c>
      <c r="J5307" s="148" t="s">
        <v>63</v>
      </c>
      <c r="K5307" s="148" t="s">
        <v>64</v>
      </c>
      <c r="L5307" s="148" t="s">
        <v>65</v>
      </c>
      <c r="M5307" s="148" t="s">
        <v>66</v>
      </c>
      <c r="N5307" s="285">
        <v>46120.0</v>
      </c>
      <c r="O5307" s="148" t="s">
        <v>67</v>
      </c>
      <c r="P5307" s="148" t="s">
        <v>68</v>
      </c>
      <c r="Q5307" s="103"/>
      <c r="R5307" s="103"/>
      <c r="S5307" s="103"/>
      <c r="T5307" s="103"/>
      <c r="U5307" s="148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1">
        <f t="shared" si="1"/>
        <v>5302</v>
      </c>
      <c r="B5308" s="97" t="s">
        <v>8791</v>
      </c>
      <c r="C5308" s="82" t="str">
        <f>VLOOKUP($B$7:$B$5000,SUM!$L$6:$L$500,1,FALSE)</f>
        <v>#VALUE!</v>
      </c>
      <c r="D5308" s="286" t="s">
        <v>8792</v>
      </c>
      <c r="E5308" s="189" t="s">
        <v>58</v>
      </c>
      <c r="F5308" s="148" t="s">
        <v>8724</v>
      </c>
      <c r="G5308" s="191" t="s">
        <v>1362</v>
      </c>
      <c r="H5308" s="199" t="s">
        <v>8793</v>
      </c>
      <c r="I5308" s="270" t="s">
        <v>8794</v>
      </c>
      <c r="J5308" s="148" t="s">
        <v>63</v>
      </c>
      <c r="K5308" s="148" t="s">
        <v>4434</v>
      </c>
      <c r="L5308" s="148" t="s">
        <v>65</v>
      </c>
      <c r="M5308" s="148" t="s">
        <v>66</v>
      </c>
      <c r="N5308" s="285">
        <v>46120.0</v>
      </c>
      <c r="O5308" s="148" t="s">
        <v>67</v>
      </c>
      <c r="P5308" s="148" t="s">
        <v>68</v>
      </c>
      <c r="Q5308" s="103"/>
      <c r="R5308" s="103"/>
      <c r="S5308" s="103"/>
      <c r="T5308" s="103"/>
      <c r="U5308" s="148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1">
        <f t="shared" si="1"/>
        <v>5303</v>
      </c>
      <c r="B5309" s="97" t="s">
        <v>8795</v>
      </c>
      <c r="C5309" s="82" t="str">
        <f>VLOOKUP($B$7:$B$5000,SUM!$L$6:$L$500,1,FALSE)</f>
        <v>#VALUE!</v>
      </c>
      <c r="D5309" s="271" t="s">
        <v>8792</v>
      </c>
      <c r="E5309" s="189" t="s">
        <v>58</v>
      </c>
      <c r="F5309" s="148" t="s">
        <v>8724</v>
      </c>
      <c r="G5309" s="191" t="s">
        <v>1362</v>
      </c>
      <c r="H5309" s="199" t="s">
        <v>8796</v>
      </c>
      <c r="I5309" s="270" t="s">
        <v>8794</v>
      </c>
      <c r="J5309" s="148" t="s">
        <v>63</v>
      </c>
      <c r="K5309" s="148" t="s">
        <v>4434</v>
      </c>
      <c r="L5309" s="148" t="s">
        <v>65</v>
      </c>
      <c r="M5309" s="148" t="s">
        <v>66</v>
      </c>
      <c r="N5309" s="285">
        <v>46120.0</v>
      </c>
      <c r="O5309" s="148" t="s">
        <v>67</v>
      </c>
      <c r="P5309" s="148" t="s">
        <v>68</v>
      </c>
      <c r="Q5309" s="103"/>
      <c r="R5309" s="103"/>
      <c r="S5309" s="103"/>
      <c r="T5309" s="103"/>
      <c r="U5309" s="148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1">
        <f t="shared" si="1"/>
        <v>5304</v>
      </c>
      <c r="B5310" s="97" t="s">
        <v>8797</v>
      </c>
      <c r="C5310" s="82" t="str">
        <f>VLOOKUP($B$7:$B$5000,SUM!$L$6:$L$500,1,FALSE)</f>
        <v>#VALUE!</v>
      </c>
      <c r="D5310" s="286" t="s">
        <v>8792</v>
      </c>
      <c r="E5310" s="189" t="s">
        <v>58</v>
      </c>
      <c r="F5310" s="148" t="s">
        <v>8724</v>
      </c>
      <c r="G5310" s="191" t="s">
        <v>1362</v>
      </c>
      <c r="H5310" s="199" t="s">
        <v>8798</v>
      </c>
      <c r="I5310" s="270" t="s">
        <v>8794</v>
      </c>
      <c r="J5310" s="148" t="s">
        <v>63</v>
      </c>
      <c r="K5310" s="148" t="s">
        <v>4434</v>
      </c>
      <c r="L5310" s="148" t="s">
        <v>65</v>
      </c>
      <c r="M5310" s="148" t="s">
        <v>66</v>
      </c>
      <c r="N5310" s="285">
        <v>46120.0</v>
      </c>
      <c r="O5310" s="148" t="s">
        <v>67</v>
      </c>
      <c r="P5310" s="148" t="s">
        <v>68</v>
      </c>
      <c r="Q5310" s="103"/>
      <c r="R5310" s="103"/>
      <c r="S5310" s="103"/>
      <c r="T5310" s="103"/>
      <c r="U5310" s="148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1">
        <f t="shared" si="1"/>
        <v>5305</v>
      </c>
      <c r="B5311" s="97" t="s">
        <v>8799</v>
      </c>
      <c r="C5311" s="82" t="str">
        <f>VLOOKUP($B$7:$B$5000,SUM!$L$6:$L$500,1,FALSE)</f>
        <v>#VALUE!</v>
      </c>
      <c r="D5311" s="271" t="s">
        <v>8792</v>
      </c>
      <c r="E5311" s="189" t="s">
        <v>58</v>
      </c>
      <c r="F5311" s="148" t="s">
        <v>8724</v>
      </c>
      <c r="G5311" s="191" t="s">
        <v>1362</v>
      </c>
      <c r="H5311" s="199" t="s">
        <v>8800</v>
      </c>
      <c r="I5311" s="270" t="s">
        <v>8794</v>
      </c>
      <c r="J5311" s="148" t="s">
        <v>63</v>
      </c>
      <c r="K5311" s="148" t="s">
        <v>4434</v>
      </c>
      <c r="L5311" s="148" t="s">
        <v>65</v>
      </c>
      <c r="M5311" s="148" t="s">
        <v>66</v>
      </c>
      <c r="N5311" s="285">
        <v>46120.0</v>
      </c>
      <c r="O5311" s="148" t="s">
        <v>67</v>
      </c>
      <c r="P5311" s="148" t="s">
        <v>68</v>
      </c>
      <c r="Q5311" s="103"/>
      <c r="R5311" s="103"/>
      <c r="S5311" s="103"/>
      <c r="T5311" s="103"/>
      <c r="U5311" s="148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1">
        <f t="shared" si="1"/>
        <v>5306</v>
      </c>
      <c r="B5312" s="97" t="s">
        <v>8801</v>
      </c>
      <c r="C5312" s="82" t="str">
        <f>VLOOKUP($B$7:$B$5000,SUM!$L$6:$L$500,1,FALSE)</f>
        <v>#VALUE!</v>
      </c>
      <c r="D5312" s="286" t="s">
        <v>8792</v>
      </c>
      <c r="E5312" s="189" t="s">
        <v>58</v>
      </c>
      <c r="F5312" s="148" t="s">
        <v>8724</v>
      </c>
      <c r="G5312" s="191" t="s">
        <v>1362</v>
      </c>
      <c r="H5312" s="199" t="s">
        <v>8802</v>
      </c>
      <c r="I5312" s="270" t="s">
        <v>8794</v>
      </c>
      <c r="J5312" s="148" t="s">
        <v>63</v>
      </c>
      <c r="K5312" s="148" t="s">
        <v>4434</v>
      </c>
      <c r="L5312" s="148" t="s">
        <v>65</v>
      </c>
      <c r="M5312" s="148" t="s">
        <v>66</v>
      </c>
      <c r="N5312" s="285">
        <v>46120.0</v>
      </c>
      <c r="O5312" s="148" t="s">
        <v>67</v>
      </c>
      <c r="P5312" s="148" t="s">
        <v>68</v>
      </c>
      <c r="Q5312" s="103"/>
      <c r="R5312" s="103"/>
      <c r="S5312" s="103"/>
      <c r="T5312" s="103"/>
      <c r="U5312" s="148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1">
        <f t="shared" si="1"/>
        <v>5307</v>
      </c>
      <c r="B5313" s="97" t="s">
        <v>8803</v>
      </c>
      <c r="C5313" s="82" t="str">
        <f>VLOOKUP($B$7:$B$5000,SUM!$L$6:$L$500,1,FALSE)</f>
        <v>#VALUE!</v>
      </c>
      <c r="D5313" s="271" t="s">
        <v>8792</v>
      </c>
      <c r="E5313" s="189" t="s">
        <v>58</v>
      </c>
      <c r="F5313" s="148" t="s">
        <v>8724</v>
      </c>
      <c r="G5313" s="191" t="s">
        <v>1362</v>
      </c>
      <c r="H5313" s="199" t="s">
        <v>8804</v>
      </c>
      <c r="I5313" s="270" t="s">
        <v>8805</v>
      </c>
      <c r="J5313" s="148" t="s">
        <v>63</v>
      </c>
      <c r="K5313" s="148" t="s">
        <v>4434</v>
      </c>
      <c r="L5313" s="148" t="s">
        <v>65</v>
      </c>
      <c r="M5313" s="148" t="s">
        <v>66</v>
      </c>
      <c r="N5313" s="285">
        <v>46120.0</v>
      </c>
      <c r="O5313" s="148" t="s">
        <v>67</v>
      </c>
      <c r="P5313" s="148" t="s">
        <v>68</v>
      </c>
      <c r="Q5313" s="103"/>
      <c r="R5313" s="103"/>
      <c r="S5313" s="103"/>
      <c r="T5313" s="103"/>
      <c r="U5313" s="148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1">
        <f t="shared" si="1"/>
        <v>5308</v>
      </c>
      <c r="B5314" s="97" t="s">
        <v>8806</v>
      </c>
      <c r="C5314" s="82" t="str">
        <f>VLOOKUP($B$7:$B$5000,SUM!$L$6:$L$500,1,FALSE)</f>
        <v>#VALUE!</v>
      </c>
      <c r="D5314" s="286" t="s">
        <v>8792</v>
      </c>
      <c r="E5314" s="189" t="s">
        <v>58</v>
      </c>
      <c r="F5314" s="148" t="s">
        <v>8724</v>
      </c>
      <c r="G5314" s="191" t="s">
        <v>1362</v>
      </c>
      <c r="H5314" s="199" t="s">
        <v>8807</v>
      </c>
      <c r="I5314" s="270" t="s">
        <v>8794</v>
      </c>
      <c r="J5314" s="148" t="s">
        <v>63</v>
      </c>
      <c r="K5314" s="148" t="s">
        <v>4434</v>
      </c>
      <c r="L5314" s="148" t="s">
        <v>65</v>
      </c>
      <c r="M5314" s="148" t="s">
        <v>66</v>
      </c>
      <c r="N5314" s="285">
        <v>46120.0</v>
      </c>
      <c r="O5314" s="148" t="s">
        <v>67</v>
      </c>
      <c r="P5314" s="148" t="s">
        <v>68</v>
      </c>
      <c r="Q5314" s="103"/>
      <c r="R5314" s="103"/>
      <c r="S5314" s="103"/>
      <c r="T5314" s="103"/>
      <c r="U5314" s="148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1">
        <f t="shared" si="1"/>
        <v>5309</v>
      </c>
      <c r="B5315" s="97" t="s">
        <v>8808</v>
      </c>
      <c r="C5315" s="82" t="str">
        <f>VLOOKUP($B$7:$B$5000,SUM!$L$6:$L$500,1,FALSE)</f>
        <v>#VALUE!</v>
      </c>
      <c r="D5315" s="271" t="s">
        <v>8792</v>
      </c>
      <c r="E5315" s="189" t="s">
        <v>58</v>
      </c>
      <c r="F5315" s="148" t="s">
        <v>8724</v>
      </c>
      <c r="G5315" s="191" t="s">
        <v>1362</v>
      </c>
      <c r="H5315" s="148" t="s">
        <v>8809</v>
      </c>
      <c r="I5315" s="270" t="s">
        <v>8810</v>
      </c>
      <c r="J5315" s="148" t="s">
        <v>63</v>
      </c>
      <c r="K5315" s="148" t="s">
        <v>4434</v>
      </c>
      <c r="L5315" s="148" t="s">
        <v>65</v>
      </c>
      <c r="M5315" s="148" t="s">
        <v>66</v>
      </c>
      <c r="N5315" s="285">
        <v>46120.0</v>
      </c>
      <c r="O5315" s="148" t="s">
        <v>67</v>
      </c>
      <c r="P5315" s="148" t="s">
        <v>68</v>
      </c>
      <c r="Q5315" s="103"/>
      <c r="R5315" s="103"/>
      <c r="S5315" s="103"/>
      <c r="T5315" s="103"/>
      <c r="U5315" s="148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1">
        <f t="shared" si="1"/>
        <v>5310</v>
      </c>
      <c r="B5316" s="97" t="s">
        <v>8811</v>
      </c>
      <c r="C5316" s="82" t="str">
        <f>VLOOKUP($B$7:$B$5000,SUM!$L$6:$L$500,1,FALSE)</f>
        <v>#VALUE!</v>
      </c>
      <c r="D5316" s="271" t="s">
        <v>8792</v>
      </c>
      <c r="E5316" s="189" t="s">
        <v>58</v>
      </c>
      <c r="F5316" s="148" t="s">
        <v>8724</v>
      </c>
      <c r="G5316" s="191" t="s">
        <v>1362</v>
      </c>
      <c r="H5316" s="148" t="s">
        <v>8812</v>
      </c>
      <c r="I5316" s="270" t="s">
        <v>8813</v>
      </c>
      <c r="J5316" s="148" t="s">
        <v>63</v>
      </c>
      <c r="K5316" s="148" t="s">
        <v>4434</v>
      </c>
      <c r="L5316" s="148" t="s">
        <v>65</v>
      </c>
      <c r="M5316" s="148" t="s">
        <v>66</v>
      </c>
      <c r="N5316" s="285">
        <v>46120.0</v>
      </c>
      <c r="O5316" s="148" t="s">
        <v>67</v>
      </c>
      <c r="P5316" s="148" t="s">
        <v>68</v>
      </c>
      <c r="Q5316" s="103"/>
      <c r="R5316" s="103"/>
      <c r="S5316" s="103"/>
      <c r="T5316" s="103"/>
      <c r="U5316" s="148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1">
        <f t="shared" si="1"/>
        <v>5311</v>
      </c>
      <c r="B5317" s="97" t="s">
        <v>8814</v>
      </c>
      <c r="C5317" s="82" t="str">
        <f>VLOOKUP($B$7:$B$5000,SUM!$L$6:$L$500,1,FALSE)</f>
        <v>#VALUE!</v>
      </c>
      <c r="D5317" s="271" t="s">
        <v>8792</v>
      </c>
      <c r="E5317" s="189" t="s">
        <v>58</v>
      </c>
      <c r="F5317" s="148" t="s">
        <v>8724</v>
      </c>
      <c r="G5317" s="191" t="s">
        <v>1362</v>
      </c>
      <c r="H5317" s="148" t="s">
        <v>8809</v>
      </c>
      <c r="I5317" s="287" t="s">
        <v>8815</v>
      </c>
      <c r="J5317" s="148" t="s">
        <v>63</v>
      </c>
      <c r="K5317" s="148" t="s">
        <v>4434</v>
      </c>
      <c r="L5317" s="148" t="s">
        <v>65</v>
      </c>
      <c r="M5317" s="148" t="s">
        <v>66</v>
      </c>
      <c r="N5317" s="285">
        <v>46120.0</v>
      </c>
      <c r="O5317" s="148" t="s">
        <v>67</v>
      </c>
      <c r="P5317" s="148" t="s">
        <v>68</v>
      </c>
      <c r="Q5317" s="103"/>
      <c r="R5317" s="103"/>
      <c r="S5317" s="103"/>
      <c r="T5317" s="103"/>
      <c r="U5317" s="148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1">
        <f t="shared" si="1"/>
        <v>5312</v>
      </c>
      <c r="B5318" s="97" t="s">
        <v>8816</v>
      </c>
      <c r="C5318" s="82" t="str">
        <f>VLOOKUP($B$7:$B$5000,SUM!$L$6:$L$500,1,FALSE)</f>
        <v>#VALUE!</v>
      </c>
      <c r="D5318" s="271" t="s">
        <v>8792</v>
      </c>
      <c r="E5318" s="189" t="s">
        <v>58</v>
      </c>
      <c r="F5318" s="148" t="s">
        <v>8724</v>
      </c>
      <c r="G5318" s="191" t="s">
        <v>1362</v>
      </c>
      <c r="H5318" s="148" t="s">
        <v>8812</v>
      </c>
      <c r="I5318" s="287" t="s">
        <v>8815</v>
      </c>
      <c r="J5318" s="148" t="s">
        <v>63</v>
      </c>
      <c r="K5318" s="148" t="s">
        <v>4434</v>
      </c>
      <c r="L5318" s="148" t="s">
        <v>65</v>
      </c>
      <c r="M5318" s="148" t="s">
        <v>66</v>
      </c>
      <c r="N5318" s="285">
        <v>46120.0</v>
      </c>
      <c r="O5318" s="148" t="s">
        <v>67</v>
      </c>
      <c r="P5318" s="148" t="s">
        <v>68</v>
      </c>
      <c r="Q5318" s="103"/>
      <c r="R5318" s="103"/>
      <c r="S5318" s="103"/>
      <c r="T5318" s="103"/>
      <c r="U5318" s="148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1">
        <f t="shared" si="1"/>
        <v>5313</v>
      </c>
      <c r="B5319" s="97" t="s">
        <v>8817</v>
      </c>
      <c r="C5319" s="82" t="str">
        <f>VLOOKUP($B$7:$B$5000,SUM!$L$6:$L$500,1,FALSE)</f>
        <v>#VALUE!</v>
      </c>
      <c r="D5319" s="271" t="s">
        <v>8818</v>
      </c>
      <c r="E5319" s="189" t="s">
        <v>58</v>
      </c>
      <c r="F5319" s="148" t="s">
        <v>8819</v>
      </c>
      <c r="G5319" s="191" t="s">
        <v>1362</v>
      </c>
      <c r="H5319" s="199" t="s">
        <v>8809</v>
      </c>
      <c r="I5319" s="270" t="s">
        <v>8520</v>
      </c>
      <c r="J5319" s="148" t="s">
        <v>63</v>
      </c>
      <c r="K5319" s="148" t="s">
        <v>4434</v>
      </c>
      <c r="L5319" s="148" t="s">
        <v>65</v>
      </c>
      <c r="M5319" s="148" t="s">
        <v>66</v>
      </c>
      <c r="N5319" s="285">
        <v>46120.0</v>
      </c>
      <c r="O5319" s="148" t="s">
        <v>67</v>
      </c>
      <c r="P5319" s="148" t="s">
        <v>68</v>
      </c>
      <c r="Q5319" s="103"/>
      <c r="R5319" s="103"/>
      <c r="S5319" s="103"/>
      <c r="T5319" s="103"/>
      <c r="U5319" s="148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1">
        <f t="shared" si="1"/>
        <v>5314</v>
      </c>
      <c r="B5320" s="97" t="s">
        <v>8820</v>
      </c>
      <c r="C5320" s="82" t="str">
        <f>VLOOKUP($B$7:$B$5000,SUM!$L$6:$L$500,1,FALSE)</f>
        <v>#VALUE!</v>
      </c>
      <c r="D5320" s="271" t="s">
        <v>8818</v>
      </c>
      <c r="E5320" s="189" t="s">
        <v>58</v>
      </c>
      <c r="F5320" s="148" t="s">
        <v>8819</v>
      </c>
      <c r="G5320" s="191" t="s">
        <v>1362</v>
      </c>
      <c r="H5320" s="148" t="s">
        <v>8812</v>
      </c>
      <c r="I5320" s="270" t="s">
        <v>8520</v>
      </c>
      <c r="J5320" s="148" t="s">
        <v>63</v>
      </c>
      <c r="K5320" s="148" t="s">
        <v>4434</v>
      </c>
      <c r="L5320" s="148" t="s">
        <v>65</v>
      </c>
      <c r="M5320" s="148" t="s">
        <v>66</v>
      </c>
      <c r="N5320" s="285">
        <v>46120.0</v>
      </c>
      <c r="O5320" s="148" t="s">
        <v>67</v>
      </c>
      <c r="P5320" s="148" t="s">
        <v>68</v>
      </c>
      <c r="Q5320" s="103"/>
      <c r="R5320" s="103"/>
      <c r="S5320" s="103"/>
      <c r="T5320" s="103"/>
      <c r="U5320" s="148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1">
        <f t="shared" si="1"/>
        <v>5315</v>
      </c>
      <c r="B5321" s="97" t="s">
        <v>8821</v>
      </c>
      <c r="C5321" s="82" t="str">
        <f>VLOOKUP($B$7:$B$5000,SUM!$L$6:$L$500,1,FALSE)</f>
        <v>#VALUE!</v>
      </c>
      <c r="D5321" s="288" t="s">
        <v>8822</v>
      </c>
      <c r="E5321" s="191" t="s">
        <v>58</v>
      </c>
      <c r="F5321" s="148" t="s">
        <v>8823</v>
      </c>
      <c r="G5321" s="191" t="s">
        <v>8824</v>
      </c>
      <c r="H5321" s="282" t="s">
        <v>8825</v>
      </c>
      <c r="I5321" s="197" t="s">
        <v>8366</v>
      </c>
      <c r="J5321" s="148" t="s">
        <v>63</v>
      </c>
      <c r="K5321" s="148" t="s">
        <v>4434</v>
      </c>
      <c r="L5321" s="148" t="s">
        <v>65</v>
      </c>
      <c r="M5321" s="148" t="s">
        <v>66</v>
      </c>
      <c r="N5321" s="285">
        <v>46181.0</v>
      </c>
      <c r="O5321" s="148" t="s">
        <v>67</v>
      </c>
      <c r="P5321" s="148" t="s">
        <v>68</v>
      </c>
      <c r="Q5321" s="103"/>
      <c r="R5321" s="103"/>
      <c r="S5321" s="103"/>
      <c r="T5321" s="103"/>
      <c r="U5321" s="148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1">
        <f t="shared" si="1"/>
        <v>5316</v>
      </c>
      <c r="B5322" s="97" t="s">
        <v>8826</v>
      </c>
      <c r="C5322" s="82" t="str">
        <f>VLOOKUP($B$7:$B$5000,SUM!$L$6:$L$500,1,FALSE)</f>
        <v>#VALUE!</v>
      </c>
      <c r="D5322" s="288" t="s">
        <v>8822</v>
      </c>
      <c r="E5322" s="191" t="s">
        <v>58</v>
      </c>
      <c r="F5322" s="148" t="s">
        <v>8823</v>
      </c>
      <c r="G5322" s="191" t="s">
        <v>8824</v>
      </c>
      <c r="H5322" s="282" t="s">
        <v>8827</v>
      </c>
      <c r="I5322" s="197" t="s">
        <v>8366</v>
      </c>
      <c r="J5322" s="148" t="s">
        <v>63</v>
      </c>
      <c r="K5322" s="148" t="s">
        <v>4434</v>
      </c>
      <c r="L5322" s="148" t="s">
        <v>65</v>
      </c>
      <c r="M5322" s="148" t="s">
        <v>66</v>
      </c>
      <c r="N5322" s="285">
        <v>46181.0</v>
      </c>
      <c r="O5322" s="148" t="s">
        <v>67</v>
      </c>
      <c r="P5322" s="148" t="s">
        <v>68</v>
      </c>
      <c r="Q5322" s="103"/>
      <c r="R5322" s="103"/>
      <c r="S5322" s="103"/>
      <c r="T5322" s="103"/>
      <c r="U5322" s="148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1">
        <f t="shared" si="1"/>
        <v>5317</v>
      </c>
      <c r="B5323" s="97" t="s">
        <v>8828</v>
      </c>
      <c r="C5323" s="82" t="str">
        <f>VLOOKUP($B$7:$B$5000,SUM!$L$6:$L$500,1,FALSE)</f>
        <v>#VALUE!</v>
      </c>
      <c r="D5323" s="288" t="s">
        <v>8822</v>
      </c>
      <c r="E5323" s="191" t="s">
        <v>58</v>
      </c>
      <c r="F5323" s="148" t="s">
        <v>8823</v>
      </c>
      <c r="G5323" s="191" t="s">
        <v>8824</v>
      </c>
      <c r="H5323" s="282" t="s">
        <v>8829</v>
      </c>
      <c r="I5323" s="197" t="s">
        <v>8366</v>
      </c>
      <c r="J5323" s="148" t="s">
        <v>63</v>
      </c>
      <c r="K5323" s="148" t="s">
        <v>4434</v>
      </c>
      <c r="L5323" s="148" t="s">
        <v>65</v>
      </c>
      <c r="M5323" s="148" t="s">
        <v>66</v>
      </c>
      <c r="N5323" s="285">
        <v>46181.0</v>
      </c>
      <c r="O5323" s="148" t="s">
        <v>67</v>
      </c>
      <c r="P5323" s="148" t="s">
        <v>68</v>
      </c>
      <c r="Q5323" s="103"/>
      <c r="R5323" s="103"/>
      <c r="S5323" s="103"/>
      <c r="T5323" s="103"/>
      <c r="U5323" s="148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1">
        <f t="shared" si="1"/>
        <v>5318</v>
      </c>
      <c r="B5324" s="97" t="s">
        <v>8830</v>
      </c>
      <c r="C5324" s="82" t="str">
        <f>VLOOKUP($B$7:$B$5000,SUM!$L$6:$L$500,1,FALSE)</f>
        <v>#VALUE!</v>
      </c>
      <c r="D5324" s="288" t="s">
        <v>8822</v>
      </c>
      <c r="E5324" s="191" t="s">
        <v>58</v>
      </c>
      <c r="F5324" s="148" t="s">
        <v>8823</v>
      </c>
      <c r="G5324" s="191" t="s">
        <v>8824</v>
      </c>
      <c r="H5324" s="282" t="s">
        <v>8831</v>
      </c>
      <c r="I5324" s="197" t="s">
        <v>8366</v>
      </c>
      <c r="J5324" s="148" t="s">
        <v>63</v>
      </c>
      <c r="K5324" s="148" t="s">
        <v>4434</v>
      </c>
      <c r="L5324" s="148" t="s">
        <v>65</v>
      </c>
      <c r="M5324" s="148" t="s">
        <v>66</v>
      </c>
      <c r="N5324" s="285">
        <v>46181.0</v>
      </c>
      <c r="O5324" s="148" t="s">
        <v>67</v>
      </c>
      <c r="P5324" s="148" t="s">
        <v>68</v>
      </c>
      <c r="Q5324" s="103"/>
      <c r="R5324" s="103"/>
      <c r="S5324" s="103"/>
      <c r="T5324" s="103"/>
      <c r="U5324" s="148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1">
        <f t="shared" si="1"/>
        <v>5319</v>
      </c>
      <c r="B5325" s="97" t="s">
        <v>8832</v>
      </c>
      <c r="C5325" s="82" t="str">
        <f>VLOOKUP($B$7:$B$5000,SUM!$L$6:$L$500,1,FALSE)</f>
        <v>#VALUE!</v>
      </c>
      <c r="D5325" s="232" t="s">
        <v>8833</v>
      </c>
      <c r="E5325" s="191" t="s">
        <v>58</v>
      </c>
      <c r="F5325" s="199" t="s">
        <v>8479</v>
      </c>
      <c r="G5325" s="191" t="s">
        <v>8700</v>
      </c>
      <c r="H5325" s="199" t="s">
        <v>8834</v>
      </c>
      <c r="I5325" s="197" t="s">
        <v>8607</v>
      </c>
      <c r="J5325" s="148" t="s">
        <v>63</v>
      </c>
      <c r="K5325" s="148" t="s">
        <v>64</v>
      </c>
      <c r="L5325" s="148" t="s">
        <v>65</v>
      </c>
      <c r="M5325" s="148" t="s">
        <v>66</v>
      </c>
      <c r="N5325" s="278">
        <v>46239.0</v>
      </c>
      <c r="O5325" s="148" t="s">
        <v>67</v>
      </c>
      <c r="P5325" s="148" t="s">
        <v>68</v>
      </c>
      <c r="Q5325" s="103"/>
      <c r="R5325" s="103"/>
      <c r="S5325" s="103"/>
      <c r="T5325" s="103"/>
      <c r="U5325" s="148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1">
        <f t="shared" si="1"/>
        <v>5320</v>
      </c>
      <c r="B5326" s="97" t="s">
        <v>8835</v>
      </c>
      <c r="C5326" s="82" t="str">
        <f>VLOOKUP($B$7:$B$5000,SUM!$L$6:$L$500,1,FALSE)</f>
        <v>#VALUE!</v>
      </c>
      <c r="D5326" s="232" t="s">
        <v>8833</v>
      </c>
      <c r="E5326" s="191" t="s">
        <v>58</v>
      </c>
      <c r="F5326" s="199" t="s">
        <v>8479</v>
      </c>
      <c r="G5326" s="191" t="s">
        <v>8700</v>
      </c>
      <c r="H5326" s="199" t="s">
        <v>8836</v>
      </c>
      <c r="I5326" s="197" t="s">
        <v>8607</v>
      </c>
      <c r="J5326" s="148" t="s">
        <v>63</v>
      </c>
      <c r="K5326" s="148" t="s">
        <v>64</v>
      </c>
      <c r="L5326" s="148" t="s">
        <v>65</v>
      </c>
      <c r="M5326" s="148" t="s">
        <v>66</v>
      </c>
      <c r="N5326" s="278">
        <v>46239.0</v>
      </c>
      <c r="O5326" s="148" t="s">
        <v>67</v>
      </c>
      <c r="P5326" s="148" t="s">
        <v>68</v>
      </c>
      <c r="Q5326" s="103"/>
      <c r="R5326" s="103"/>
      <c r="S5326" s="103"/>
      <c r="T5326" s="103"/>
      <c r="U5326" s="148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1">
        <f t="shared" si="1"/>
        <v>5321</v>
      </c>
      <c r="B5327" s="97" t="s">
        <v>8837</v>
      </c>
      <c r="C5327" s="82" t="str">
        <f>VLOOKUP($B$7:$B$5000,SUM!$L$6:$L$500,1,FALSE)</f>
        <v>#VALUE!</v>
      </c>
      <c r="D5327" s="232" t="s">
        <v>8833</v>
      </c>
      <c r="E5327" s="191" t="s">
        <v>58</v>
      </c>
      <c r="F5327" s="199" t="s">
        <v>8479</v>
      </c>
      <c r="G5327" s="191" t="s">
        <v>8838</v>
      </c>
      <c r="H5327" s="199" t="s">
        <v>8839</v>
      </c>
      <c r="I5327" s="197" t="s">
        <v>8607</v>
      </c>
      <c r="J5327" s="148" t="s">
        <v>63</v>
      </c>
      <c r="K5327" s="148" t="s">
        <v>64</v>
      </c>
      <c r="L5327" s="148" t="s">
        <v>65</v>
      </c>
      <c r="M5327" s="148" t="s">
        <v>66</v>
      </c>
      <c r="N5327" s="278">
        <v>46239.0</v>
      </c>
      <c r="O5327" s="148" t="s">
        <v>67</v>
      </c>
      <c r="P5327" s="148" t="s">
        <v>68</v>
      </c>
      <c r="Q5327" s="103"/>
      <c r="R5327" s="103"/>
      <c r="S5327" s="103"/>
      <c r="T5327" s="103"/>
      <c r="U5327" s="148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1">
        <f t="shared" si="1"/>
        <v>5322</v>
      </c>
      <c r="B5328" s="97" t="s">
        <v>8840</v>
      </c>
      <c r="C5328" s="82" t="str">
        <f>VLOOKUP($B$7:$B$5000,SUM!$L$6:$L$500,1,FALSE)</f>
        <v>#VALUE!</v>
      </c>
      <c r="D5328" s="232" t="s">
        <v>8833</v>
      </c>
      <c r="E5328" s="191" t="s">
        <v>58</v>
      </c>
      <c r="F5328" s="199" t="s">
        <v>8479</v>
      </c>
      <c r="G5328" s="191" t="s">
        <v>8838</v>
      </c>
      <c r="H5328" s="199" t="s">
        <v>8841</v>
      </c>
      <c r="I5328" s="197" t="s">
        <v>8607</v>
      </c>
      <c r="J5328" s="148" t="s">
        <v>63</v>
      </c>
      <c r="K5328" s="148" t="s">
        <v>64</v>
      </c>
      <c r="L5328" s="148" t="s">
        <v>65</v>
      </c>
      <c r="M5328" s="148" t="s">
        <v>66</v>
      </c>
      <c r="N5328" s="278">
        <v>46239.0</v>
      </c>
      <c r="O5328" s="148" t="s">
        <v>67</v>
      </c>
      <c r="P5328" s="148" t="s">
        <v>68</v>
      </c>
      <c r="Q5328" s="103"/>
      <c r="R5328" s="103"/>
      <c r="S5328" s="103"/>
      <c r="T5328" s="103"/>
      <c r="U5328" s="148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1">
        <f t="shared" si="1"/>
        <v>5323</v>
      </c>
      <c r="B5329" s="97" t="s">
        <v>8842</v>
      </c>
      <c r="C5329" s="82" t="str">
        <f>VLOOKUP($B$7:$B$5000,SUM!$L$6:$L$500,1,FALSE)</f>
        <v>#VALUE!</v>
      </c>
      <c r="D5329" s="232" t="s">
        <v>8833</v>
      </c>
      <c r="E5329" s="191" t="s">
        <v>58</v>
      </c>
      <c r="F5329" s="199" t="s">
        <v>8479</v>
      </c>
      <c r="G5329" s="191" t="s">
        <v>8838</v>
      </c>
      <c r="H5329" s="199" t="s">
        <v>8843</v>
      </c>
      <c r="I5329" s="197" t="s">
        <v>8607</v>
      </c>
      <c r="J5329" s="148" t="s">
        <v>63</v>
      </c>
      <c r="K5329" s="148" t="s">
        <v>64</v>
      </c>
      <c r="L5329" s="148" t="s">
        <v>65</v>
      </c>
      <c r="M5329" s="148" t="s">
        <v>66</v>
      </c>
      <c r="N5329" s="278">
        <v>46239.0</v>
      </c>
      <c r="O5329" s="148" t="s">
        <v>67</v>
      </c>
      <c r="P5329" s="148" t="s">
        <v>68</v>
      </c>
      <c r="Q5329" s="103"/>
      <c r="R5329" s="103"/>
      <c r="S5329" s="103"/>
      <c r="T5329" s="103"/>
      <c r="U5329" s="148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1">
        <f t="shared" si="1"/>
        <v>5324</v>
      </c>
      <c r="B5330" s="97" t="s">
        <v>8844</v>
      </c>
      <c r="C5330" s="82" t="str">
        <f>VLOOKUP($B$7:$B$5000,SUM!$L$6:$L$500,1,FALSE)</f>
        <v>#VALUE!</v>
      </c>
      <c r="D5330" s="232" t="s">
        <v>8833</v>
      </c>
      <c r="E5330" s="191" t="s">
        <v>58</v>
      </c>
      <c r="F5330" s="199" t="s">
        <v>8479</v>
      </c>
      <c r="G5330" s="191" t="s">
        <v>8838</v>
      </c>
      <c r="H5330" s="199" t="s">
        <v>8845</v>
      </c>
      <c r="I5330" s="197" t="s">
        <v>8607</v>
      </c>
      <c r="J5330" s="148" t="s">
        <v>63</v>
      </c>
      <c r="K5330" s="148" t="s">
        <v>64</v>
      </c>
      <c r="L5330" s="148" t="s">
        <v>65</v>
      </c>
      <c r="M5330" s="148" t="s">
        <v>66</v>
      </c>
      <c r="N5330" s="278">
        <v>46239.0</v>
      </c>
      <c r="O5330" s="148" t="s">
        <v>67</v>
      </c>
      <c r="P5330" s="148" t="s">
        <v>68</v>
      </c>
      <c r="Q5330" s="103"/>
      <c r="R5330" s="103"/>
      <c r="S5330" s="103"/>
      <c r="T5330" s="103"/>
      <c r="U5330" s="148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1">
        <f t="shared" si="1"/>
        <v>5325</v>
      </c>
      <c r="B5331" s="97" t="s">
        <v>8846</v>
      </c>
      <c r="C5331" s="82" t="str">
        <f>VLOOKUP($B$7:$B$5000,SUM!$L$6:$L$500,1,FALSE)</f>
        <v>#VALUE!</v>
      </c>
      <c r="D5331" s="232" t="s">
        <v>8833</v>
      </c>
      <c r="E5331" s="191" t="s">
        <v>58</v>
      </c>
      <c r="F5331" s="199" t="s">
        <v>8479</v>
      </c>
      <c r="G5331" s="191" t="s">
        <v>8847</v>
      </c>
      <c r="H5331" s="199" t="s">
        <v>8848</v>
      </c>
      <c r="I5331" s="197" t="s">
        <v>8607</v>
      </c>
      <c r="J5331" s="148" t="s">
        <v>63</v>
      </c>
      <c r="K5331" s="148" t="s">
        <v>64</v>
      </c>
      <c r="L5331" s="148" t="s">
        <v>65</v>
      </c>
      <c r="M5331" s="148" t="s">
        <v>66</v>
      </c>
      <c r="N5331" s="278">
        <v>46239.0</v>
      </c>
      <c r="O5331" s="148" t="s">
        <v>67</v>
      </c>
      <c r="P5331" s="148" t="s">
        <v>68</v>
      </c>
      <c r="Q5331" s="103"/>
      <c r="R5331" s="103"/>
      <c r="S5331" s="103"/>
      <c r="T5331" s="103"/>
      <c r="U5331" s="148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1">
        <f t="shared" si="1"/>
        <v>5326</v>
      </c>
      <c r="B5332" s="97" t="s">
        <v>8849</v>
      </c>
      <c r="C5332" s="82" t="str">
        <f>VLOOKUP($B$7:$B$5000,SUM!$L$6:$L$500,1,FALSE)</f>
        <v>#VALUE!</v>
      </c>
      <c r="D5332" s="232" t="s">
        <v>8833</v>
      </c>
      <c r="E5332" s="191" t="s">
        <v>58</v>
      </c>
      <c r="F5332" s="199" t="s">
        <v>8479</v>
      </c>
      <c r="G5332" s="191" t="s">
        <v>8847</v>
      </c>
      <c r="H5332" s="199" t="s">
        <v>8850</v>
      </c>
      <c r="I5332" s="197" t="s">
        <v>8607</v>
      </c>
      <c r="J5332" s="148" t="s">
        <v>63</v>
      </c>
      <c r="K5332" s="148" t="s">
        <v>64</v>
      </c>
      <c r="L5332" s="148" t="s">
        <v>65</v>
      </c>
      <c r="M5332" s="148" t="s">
        <v>66</v>
      </c>
      <c r="N5332" s="278">
        <v>46239.0</v>
      </c>
      <c r="O5332" s="148" t="s">
        <v>67</v>
      </c>
      <c r="P5332" s="148" t="s">
        <v>68</v>
      </c>
      <c r="Q5332" s="103"/>
      <c r="R5332" s="103"/>
      <c r="S5332" s="103"/>
      <c r="T5332" s="103"/>
      <c r="U5332" s="148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1">
        <f t="shared" si="1"/>
        <v>5327</v>
      </c>
      <c r="B5333" s="97" t="s">
        <v>8851</v>
      </c>
      <c r="C5333" s="82" t="str">
        <f>VLOOKUP($B$7:$B$5000,SUM!$L$6:$L$500,1,FALSE)</f>
        <v>#VALUE!</v>
      </c>
      <c r="D5333" s="232" t="s">
        <v>8833</v>
      </c>
      <c r="E5333" s="191" t="s">
        <v>58</v>
      </c>
      <c r="F5333" s="199" t="s">
        <v>8479</v>
      </c>
      <c r="G5333" s="191" t="s">
        <v>8847</v>
      </c>
      <c r="H5333" s="199" t="s">
        <v>8852</v>
      </c>
      <c r="I5333" s="197" t="s">
        <v>8607</v>
      </c>
      <c r="J5333" s="148" t="s">
        <v>63</v>
      </c>
      <c r="K5333" s="148" t="s">
        <v>64</v>
      </c>
      <c r="L5333" s="148" t="s">
        <v>65</v>
      </c>
      <c r="M5333" s="148" t="s">
        <v>66</v>
      </c>
      <c r="N5333" s="278">
        <v>46239.0</v>
      </c>
      <c r="O5333" s="148" t="s">
        <v>67</v>
      </c>
      <c r="P5333" s="148" t="s">
        <v>68</v>
      </c>
      <c r="Q5333" s="103"/>
      <c r="R5333" s="103"/>
      <c r="S5333" s="103"/>
      <c r="T5333" s="103"/>
      <c r="U5333" s="148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1">
        <f t="shared" si="1"/>
        <v>5328</v>
      </c>
      <c r="B5334" s="97" t="s">
        <v>8853</v>
      </c>
      <c r="C5334" s="82" t="str">
        <f>VLOOKUP($B$7:$B$5000,SUM!$L$6:$L$500,1,FALSE)</f>
        <v>#VALUE!</v>
      </c>
      <c r="D5334" s="232" t="s">
        <v>8833</v>
      </c>
      <c r="E5334" s="191" t="s">
        <v>58</v>
      </c>
      <c r="F5334" s="199" t="s">
        <v>8479</v>
      </c>
      <c r="G5334" s="191" t="s">
        <v>8847</v>
      </c>
      <c r="H5334" s="199" t="s">
        <v>8854</v>
      </c>
      <c r="I5334" s="197" t="s">
        <v>8607</v>
      </c>
      <c r="J5334" s="148" t="s">
        <v>63</v>
      </c>
      <c r="K5334" s="148" t="s">
        <v>64</v>
      </c>
      <c r="L5334" s="148" t="s">
        <v>65</v>
      </c>
      <c r="M5334" s="148" t="s">
        <v>66</v>
      </c>
      <c r="N5334" s="278">
        <v>46239.0</v>
      </c>
      <c r="O5334" s="148" t="s">
        <v>67</v>
      </c>
      <c r="P5334" s="148" t="s">
        <v>68</v>
      </c>
      <c r="Q5334" s="103"/>
      <c r="R5334" s="103"/>
      <c r="S5334" s="103"/>
      <c r="T5334" s="103"/>
      <c r="U5334" s="148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1">
        <f t="shared" si="1"/>
        <v>5329</v>
      </c>
      <c r="B5335" s="97" t="s">
        <v>8855</v>
      </c>
      <c r="C5335" s="82" t="str">
        <f>VLOOKUP($B$7:$B$5000,SUM!$L$6:$L$500,1,FALSE)</f>
        <v>#VALUE!</v>
      </c>
      <c r="D5335" s="232" t="s">
        <v>8833</v>
      </c>
      <c r="E5335" s="191" t="s">
        <v>58</v>
      </c>
      <c r="F5335" s="199" t="s">
        <v>8479</v>
      </c>
      <c r="G5335" s="191" t="s">
        <v>8838</v>
      </c>
      <c r="H5335" s="199" t="s">
        <v>8856</v>
      </c>
      <c r="I5335" s="197" t="s">
        <v>8607</v>
      </c>
      <c r="J5335" s="148" t="s">
        <v>63</v>
      </c>
      <c r="K5335" s="148" t="s">
        <v>64</v>
      </c>
      <c r="L5335" s="148" t="s">
        <v>65</v>
      </c>
      <c r="M5335" s="148" t="s">
        <v>66</v>
      </c>
      <c r="N5335" s="278">
        <v>46239.0</v>
      </c>
      <c r="O5335" s="148" t="s">
        <v>67</v>
      </c>
      <c r="P5335" s="148" t="s">
        <v>68</v>
      </c>
      <c r="Q5335" s="103"/>
      <c r="R5335" s="103"/>
      <c r="S5335" s="103"/>
      <c r="T5335" s="103"/>
      <c r="U5335" s="148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1">
        <f t="shared" si="1"/>
        <v>5330</v>
      </c>
      <c r="B5336" s="97" t="s">
        <v>8857</v>
      </c>
      <c r="C5336" s="82" t="str">
        <f>VLOOKUP($B$7:$B$5000,SUM!$L$6:$L$500,1,FALSE)</f>
        <v>#VALUE!</v>
      </c>
      <c r="D5336" s="232" t="s">
        <v>8833</v>
      </c>
      <c r="E5336" s="191" t="s">
        <v>58</v>
      </c>
      <c r="F5336" s="199" t="s">
        <v>8479</v>
      </c>
      <c r="G5336" s="191" t="s">
        <v>8838</v>
      </c>
      <c r="H5336" s="199" t="s">
        <v>8858</v>
      </c>
      <c r="I5336" s="197" t="s">
        <v>8607</v>
      </c>
      <c r="J5336" s="148" t="s">
        <v>63</v>
      </c>
      <c r="K5336" s="148" t="s">
        <v>64</v>
      </c>
      <c r="L5336" s="148" t="s">
        <v>65</v>
      </c>
      <c r="M5336" s="148" t="s">
        <v>66</v>
      </c>
      <c r="N5336" s="278">
        <v>46239.0</v>
      </c>
      <c r="O5336" s="148" t="s">
        <v>67</v>
      </c>
      <c r="P5336" s="148" t="s">
        <v>68</v>
      </c>
      <c r="Q5336" s="103"/>
      <c r="R5336" s="103"/>
      <c r="S5336" s="103"/>
      <c r="T5336" s="103"/>
      <c r="U5336" s="148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1">
        <f t="shared" si="1"/>
        <v>5331</v>
      </c>
      <c r="B5337" s="97" t="s">
        <v>8859</v>
      </c>
      <c r="C5337" s="82" t="str">
        <f>VLOOKUP($B$7:$B$5000,SUM!$L$6:$L$500,1,FALSE)</f>
        <v>#VALUE!</v>
      </c>
      <c r="D5337" s="232" t="s">
        <v>8833</v>
      </c>
      <c r="E5337" s="191" t="s">
        <v>58</v>
      </c>
      <c r="F5337" s="199" t="s">
        <v>8479</v>
      </c>
      <c r="G5337" s="191" t="s">
        <v>8838</v>
      </c>
      <c r="H5337" s="199" t="s">
        <v>8860</v>
      </c>
      <c r="I5337" s="197" t="s">
        <v>8607</v>
      </c>
      <c r="J5337" s="148" t="s">
        <v>63</v>
      </c>
      <c r="K5337" s="148" t="s">
        <v>64</v>
      </c>
      <c r="L5337" s="148" t="s">
        <v>65</v>
      </c>
      <c r="M5337" s="148" t="s">
        <v>66</v>
      </c>
      <c r="N5337" s="278">
        <v>46239.0</v>
      </c>
      <c r="O5337" s="148" t="s">
        <v>67</v>
      </c>
      <c r="P5337" s="148" t="s">
        <v>68</v>
      </c>
      <c r="Q5337" s="103"/>
      <c r="R5337" s="103"/>
      <c r="S5337" s="103"/>
      <c r="T5337" s="103"/>
      <c r="U5337" s="148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1">
        <f t="shared" si="1"/>
        <v>5332</v>
      </c>
      <c r="B5338" s="97" t="s">
        <v>8861</v>
      </c>
      <c r="C5338" s="82" t="str">
        <f>VLOOKUP($B$7:$B$5000,SUM!$L$6:$L$500,1,FALSE)</f>
        <v>#VALUE!</v>
      </c>
      <c r="D5338" s="232" t="s">
        <v>8833</v>
      </c>
      <c r="E5338" s="191" t="s">
        <v>58</v>
      </c>
      <c r="F5338" s="199" t="s">
        <v>8479</v>
      </c>
      <c r="G5338" s="191" t="s">
        <v>8838</v>
      </c>
      <c r="H5338" s="199" t="s">
        <v>8862</v>
      </c>
      <c r="I5338" s="197" t="s">
        <v>8607</v>
      </c>
      <c r="J5338" s="148" t="s">
        <v>63</v>
      </c>
      <c r="K5338" s="148" t="s">
        <v>64</v>
      </c>
      <c r="L5338" s="148" t="s">
        <v>65</v>
      </c>
      <c r="M5338" s="148" t="s">
        <v>66</v>
      </c>
      <c r="N5338" s="278">
        <v>46239.0</v>
      </c>
      <c r="O5338" s="148" t="s">
        <v>67</v>
      </c>
      <c r="P5338" s="148" t="s">
        <v>68</v>
      </c>
      <c r="Q5338" s="103"/>
      <c r="R5338" s="103"/>
      <c r="S5338" s="103"/>
      <c r="T5338" s="103"/>
      <c r="U5338" s="148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1">
        <f t="shared" si="1"/>
        <v>5333</v>
      </c>
      <c r="B5339" s="97" t="s">
        <v>8863</v>
      </c>
      <c r="C5339" s="82" t="str">
        <f>VLOOKUP($B$7:$B$5000,SUM!$L$6:$L$500,1,FALSE)</f>
        <v>#VALUE!</v>
      </c>
      <c r="D5339" s="190" t="s">
        <v>8864</v>
      </c>
      <c r="E5339" s="191" t="s">
        <v>58</v>
      </c>
      <c r="F5339" s="199" t="s">
        <v>8732</v>
      </c>
      <c r="G5339" s="191" t="s">
        <v>1362</v>
      </c>
      <c r="H5339" s="199" t="s">
        <v>2703</v>
      </c>
      <c r="I5339" s="197" t="s">
        <v>8759</v>
      </c>
      <c r="J5339" s="148" t="s">
        <v>63</v>
      </c>
      <c r="K5339" s="148" t="s">
        <v>64</v>
      </c>
      <c r="L5339" s="148" t="s">
        <v>65</v>
      </c>
      <c r="M5339" s="148" t="s">
        <v>66</v>
      </c>
      <c r="N5339" s="278">
        <v>46240.0</v>
      </c>
      <c r="O5339" s="148" t="s">
        <v>67</v>
      </c>
      <c r="P5339" s="148" t="s">
        <v>68</v>
      </c>
      <c r="Q5339" s="103"/>
      <c r="R5339" s="103"/>
      <c r="S5339" s="103"/>
      <c r="T5339" s="103"/>
      <c r="U5339" s="148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1">
        <f t="shared" si="1"/>
        <v>5334</v>
      </c>
      <c r="B5340" s="97" t="s">
        <v>8865</v>
      </c>
      <c r="C5340" s="82" t="str">
        <f>VLOOKUP($B$7:$B$5000,SUM!$L$6:$L$500,1,FALSE)</f>
        <v>#VALUE!</v>
      </c>
      <c r="D5340" s="190" t="s">
        <v>8864</v>
      </c>
      <c r="E5340" s="191" t="s">
        <v>58</v>
      </c>
      <c r="F5340" s="199" t="s">
        <v>8732</v>
      </c>
      <c r="G5340" s="191" t="s">
        <v>1362</v>
      </c>
      <c r="H5340" s="199" t="s">
        <v>1357</v>
      </c>
      <c r="I5340" s="197" t="s">
        <v>8759</v>
      </c>
      <c r="J5340" s="148" t="s">
        <v>63</v>
      </c>
      <c r="K5340" s="148" t="s">
        <v>64</v>
      </c>
      <c r="L5340" s="148" t="s">
        <v>65</v>
      </c>
      <c r="M5340" s="148" t="s">
        <v>66</v>
      </c>
      <c r="N5340" s="278">
        <v>46240.0</v>
      </c>
      <c r="O5340" s="148" t="s">
        <v>67</v>
      </c>
      <c r="P5340" s="148" t="s">
        <v>68</v>
      </c>
      <c r="Q5340" s="103"/>
      <c r="R5340" s="103"/>
      <c r="S5340" s="103"/>
      <c r="T5340" s="103"/>
      <c r="U5340" s="148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1">
        <f t="shared" si="1"/>
        <v>5335</v>
      </c>
      <c r="B5341" s="97" t="s">
        <v>8866</v>
      </c>
      <c r="C5341" s="82" t="str">
        <f>VLOOKUP($B$7:$B$5000,SUM!$L$6:$L$500,1,FALSE)</f>
        <v>#VALUE!</v>
      </c>
      <c r="D5341" s="190" t="s">
        <v>8864</v>
      </c>
      <c r="E5341" s="191" t="s">
        <v>58</v>
      </c>
      <c r="F5341" s="199" t="s">
        <v>8732</v>
      </c>
      <c r="G5341" s="191" t="s">
        <v>1362</v>
      </c>
      <c r="H5341" s="199" t="s">
        <v>1360</v>
      </c>
      <c r="I5341" s="197" t="s">
        <v>8759</v>
      </c>
      <c r="J5341" s="148" t="s">
        <v>63</v>
      </c>
      <c r="K5341" s="148" t="s">
        <v>64</v>
      </c>
      <c r="L5341" s="148" t="s">
        <v>65</v>
      </c>
      <c r="M5341" s="148" t="s">
        <v>66</v>
      </c>
      <c r="N5341" s="278">
        <v>46240.0</v>
      </c>
      <c r="O5341" s="148" t="s">
        <v>67</v>
      </c>
      <c r="P5341" s="148" t="s">
        <v>68</v>
      </c>
      <c r="Q5341" s="103"/>
      <c r="R5341" s="103"/>
      <c r="S5341" s="103"/>
      <c r="T5341" s="103"/>
      <c r="U5341" s="148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1">
        <f t="shared" si="1"/>
        <v>5336</v>
      </c>
      <c r="B5342" s="97" t="s">
        <v>8867</v>
      </c>
      <c r="C5342" s="82" t="str">
        <f>VLOOKUP($B$7:$B$5000,SUM!$L$6:$L$500,1,FALSE)</f>
        <v>#VALUE!</v>
      </c>
      <c r="D5342" s="190" t="s">
        <v>8864</v>
      </c>
      <c r="E5342" s="191" t="s">
        <v>58</v>
      </c>
      <c r="F5342" s="199" t="s">
        <v>8732</v>
      </c>
      <c r="G5342" s="191" t="s">
        <v>1362</v>
      </c>
      <c r="H5342" s="199" t="s">
        <v>6125</v>
      </c>
      <c r="I5342" s="197" t="s">
        <v>8759</v>
      </c>
      <c r="J5342" s="148" t="s">
        <v>63</v>
      </c>
      <c r="K5342" s="148" t="s">
        <v>64</v>
      </c>
      <c r="L5342" s="148" t="s">
        <v>65</v>
      </c>
      <c r="M5342" s="148" t="s">
        <v>66</v>
      </c>
      <c r="N5342" s="278">
        <v>46240.0</v>
      </c>
      <c r="O5342" s="148" t="s">
        <v>67</v>
      </c>
      <c r="P5342" s="148" t="s">
        <v>68</v>
      </c>
      <c r="Q5342" s="103"/>
      <c r="R5342" s="103"/>
      <c r="S5342" s="103"/>
      <c r="T5342" s="103"/>
      <c r="U5342" s="148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1">
        <f t="shared" si="1"/>
        <v>5337</v>
      </c>
      <c r="B5343" s="97" t="s">
        <v>8868</v>
      </c>
      <c r="C5343" s="82" t="str">
        <f>VLOOKUP($B$7:$B$5000,SUM!$L$6:$L$500,1,FALSE)</f>
        <v>#VALUE!</v>
      </c>
      <c r="D5343" s="190" t="s">
        <v>8864</v>
      </c>
      <c r="E5343" s="191" t="s">
        <v>58</v>
      </c>
      <c r="F5343" s="199" t="s">
        <v>8732</v>
      </c>
      <c r="G5343" s="191" t="s">
        <v>1362</v>
      </c>
      <c r="H5343" s="199" t="s">
        <v>6113</v>
      </c>
      <c r="I5343" s="197" t="s">
        <v>8759</v>
      </c>
      <c r="J5343" s="148" t="s">
        <v>63</v>
      </c>
      <c r="K5343" s="148" t="s">
        <v>64</v>
      </c>
      <c r="L5343" s="148" t="s">
        <v>65</v>
      </c>
      <c r="M5343" s="148" t="s">
        <v>66</v>
      </c>
      <c r="N5343" s="278">
        <v>46240.0</v>
      </c>
      <c r="O5343" s="148" t="s">
        <v>67</v>
      </c>
      <c r="P5343" s="148" t="s">
        <v>68</v>
      </c>
      <c r="Q5343" s="103"/>
      <c r="R5343" s="103"/>
      <c r="S5343" s="103"/>
      <c r="T5343" s="103"/>
      <c r="U5343" s="148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1">
        <f t="shared" si="1"/>
        <v>5338</v>
      </c>
      <c r="B5344" s="97" t="s">
        <v>8869</v>
      </c>
      <c r="C5344" s="82" t="str">
        <f>VLOOKUP($B$7:$B$5000,SUM!$L$6:$L$500,1,FALSE)</f>
        <v>#VALUE!</v>
      </c>
      <c r="D5344" s="190" t="s">
        <v>8864</v>
      </c>
      <c r="E5344" s="191" t="s">
        <v>58</v>
      </c>
      <c r="F5344" s="199" t="s">
        <v>8732</v>
      </c>
      <c r="G5344" s="191" t="s">
        <v>1362</v>
      </c>
      <c r="H5344" s="199" t="s">
        <v>6127</v>
      </c>
      <c r="I5344" s="197" t="s">
        <v>8759</v>
      </c>
      <c r="J5344" s="148" t="s">
        <v>63</v>
      </c>
      <c r="K5344" s="148" t="s">
        <v>64</v>
      </c>
      <c r="L5344" s="148" t="s">
        <v>65</v>
      </c>
      <c r="M5344" s="148" t="s">
        <v>66</v>
      </c>
      <c r="N5344" s="278">
        <v>46240.0</v>
      </c>
      <c r="O5344" s="148" t="s">
        <v>67</v>
      </c>
      <c r="P5344" s="148" t="s">
        <v>68</v>
      </c>
      <c r="Q5344" s="103"/>
      <c r="R5344" s="103"/>
      <c r="S5344" s="103"/>
      <c r="T5344" s="103"/>
      <c r="U5344" s="148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1">
        <f t="shared" si="1"/>
        <v>5339</v>
      </c>
      <c r="B5345" s="97" t="s">
        <v>8870</v>
      </c>
      <c r="C5345" s="82" t="str">
        <f>VLOOKUP($B$7:$B$5000,SUM!$L$6:$L$500,1,FALSE)</f>
        <v>#VALUE!</v>
      </c>
      <c r="D5345" s="190" t="s">
        <v>8864</v>
      </c>
      <c r="E5345" s="191" t="s">
        <v>58</v>
      </c>
      <c r="F5345" s="199" t="s">
        <v>8732</v>
      </c>
      <c r="G5345" s="191" t="s">
        <v>1362</v>
      </c>
      <c r="H5345" s="199" t="s">
        <v>6105</v>
      </c>
      <c r="I5345" s="197" t="s">
        <v>8759</v>
      </c>
      <c r="J5345" s="148" t="s">
        <v>63</v>
      </c>
      <c r="K5345" s="148" t="s">
        <v>64</v>
      </c>
      <c r="L5345" s="148" t="s">
        <v>65</v>
      </c>
      <c r="M5345" s="148" t="s">
        <v>66</v>
      </c>
      <c r="N5345" s="278">
        <v>46240.0</v>
      </c>
      <c r="O5345" s="148" t="s">
        <v>67</v>
      </c>
      <c r="P5345" s="148" t="s">
        <v>68</v>
      </c>
      <c r="Q5345" s="103"/>
      <c r="R5345" s="103"/>
      <c r="S5345" s="103"/>
      <c r="T5345" s="103"/>
      <c r="U5345" s="148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1">
        <f t="shared" si="1"/>
        <v>5340</v>
      </c>
      <c r="B5346" s="97" t="s">
        <v>8871</v>
      </c>
      <c r="C5346" s="82" t="str">
        <f>VLOOKUP($B$7:$B$5000,SUM!$L$6:$L$500,1,FALSE)</f>
        <v>#VALUE!</v>
      </c>
      <c r="D5346" s="190" t="s">
        <v>8872</v>
      </c>
      <c r="E5346" s="191" t="s">
        <v>58</v>
      </c>
      <c r="F5346" s="199" t="s">
        <v>8732</v>
      </c>
      <c r="G5346" s="191" t="s">
        <v>8838</v>
      </c>
      <c r="H5346" s="289" t="s">
        <v>7106</v>
      </c>
      <c r="I5346" s="197" t="s">
        <v>8759</v>
      </c>
      <c r="J5346" s="148" t="s">
        <v>63</v>
      </c>
      <c r="K5346" s="148" t="s">
        <v>64</v>
      </c>
      <c r="L5346" s="148" t="s">
        <v>65</v>
      </c>
      <c r="M5346" s="148" t="s">
        <v>66</v>
      </c>
      <c r="N5346" s="278">
        <v>46238.0</v>
      </c>
      <c r="O5346" s="148" t="s">
        <v>67</v>
      </c>
      <c r="P5346" s="148" t="s">
        <v>68</v>
      </c>
      <c r="Q5346" s="103"/>
      <c r="R5346" s="103"/>
      <c r="S5346" s="103"/>
      <c r="T5346" s="103"/>
      <c r="U5346" s="148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1">
        <f t="shared" si="1"/>
        <v>5341</v>
      </c>
      <c r="B5347" s="97" t="s">
        <v>8873</v>
      </c>
      <c r="C5347" s="82" t="str">
        <f>VLOOKUP($B$7:$B$5000,SUM!$L$6:$L$500,1,FALSE)</f>
        <v>#VALUE!</v>
      </c>
      <c r="D5347" s="190" t="s">
        <v>8872</v>
      </c>
      <c r="E5347" s="191" t="s">
        <v>58</v>
      </c>
      <c r="F5347" s="199" t="s">
        <v>8732</v>
      </c>
      <c r="G5347" s="191" t="s">
        <v>8838</v>
      </c>
      <c r="H5347" s="289" t="s">
        <v>7108</v>
      </c>
      <c r="I5347" s="197" t="s">
        <v>8759</v>
      </c>
      <c r="J5347" s="148" t="s">
        <v>63</v>
      </c>
      <c r="K5347" s="148" t="s">
        <v>64</v>
      </c>
      <c r="L5347" s="148" t="s">
        <v>65</v>
      </c>
      <c r="M5347" s="148" t="s">
        <v>66</v>
      </c>
      <c r="N5347" s="278">
        <v>46238.0</v>
      </c>
      <c r="O5347" s="148" t="s">
        <v>67</v>
      </c>
      <c r="P5347" s="148" t="s">
        <v>68</v>
      </c>
      <c r="Q5347" s="103"/>
      <c r="R5347" s="103"/>
      <c r="S5347" s="103"/>
      <c r="T5347" s="103"/>
      <c r="U5347" s="148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1">
        <f t="shared" si="1"/>
        <v>5342</v>
      </c>
      <c r="B5348" s="97" t="s">
        <v>8874</v>
      </c>
      <c r="C5348" s="82" t="str">
        <f>VLOOKUP($B$7:$B$5000,SUM!$L$6:$L$500,1,FALSE)</f>
        <v>#VALUE!</v>
      </c>
      <c r="D5348" s="190" t="s">
        <v>8872</v>
      </c>
      <c r="E5348" s="191" t="s">
        <v>58</v>
      </c>
      <c r="F5348" s="199" t="s">
        <v>8732</v>
      </c>
      <c r="G5348" s="191" t="s">
        <v>8838</v>
      </c>
      <c r="H5348" s="289" t="s">
        <v>7110</v>
      </c>
      <c r="I5348" s="197" t="s">
        <v>8759</v>
      </c>
      <c r="J5348" s="148" t="s">
        <v>63</v>
      </c>
      <c r="K5348" s="148" t="s">
        <v>64</v>
      </c>
      <c r="L5348" s="148" t="s">
        <v>65</v>
      </c>
      <c r="M5348" s="148" t="s">
        <v>66</v>
      </c>
      <c r="N5348" s="278">
        <v>46238.0</v>
      </c>
      <c r="O5348" s="148" t="s">
        <v>67</v>
      </c>
      <c r="P5348" s="148" t="s">
        <v>68</v>
      </c>
      <c r="Q5348" s="103"/>
      <c r="R5348" s="103"/>
      <c r="S5348" s="103"/>
      <c r="T5348" s="103"/>
      <c r="U5348" s="148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1">
        <f t="shared" si="1"/>
        <v>5343</v>
      </c>
      <c r="B5349" s="97" t="s">
        <v>8875</v>
      </c>
      <c r="C5349" s="82" t="str">
        <f>VLOOKUP($B$7:$B$5000,SUM!$L$6:$L$500,1,FALSE)</f>
        <v>#VALUE!</v>
      </c>
      <c r="D5349" s="190" t="s">
        <v>8872</v>
      </c>
      <c r="E5349" s="191" t="s">
        <v>58</v>
      </c>
      <c r="F5349" s="199" t="s">
        <v>8732</v>
      </c>
      <c r="G5349" s="191" t="s">
        <v>8838</v>
      </c>
      <c r="H5349" s="289" t="s">
        <v>7320</v>
      </c>
      <c r="I5349" s="197" t="s">
        <v>8759</v>
      </c>
      <c r="J5349" s="148" t="s">
        <v>63</v>
      </c>
      <c r="K5349" s="148" t="s">
        <v>64</v>
      </c>
      <c r="L5349" s="148" t="s">
        <v>65</v>
      </c>
      <c r="M5349" s="148" t="s">
        <v>66</v>
      </c>
      <c r="N5349" s="278">
        <v>46238.0</v>
      </c>
      <c r="O5349" s="148" t="s">
        <v>67</v>
      </c>
      <c r="P5349" s="148" t="s">
        <v>68</v>
      </c>
      <c r="Q5349" s="103"/>
      <c r="R5349" s="103"/>
      <c r="S5349" s="103"/>
      <c r="T5349" s="103"/>
      <c r="U5349" s="148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1">
        <f t="shared" si="1"/>
        <v>5344</v>
      </c>
      <c r="B5350" s="97" t="s">
        <v>8876</v>
      </c>
      <c r="C5350" s="82" t="str">
        <f>VLOOKUP($B$7:$B$5000,SUM!$L$6:$L$500,1,FALSE)</f>
        <v>#VALUE!</v>
      </c>
      <c r="D5350" s="190" t="s">
        <v>8872</v>
      </c>
      <c r="E5350" s="191" t="s">
        <v>58</v>
      </c>
      <c r="F5350" s="199" t="s">
        <v>8732</v>
      </c>
      <c r="G5350" s="191" t="s">
        <v>8838</v>
      </c>
      <c r="H5350" s="289" t="s">
        <v>7924</v>
      </c>
      <c r="I5350" s="197" t="s">
        <v>8759</v>
      </c>
      <c r="J5350" s="148" t="s">
        <v>63</v>
      </c>
      <c r="K5350" s="148" t="s">
        <v>64</v>
      </c>
      <c r="L5350" s="148" t="s">
        <v>65</v>
      </c>
      <c r="M5350" s="148" t="s">
        <v>66</v>
      </c>
      <c r="N5350" s="278">
        <v>46238.0</v>
      </c>
      <c r="O5350" s="148" t="s">
        <v>67</v>
      </c>
      <c r="P5350" s="148" t="s">
        <v>68</v>
      </c>
      <c r="Q5350" s="103"/>
      <c r="R5350" s="103"/>
      <c r="S5350" s="103"/>
      <c r="T5350" s="103"/>
      <c r="U5350" s="148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1">
        <f t="shared" si="1"/>
        <v>5345</v>
      </c>
      <c r="B5351" s="97" t="s">
        <v>8877</v>
      </c>
      <c r="C5351" s="82" t="str">
        <f>VLOOKUP($B$7:$B$5000,SUM!$L$6:$L$500,1,FALSE)</f>
        <v>#VALUE!</v>
      </c>
      <c r="D5351" s="190" t="s">
        <v>8872</v>
      </c>
      <c r="E5351" s="191" t="s">
        <v>58</v>
      </c>
      <c r="F5351" s="199" t="s">
        <v>8732</v>
      </c>
      <c r="G5351" s="191" t="s">
        <v>8838</v>
      </c>
      <c r="H5351" s="289" t="s">
        <v>7323</v>
      </c>
      <c r="I5351" s="197" t="s">
        <v>8759</v>
      </c>
      <c r="J5351" s="148" t="s">
        <v>63</v>
      </c>
      <c r="K5351" s="148" t="s">
        <v>64</v>
      </c>
      <c r="L5351" s="148" t="s">
        <v>65</v>
      </c>
      <c r="M5351" s="148" t="s">
        <v>66</v>
      </c>
      <c r="N5351" s="278">
        <v>46238.0</v>
      </c>
      <c r="O5351" s="148" t="s">
        <v>67</v>
      </c>
      <c r="P5351" s="148" t="s">
        <v>68</v>
      </c>
      <c r="Q5351" s="103"/>
      <c r="R5351" s="103"/>
      <c r="S5351" s="103"/>
      <c r="T5351" s="103"/>
      <c r="U5351" s="148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1">
        <f t="shared" si="1"/>
        <v>5346</v>
      </c>
      <c r="B5352" s="97" t="s">
        <v>8878</v>
      </c>
      <c r="C5352" s="82" t="str">
        <f>VLOOKUP($B$7:$B$5000,SUM!$L$6:$L$500,1,FALSE)</f>
        <v>#VALUE!</v>
      </c>
      <c r="D5352" s="190" t="s">
        <v>8872</v>
      </c>
      <c r="E5352" s="191" t="s">
        <v>58</v>
      </c>
      <c r="F5352" s="199" t="s">
        <v>8732</v>
      </c>
      <c r="G5352" s="191" t="s">
        <v>8838</v>
      </c>
      <c r="H5352" s="289" t="s">
        <v>7325</v>
      </c>
      <c r="I5352" s="197" t="s">
        <v>8759</v>
      </c>
      <c r="J5352" s="148" t="s">
        <v>63</v>
      </c>
      <c r="K5352" s="148" t="s">
        <v>64</v>
      </c>
      <c r="L5352" s="148" t="s">
        <v>65</v>
      </c>
      <c r="M5352" s="148" t="s">
        <v>66</v>
      </c>
      <c r="N5352" s="278">
        <v>46238.0</v>
      </c>
      <c r="O5352" s="148" t="s">
        <v>67</v>
      </c>
      <c r="P5352" s="148" t="s">
        <v>68</v>
      </c>
      <c r="Q5352" s="103"/>
      <c r="R5352" s="103"/>
      <c r="S5352" s="103"/>
      <c r="T5352" s="103"/>
      <c r="U5352" s="148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1">
        <f t="shared" si="1"/>
        <v>5347</v>
      </c>
      <c r="B5353" s="97" t="s">
        <v>8879</v>
      </c>
      <c r="C5353" s="82" t="str">
        <f>VLOOKUP($B$7:$B$5000,SUM!$L$6:$L$500,1,FALSE)</f>
        <v>#VALUE!</v>
      </c>
      <c r="D5353" s="190" t="s">
        <v>8872</v>
      </c>
      <c r="E5353" s="191" t="s">
        <v>58</v>
      </c>
      <c r="F5353" s="199" t="s">
        <v>8732</v>
      </c>
      <c r="G5353" s="191" t="s">
        <v>8838</v>
      </c>
      <c r="H5353" s="289" t="s">
        <v>7327</v>
      </c>
      <c r="I5353" s="197" t="s">
        <v>8759</v>
      </c>
      <c r="J5353" s="148" t="s">
        <v>63</v>
      </c>
      <c r="K5353" s="148" t="s">
        <v>64</v>
      </c>
      <c r="L5353" s="148" t="s">
        <v>65</v>
      </c>
      <c r="M5353" s="148" t="s">
        <v>66</v>
      </c>
      <c r="N5353" s="278">
        <v>46238.0</v>
      </c>
      <c r="O5353" s="148" t="s">
        <v>67</v>
      </c>
      <c r="P5353" s="148" t="s">
        <v>68</v>
      </c>
      <c r="Q5353" s="103"/>
      <c r="R5353" s="103"/>
      <c r="S5353" s="103"/>
      <c r="T5353" s="103"/>
      <c r="U5353" s="148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1">
        <f t="shared" si="1"/>
        <v>5348</v>
      </c>
      <c r="B5354" s="97" t="s">
        <v>8880</v>
      </c>
      <c r="C5354" s="82" t="str">
        <f>VLOOKUP($B$7:$B$5000,SUM!$L$6:$L$500,1,FALSE)</f>
        <v>#VALUE!</v>
      </c>
      <c r="D5354" s="190" t="s">
        <v>8872</v>
      </c>
      <c r="E5354" s="191" t="s">
        <v>58</v>
      </c>
      <c r="F5354" s="199" t="s">
        <v>8732</v>
      </c>
      <c r="G5354" s="191" t="s">
        <v>8838</v>
      </c>
      <c r="H5354" s="289" t="s">
        <v>7329</v>
      </c>
      <c r="I5354" s="197" t="s">
        <v>8759</v>
      </c>
      <c r="J5354" s="148" t="s">
        <v>63</v>
      </c>
      <c r="K5354" s="148" t="s">
        <v>64</v>
      </c>
      <c r="L5354" s="148" t="s">
        <v>65</v>
      </c>
      <c r="M5354" s="148" t="s">
        <v>66</v>
      </c>
      <c r="N5354" s="278">
        <v>46238.0</v>
      </c>
      <c r="O5354" s="148" t="s">
        <v>67</v>
      </c>
      <c r="P5354" s="148" t="s">
        <v>68</v>
      </c>
      <c r="Q5354" s="103"/>
      <c r="R5354" s="103"/>
      <c r="S5354" s="103"/>
      <c r="T5354" s="103"/>
      <c r="U5354" s="148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1">
        <f t="shared" si="1"/>
        <v>5349</v>
      </c>
      <c r="B5355" s="97" t="s">
        <v>8881</v>
      </c>
      <c r="C5355" s="82" t="str">
        <f>VLOOKUP($B$7:$B$5000,SUM!$L$6:$L$500,1,FALSE)</f>
        <v>#VALUE!</v>
      </c>
      <c r="D5355" s="190" t="s">
        <v>8872</v>
      </c>
      <c r="E5355" s="191" t="s">
        <v>58</v>
      </c>
      <c r="F5355" s="199" t="s">
        <v>8732</v>
      </c>
      <c r="G5355" s="191" t="s">
        <v>8838</v>
      </c>
      <c r="H5355" s="289" t="s">
        <v>7331</v>
      </c>
      <c r="I5355" s="197" t="s">
        <v>8759</v>
      </c>
      <c r="J5355" s="148" t="s">
        <v>63</v>
      </c>
      <c r="K5355" s="148" t="s">
        <v>64</v>
      </c>
      <c r="L5355" s="148" t="s">
        <v>65</v>
      </c>
      <c r="M5355" s="148" t="s">
        <v>66</v>
      </c>
      <c r="N5355" s="278">
        <v>46238.0</v>
      </c>
      <c r="O5355" s="148" t="s">
        <v>67</v>
      </c>
      <c r="P5355" s="148" t="s">
        <v>68</v>
      </c>
      <c r="Q5355" s="103"/>
      <c r="R5355" s="103"/>
      <c r="S5355" s="103"/>
      <c r="T5355" s="103"/>
      <c r="U5355" s="148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1">
        <f t="shared" si="1"/>
        <v>5350</v>
      </c>
      <c r="B5356" s="97" t="s">
        <v>8882</v>
      </c>
      <c r="C5356" s="82" t="str">
        <f>VLOOKUP($B$7:$B$5000,SUM!$L$6:$L$500,1,FALSE)</f>
        <v>#VALUE!</v>
      </c>
      <c r="D5356" s="190" t="s">
        <v>8872</v>
      </c>
      <c r="E5356" s="191" t="s">
        <v>58</v>
      </c>
      <c r="F5356" s="199" t="s">
        <v>8732</v>
      </c>
      <c r="G5356" s="191" t="s">
        <v>8838</v>
      </c>
      <c r="H5356" s="289" t="s">
        <v>7333</v>
      </c>
      <c r="I5356" s="197" t="s">
        <v>8759</v>
      </c>
      <c r="J5356" s="148" t="s">
        <v>63</v>
      </c>
      <c r="K5356" s="148" t="s">
        <v>64</v>
      </c>
      <c r="L5356" s="148" t="s">
        <v>65</v>
      </c>
      <c r="M5356" s="148" t="s">
        <v>66</v>
      </c>
      <c r="N5356" s="278">
        <v>46238.0</v>
      </c>
      <c r="O5356" s="148" t="s">
        <v>67</v>
      </c>
      <c r="P5356" s="148" t="s">
        <v>68</v>
      </c>
      <c r="Q5356" s="103"/>
      <c r="R5356" s="103"/>
      <c r="S5356" s="103"/>
      <c r="T5356" s="103"/>
      <c r="U5356" s="148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1">
        <f t="shared" si="1"/>
        <v>5351</v>
      </c>
      <c r="B5357" s="97" t="s">
        <v>8883</v>
      </c>
      <c r="C5357" s="82" t="str">
        <f>VLOOKUP($B$7:$B$5000,SUM!$L$6:$L$500,1,FALSE)</f>
        <v>#VALUE!</v>
      </c>
      <c r="D5357" s="190" t="s">
        <v>8872</v>
      </c>
      <c r="E5357" s="191" t="s">
        <v>58</v>
      </c>
      <c r="F5357" s="199" t="s">
        <v>8732</v>
      </c>
      <c r="G5357" s="191" t="s">
        <v>8838</v>
      </c>
      <c r="H5357" s="289" t="s">
        <v>7335</v>
      </c>
      <c r="I5357" s="197" t="s">
        <v>8759</v>
      </c>
      <c r="J5357" s="148" t="s">
        <v>63</v>
      </c>
      <c r="K5357" s="148" t="s">
        <v>64</v>
      </c>
      <c r="L5357" s="148" t="s">
        <v>65</v>
      </c>
      <c r="M5357" s="148" t="s">
        <v>66</v>
      </c>
      <c r="N5357" s="278">
        <v>46238.0</v>
      </c>
      <c r="O5357" s="148" t="s">
        <v>67</v>
      </c>
      <c r="P5357" s="148" t="s">
        <v>68</v>
      </c>
      <c r="Q5357" s="103"/>
      <c r="R5357" s="103"/>
      <c r="S5357" s="103"/>
      <c r="T5357" s="103"/>
      <c r="U5357" s="148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1">
        <f t="shared" si="1"/>
        <v>5352</v>
      </c>
      <c r="B5358" s="97" t="s">
        <v>8884</v>
      </c>
      <c r="C5358" s="82" t="str">
        <f>VLOOKUP($B$7:$B$5000,SUM!$L$6:$L$500,1,FALSE)</f>
        <v>#VALUE!</v>
      </c>
      <c r="D5358" s="190" t="s">
        <v>8872</v>
      </c>
      <c r="E5358" s="191" t="s">
        <v>58</v>
      </c>
      <c r="F5358" s="199" t="s">
        <v>8732</v>
      </c>
      <c r="G5358" s="191" t="s">
        <v>8838</v>
      </c>
      <c r="H5358" s="289" t="s">
        <v>7337</v>
      </c>
      <c r="I5358" s="197" t="s">
        <v>8759</v>
      </c>
      <c r="J5358" s="148" t="s">
        <v>63</v>
      </c>
      <c r="K5358" s="148" t="s">
        <v>64</v>
      </c>
      <c r="L5358" s="148" t="s">
        <v>65</v>
      </c>
      <c r="M5358" s="148" t="s">
        <v>66</v>
      </c>
      <c r="N5358" s="278">
        <v>46238.0</v>
      </c>
      <c r="O5358" s="148" t="s">
        <v>67</v>
      </c>
      <c r="P5358" s="148" t="s">
        <v>68</v>
      </c>
      <c r="Q5358" s="103"/>
      <c r="R5358" s="103"/>
      <c r="S5358" s="103"/>
      <c r="T5358" s="103"/>
      <c r="U5358" s="148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1">
        <f t="shared" si="1"/>
        <v>5353</v>
      </c>
      <c r="B5359" s="97" t="s">
        <v>8885</v>
      </c>
      <c r="C5359" s="82" t="str">
        <f>VLOOKUP($B$7:$B$5000,SUM!$L$6:$L$500,1,FALSE)</f>
        <v>#VALUE!</v>
      </c>
      <c r="D5359" s="190" t="s">
        <v>8872</v>
      </c>
      <c r="E5359" s="191" t="s">
        <v>58</v>
      </c>
      <c r="F5359" s="199" t="s">
        <v>8732</v>
      </c>
      <c r="G5359" s="191" t="s">
        <v>8838</v>
      </c>
      <c r="H5359" s="289" t="s">
        <v>7339</v>
      </c>
      <c r="I5359" s="197" t="s">
        <v>8759</v>
      </c>
      <c r="J5359" s="148" t="s">
        <v>63</v>
      </c>
      <c r="K5359" s="148" t="s">
        <v>64</v>
      </c>
      <c r="L5359" s="148" t="s">
        <v>65</v>
      </c>
      <c r="M5359" s="148" t="s">
        <v>66</v>
      </c>
      <c r="N5359" s="278">
        <v>46238.0</v>
      </c>
      <c r="O5359" s="148" t="s">
        <v>67</v>
      </c>
      <c r="P5359" s="148" t="s">
        <v>68</v>
      </c>
      <c r="Q5359" s="103"/>
      <c r="R5359" s="103"/>
      <c r="S5359" s="103"/>
      <c r="T5359" s="103"/>
      <c r="U5359" s="148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1">
        <f t="shared" si="1"/>
        <v>5354</v>
      </c>
      <c r="B5360" s="97" t="s">
        <v>8886</v>
      </c>
      <c r="C5360" s="82" t="str">
        <f>VLOOKUP($B$7:$B$5000,SUM!$L$6:$L$500,1,FALSE)</f>
        <v>#VALUE!</v>
      </c>
      <c r="D5360" s="190" t="s">
        <v>8872</v>
      </c>
      <c r="E5360" s="191" t="s">
        <v>58</v>
      </c>
      <c r="F5360" s="199" t="s">
        <v>8732</v>
      </c>
      <c r="G5360" s="191" t="s">
        <v>8838</v>
      </c>
      <c r="H5360" s="289" t="s">
        <v>7353</v>
      </c>
      <c r="I5360" s="197" t="s">
        <v>8759</v>
      </c>
      <c r="J5360" s="148" t="s">
        <v>63</v>
      </c>
      <c r="K5360" s="148" t="s">
        <v>64</v>
      </c>
      <c r="L5360" s="148" t="s">
        <v>65</v>
      </c>
      <c r="M5360" s="148" t="s">
        <v>66</v>
      </c>
      <c r="N5360" s="278">
        <v>46238.0</v>
      </c>
      <c r="O5360" s="148" t="s">
        <v>67</v>
      </c>
      <c r="P5360" s="148" t="s">
        <v>68</v>
      </c>
      <c r="Q5360" s="103"/>
      <c r="R5360" s="103"/>
      <c r="S5360" s="103"/>
      <c r="T5360" s="103"/>
      <c r="U5360" s="148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1">
        <f t="shared" si="1"/>
        <v>5355</v>
      </c>
      <c r="B5361" s="97" t="s">
        <v>8887</v>
      </c>
      <c r="C5361" s="82" t="str">
        <f>VLOOKUP($B$7:$B$5000,SUM!$L$6:$L$500,1,FALSE)</f>
        <v>#VALUE!</v>
      </c>
      <c r="D5361" s="190" t="s">
        <v>8872</v>
      </c>
      <c r="E5361" s="191" t="s">
        <v>58</v>
      </c>
      <c r="F5361" s="199" t="s">
        <v>8732</v>
      </c>
      <c r="G5361" s="191" t="s">
        <v>8838</v>
      </c>
      <c r="H5361" s="289" t="s">
        <v>7355</v>
      </c>
      <c r="I5361" s="197" t="s">
        <v>8759</v>
      </c>
      <c r="J5361" s="148" t="s">
        <v>63</v>
      </c>
      <c r="K5361" s="148" t="s">
        <v>64</v>
      </c>
      <c r="L5361" s="148" t="s">
        <v>65</v>
      </c>
      <c r="M5361" s="148" t="s">
        <v>66</v>
      </c>
      <c r="N5361" s="278">
        <v>46238.0</v>
      </c>
      <c r="O5361" s="148" t="s">
        <v>67</v>
      </c>
      <c r="P5361" s="148" t="s">
        <v>68</v>
      </c>
      <c r="Q5361" s="103"/>
      <c r="R5361" s="103"/>
      <c r="S5361" s="103"/>
      <c r="T5361" s="103"/>
      <c r="U5361" s="148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1">
        <f t="shared" si="1"/>
        <v>5356</v>
      </c>
      <c r="B5362" s="97" t="s">
        <v>8888</v>
      </c>
      <c r="C5362" s="82" t="str">
        <f>VLOOKUP($B$7:$B$5000,SUM!$L$6:$L$500,1,FALSE)</f>
        <v>#VALUE!</v>
      </c>
      <c r="D5362" s="190" t="s">
        <v>8872</v>
      </c>
      <c r="E5362" s="191" t="s">
        <v>58</v>
      </c>
      <c r="F5362" s="199" t="s">
        <v>8732</v>
      </c>
      <c r="G5362" s="191" t="s">
        <v>8838</v>
      </c>
      <c r="H5362" s="289" t="s">
        <v>7357</v>
      </c>
      <c r="I5362" s="197" t="s">
        <v>8759</v>
      </c>
      <c r="J5362" s="148" t="s">
        <v>63</v>
      </c>
      <c r="K5362" s="148" t="s">
        <v>64</v>
      </c>
      <c r="L5362" s="148" t="s">
        <v>65</v>
      </c>
      <c r="M5362" s="148" t="s">
        <v>66</v>
      </c>
      <c r="N5362" s="278">
        <v>46238.0</v>
      </c>
      <c r="O5362" s="148" t="s">
        <v>67</v>
      </c>
      <c r="P5362" s="148" t="s">
        <v>68</v>
      </c>
      <c r="Q5362" s="103"/>
      <c r="R5362" s="103"/>
      <c r="S5362" s="103"/>
      <c r="T5362" s="103"/>
      <c r="U5362" s="148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1">
        <f t="shared" si="1"/>
        <v>5357</v>
      </c>
      <c r="B5363" s="97" t="s">
        <v>8889</v>
      </c>
      <c r="C5363" s="82" t="str">
        <f>VLOOKUP($B$7:$B$5000,SUM!$L$6:$L$500,1,FALSE)</f>
        <v>#VALUE!</v>
      </c>
      <c r="D5363" s="190" t="s">
        <v>8872</v>
      </c>
      <c r="E5363" s="191" t="s">
        <v>58</v>
      </c>
      <c r="F5363" s="199" t="s">
        <v>8732</v>
      </c>
      <c r="G5363" s="191" t="s">
        <v>8838</v>
      </c>
      <c r="H5363" s="289" t="s">
        <v>7365</v>
      </c>
      <c r="I5363" s="197" t="s">
        <v>8759</v>
      </c>
      <c r="J5363" s="148" t="s">
        <v>63</v>
      </c>
      <c r="K5363" s="148" t="s">
        <v>64</v>
      </c>
      <c r="L5363" s="148" t="s">
        <v>65</v>
      </c>
      <c r="M5363" s="148" t="s">
        <v>66</v>
      </c>
      <c r="N5363" s="278">
        <v>46238.0</v>
      </c>
      <c r="O5363" s="148" t="s">
        <v>67</v>
      </c>
      <c r="P5363" s="148" t="s">
        <v>68</v>
      </c>
      <c r="Q5363" s="103"/>
      <c r="R5363" s="103"/>
      <c r="S5363" s="103"/>
      <c r="T5363" s="103"/>
      <c r="U5363" s="148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1">
        <f t="shared" si="1"/>
        <v>5358</v>
      </c>
      <c r="B5364" s="97" t="s">
        <v>8890</v>
      </c>
      <c r="C5364" s="82" t="str">
        <f>VLOOKUP($B$7:$B$5000,SUM!$L$6:$L$500,1,FALSE)</f>
        <v>#VALUE!</v>
      </c>
      <c r="D5364" s="190" t="s">
        <v>8872</v>
      </c>
      <c r="E5364" s="191" t="s">
        <v>58</v>
      </c>
      <c r="F5364" s="199" t="s">
        <v>8732</v>
      </c>
      <c r="G5364" s="191" t="s">
        <v>8838</v>
      </c>
      <c r="H5364" s="289" t="s">
        <v>7106</v>
      </c>
      <c r="I5364" s="197" t="s">
        <v>8891</v>
      </c>
      <c r="J5364" s="148" t="s">
        <v>63</v>
      </c>
      <c r="K5364" s="148" t="s">
        <v>64</v>
      </c>
      <c r="L5364" s="148" t="s">
        <v>65</v>
      </c>
      <c r="M5364" s="148" t="s">
        <v>66</v>
      </c>
      <c r="N5364" s="278">
        <v>46238.0</v>
      </c>
      <c r="O5364" s="148" t="s">
        <v>67</v>
      </c>
      <c r="P5364" s="148" t="s">
        <v>68</v>
      </c>
      <c r="Q5364" s="103"/>
      <c r="R5364" s="103"/>
      <c r="S5364" s="103"/>
      <c r="T5364" s="103"/>
      <c r="U5364" s="148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1">
        <f t="shared" si="1"/>
        <v>5359</v>
      </c>
      <c r="B5365" s="97" t="s">
        <v>8892</v>
      </c>
      <c r="C5365" s="82" t="str">
        <f>VLOOKUP($B$7:$B$5000,SUM!$L$6:$L$500,1,FALSE)</f>
        <v>#VALUE!</v>
      </c>
      <c r="D5365" s="190" t="s">
        <v>8872</v>
      </c>
      <c r="E5365" s="191" t="s">
        <v>58</v>
      </c>
      <c r="F5365" s="199" t="s">
        <v>8732</v>
      </c>
      <c r="G5365" s="191" t="s">
        <v>8838</v>
      </c>
      <c r="H5365" s="289" t="s">
        <v>7108</v>
      </c>
      <c r="I5365" s="197" t="s">
        <v>8891</v>
      </c>
      <c r="J5365" s="148" t="s">
        <v>63</v>
      </c>
      <c r="K5365" s="148" t="s">
        <v>64</v>
      </c>
      <c r="L5365" s="148" t="s">
        <v>65</v>
      </c>
      <c r="M5365" s="148" t="s">
        <v>66</v>
      </c>
      <c r="N5365" s="278">
        <v>46238.0</v>
      </c>
      <c r="O5365" s="148" t="s">
        <v>67</v>
      </c>
      <c r="P5365" s="148" t="s">
        <v>68</v>
      </c>
      <c r="Q5365" s="103"/>
      <c r="R5365" s="103"/>
      <c r="S5365" s="103"/>
      <c r="T5365" s="103"/>
      <c r="U5365" s="148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1">
        <f t="shared" si="1"/>
        <v>5360</v>
      </c>
      <c r="B5366" s="97" t="s">
        <v>8893</v>
      </c>
      <c r="C5366" s="82" t="str">
        <f>VLOOKUP($B$7:$B$5000,SUM!$L$6:$L$500,1,FALSE)</f>
        <v>#VALUE!</v>
      </c>
      <c r="D5366" s="190" t="s">
        <v>8872</v>
      </c>
      <c r="E5366" s="191" t="s">
        <v>58</v>
      </c>
      <c r="F5366" s="199" t="s">
        <v>8732</v>
      </c>
      <c r="G5366" s="191" t="s">
        <v>8838</v>
      </c>
      <c r="H5366" s="289" t="s">
        <v>7110</v>
      </c>
      <c r="I5366" s="197" t="s">
        <v>8891</v>
      </c>
      <c r="J5366" s="148" t="s">
        <v>63</v>
      </c>
      <c r="K5366" s="148" t="s">
        <v>64</v>
      </c>
      <c r="L5366" s="148" t="s">
        <v>65</v>
      </c>
      <c r="M5366" s="148" t="s">
        <v>66</v>
      </c>
      <c r="N5366" s="278">
        <v>46238.0</v>
      </c>
      <c r="O5366" s="148" t="s">
        <v>67</v>
      </c>
      <c r="P5366" s="148" t="s">
        <v>68</v>
      </c>
      <c r="Q5366" s="103"/>
      <c r="R5366" s="103"/>
      <c r="S5366" s="103"/>
      <c r="T5366" s="103"/>
      <c r="U5366" s="148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1">
        <f t="shared" si="1"/>
        <v>5361</v>
      </c>
      <c r="B5367" s="97" t="s">
        <v>8894</v>
      </c>
      <c r="C5367" s="82" t="str">
        <f>VLOOKUP($B$7:$B$5000,SUM!$L$6:$L$500,1,FALSE)</f>
        <v>#VALUE!</v>
      </c>
      <c r="D5367" s="190" t="s">
        <v>8872</v>
      </c>
      <c r="E5367" s="191" t="s">
        <v>58</v>
      </c>
      <c r="F5367" s="199" t="s">
        <v>8732</v>
      </c>
      <c r="G5367" s="191" t="s">
        <v>8838</v>
      </c>
      <c r="H5367" s="289" t="s">
        <v>7353</v>
      </c>
      <c r="I5367" s="197" t="s">
        <v>8895</v>
      </c>
      <c r="J5367" s="148" t="s">
        <v>63</v>
      </c>
      <c r="K5367" s="148" t="s">
        <v>64</v>
      </c>
      <c r="L5367" s="148" t="s">
        <v>65</v>
      </c>
      <c r="M5367" s="148" t="s">
        <v>66</v>
      </c>
      <c r="N5367" s="278">
        <v>46238.0</v>
      </c>
      <c r="O5367" s="148" t="s">
        <v>67</v>
      </c>
      <c r="P5367" s="148" t="s">
        <v>68</v>
      </c>
      <c r="Q5367" s="103"/>
      <c r="R5367" s="103"/>
      <c r="S5367" s="103"/>
      <c r="T5367" s="103"/>
      <c r="U5367" s="148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1">
        <f t="shared" si="1"/>
        <v>5362</v>
      </c>
      <c r="B5368" s="97" t="s">
        <v>8896</v>
      </c>
      <c r="C5368" s="82" t="str">
        <f>VLOOKUP($B$7:$B$5000,SUM!$L$6:$L$500,1,FALSE)</f>
        <v>#VALUE!</v>
      </c>
      <c r="D5368" s="190" t="s">
        <v>8872</v>
      </c>
      <c r="E5368" s="191" t="s">
        <v>58</v>
      </c>
      <c r="F5368" s="199" t="s">
        <v>8732</v>
      </c>
      <c r="G5368" s="191" t="s">
        <v>8838</v>
      </c>
      <c r="H5368" s="289" t="s">
        <v>7355</v>
      </c>
      <c r="I5368" s="197" t="s">
        <v>8895</v>
      </c>
      <c r="J5368" s="148" t="s">
        <v>63</v>
      </c>
      <c r="K5368" s="148" t="s">
        <v>64</v>
      </c>
      <c r="L5368" s="148" t="s">
        <v>65</v>
      </c>
      <c r="M5368" s="148" t="s">
        <v>66</v>
      </c>
      <c r="N5368" s="278">
        <v>46238.0</v>
      </c>
      <c r="O5368" s="148" t="s">
        <v>67</v>
      </c>
      <c r="P5368" s="148" t="s">
        <v>68</v>
      </c>
      <c r="Q5368" s="103"/>
      <c r="R5368" s="103"/>
      <c r="S5368" s="103"/>
      <c r="T5368" s="103"/>
      <c r="U5368" s="148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1">
        <f t="shared" si="1"/>
        <v>5363</v>
      </c>
      <c r="B5369" s="97" t="s">
        <v>8897</v>
      </c>
      <c r="C5369" s="82" t="str">
        <f>VLOOKUP($B$7:$B$5000,SUM!$L$6:$L$500,1,FALSE)</f>
        <v>#VALUE!</v>
      </c>
      <c r="D5369" s="190" t="s">
        <v>8872</v>
      </c>
      <c r="E5369" s="191" t="s">
        <v>58</v>
      </c>
      <c r="F5369" s="199" t="s">
        <v>8732</v>
      </c>
      <c r="G5369" s="191" t="s">
        <v>8838</v>
      </c>
      <c r="H5369" s="289" t="s">
        <v>7357</v>
      </c>
      <c r="I5369" s="197" t="s">
        <v>8895</v>
      </c>
      <c r="J5369" s="148" t="s">
        <v>63</v>
      </c>
      <c r="K5369" s="148" t="s">
        <v>64</v>
      </c>
      <c r="L5369" s="148" t="s">
        <v>65</v>
      </c>
      <c r="M5369" s="148" t="s">
        <v>66</v>
      </c>
      <c r="N5369" s="278">
        <v>46238.0</v>
      </c>
      <c r="O5369" s="148" t="s">
        <v>67</v>
      </c>
      <c r="P5369" s="148" t="s">
        <v>68</v>
      </c>
      <c r="Q5369" s="103"/>
      <c r="R5369" s="103"/>
      <c r="S5369" s="103"/>
      <c r="T5369" s="103"/>
      <c r="U5369" s="148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1">
        <f t="shared" si="1"/>
        <v>5364</v>
      </c>
      <c r="B5370" s="97" t="s">
        <v>8898</v>
      </c>
      <c r="C5370" s="82" t="str">
        <f>VLOOKUP($B$7:$B$5000,SUM!$L$6:$L$500,1,FALSE)</f>
        <v>#VALUE!</v>
      </c>
      <c r="D5370" s="190" t="s">
        <v>8872</v>
      </c>
      <c r="E5370" s="191" t="s">
        <v>58</v>
      </c>
      <c r="F5370" s="199" t="s">
        <v>8732</v>
      </c>
      <c r="G5370" s="191" t="s">
        <v>8838</v>
      </c>
      <c r="H5370" s="289" t="s">
        <v>7365</v>
      </c>
      <c r="I5370" s="197" t="s">
        <v>8895</v>
      </c>
      <c r="J5370" s="148" t="s">
        <v>63</v>
      </c>
      <c r="K5370" s="148" t="s">
        <v>64</v>
      </c>
      <c r="L5370" s="148" t="s">
        <v>65</v>
      </c>
      <c r="M5370" s="148" t="s">
        <v>66</v>
      </c>
      <c r="N5370" s="278">
        <v>46238.0</v>
      </c>
      <c r="O5370" s="148" t="s">
        <v>67</v>
      </c>
      <c r="P5370" s="148" t="s">
        <v>68</v>
      </c>
      <c r="Q5370" s="103"/>
      <c r="R5370" s="103"/>
      <c r="S5370" s="103"/>
      <c r="T5370" s="103"/>
      <c r="U5370" s="148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1">
        <f t="shared" si="1"/>
        <v>5365</v>
      </c>
      <c r="B5371" s="97" t="s">
        <v>8899</v>
      </c>
      <c r="C5371" s="82" t="str">
        <f>VLOOKUP($B$7:$B$5000,SUM!$L$6:$L$500,1,FALSE)</f>
        <v>#VALUE!</v>
      </c>
      <c r="D5371" s="190" t="s">
        <v>8872</v>
      </c>
      <c r="E5371" s="191" t="s">
        <v>58</v>
      </c>
      <c r="F5371" s="199" t="s">
        <v>8732</v>
      </c>
      <c r="G5371" s="191" t="s">
        <v>8838</v>
      </c>
      <c r="H5371" s="289" t="s">
        <v>7320</v>
      </c>
      <c r="I5371" s="197" t="s">
        <v>8900</v>
      </c>
      <c r="J5371" s="148" t="s">
        <v>63</v>
      </c>
      <c r="K5371" s="148" t="s">
        <v>64</v>
      </c>
      <c r="L5371" s="148" t="s">
        <v>65</v>
      </c>
      <c r="M5371" s="148" t="s">
        <v>66</v>
      </c>
      <c r="N5371" s="278">
        <v>46238.0</v>
      </c>
      <c r="O5371" s="148" t="s">
        <v>67</v>
      </c>
      <c r="P5371" s="148" t="s">
        <v>68</v>
      </c>
      <c r="Q5371" s="103"/>
      <c r="R5371" s="103"/>
      <c r="S5371" s="103"/>
      <c r="T5371" s="103"/>
      <c r="U5371" s="148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1">
        <f t="shared" si="1"/>
        <v>5366</v>
      </c>
      <c r="B5372" s="97" t="s">
        <v>8901</v>
      </c>
      <c r="C5372" s="82" t="str">
        <f>VLOOKUP($B$7:$B$5000,SUM!$L$6:$L$500,1,FALSE)</f>
        <v>#VALUE!</v>
      </c>
      <c r="D5372" s="190" t="s">
        <v>8872</v>
      </c>
      <c r="E5372" s="191" t="s">
        <v>58</v>
      </c>
      <c r="F5372" s="199" t="s">
        <v>8732</v>
      </c>
      <c r="G5372" s="191" t="s">
        <v>8838</v>
      </c>
      <c r="H5372" s="289" t="s">
        <v>7323</v>
      </c>
      <c r="I5372" s="197" t="s">
        <v>8900</v>
      </c>
      <c r="J5372" s="148" t="s">
        <v>63</v>
      </c>
      <c r="K5372" s="148" t="s">
        <v>64</v>
      </c>
      <c r="L5372" s="148" t="s">
        <v>65</v>
      </c>
      <c r="M5372" s="148" t="s">
        <v>66</v>
      </c>
      <c r="N5372" s="278">
        <v>46238.0</v>
      </c>
      <c r="O5372" s="148" t="s">
        <v>67</v>
      </c>
      <c r="P5372" s="148" t="s">
        <v>68</v>
      </c>
      <c r="Q5372" s="103"/>
      <c r="R5372" s="103"/>
      <c r="S5372" s="103"/>
      <c r="T5372" s="103"/>
      <c r="U5372" s="148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1">
        <f t="shared" si="1"/>
        <v>5367</v>
      </c>
      <c r="B5373" s="97" t="s">
        <v>8902</v>
      </c>
      <c r="C5373" s="82" t="str">
        <f>VLOOKUP($B$7:$B$5000,SUM!$L$6:$L$500,1,FALSE)</f>
        <v>#VALUE!</v>
      </c>
      <c r="D5373" s="190" t="s">
        <v>8872</v>
      </c>
      <c r="E5373" s="191" t="s">
        <v>58</v>
      </c>
      <c r="F5373" s="199" t="s">
        <v>8732</v>
      </c>
      <c r="G5373" s="191" t="s">
        <v>8838</v>
      </c>
      <c r="H5373" s="289" t="s">
        <v>7325</v>
      </c>
      <c r="I5373" s="197" t="s">
        <v>8900</v>
      </c>
      <c r="J5373" s="148" t="s">
        <v>63</v>
      </c>
      <c r="K5373" s="148" t="s">
        <v>64</v>
      </c>
      <c r="L5373" s="148" t="s">
        <v>65</v>
      </c>
      <c r="M5373" s="148" t="s">
        <v>66</v>
      </c>
      <c r="N5373" s="278">
        <v>46238.0</v>
      </c>
      <c r="O5373" s="148" t="s">
        <v>67</v>
      </c>
      <c r="P5373" s="148" t="s">
        <v>68</v>
      </c>
      <c r="Q5373" s="103"/>
      <c r="R5373" s="103"/>
      <c r="S5373" s="103"/>
      <c r="T5373" s="103"/>
      <c r="U5373" s="148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1">
        <f t="shared" si="1"/>
        <v>5368</v>
      </c>
      <c r="B5374" s="97" t="s">
        <v>8903</v>
      </c>
      <c r="C5374" s="82" t="str">
        <f>VLOOKUP($B$7:$B$5000,SUM!$L$6:$L$500,1,FALSE)</f>
        <v>#VALUE!</v>
      </c>
      <c r="D5374" s="190" t="s">
        <v>8872</v>
      </c>
      <c r="E5374" s="191" t="s">
        <v>58</v>
      </c>
      <c r="F5374" s="199" t="s">
        <v>8732</v>
      </c>
      <c r="G5374" s="191" t="s">
        <v>8838</v>
      </c>
      <c r="H5374" s="289" t="s">
        <v>7327</v>
      </c>
      <c r="I5374" s="197" t="s">
        <v>8900</v>
      </c>
      <c r="J5374" s="148" t="s">
        <v>63</v>
      </c>
      <c r="K5374" s="148" t="s">
        <v>64</v>
      </c>
      <c r="L5374" s="148" t="s">
        <v>65</v>
      </c>
      <c r="M5374" s="148" t="s">
        <v>66</v>
      </c>
      <c r="N5374" s="278">
        <v>46238.0</v>
      </c>
      <c r="O5374" s="148" t="s">
        <v>67</v>
      </c>
      <c r="P5374" s="148" t="s">
        <v>68</v>
      </c>
      <c r="Q5374" s="103"/>
      <c r="R5374" s="103"/>
      <c r="S5374" s="103"/>
      <c r="T5374" s="103"/>
      <c r="U5374" s="148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1">
        <f t="shared" si="1"/>
        <v>5369</v>
      </c>
      <c r="B5375" s="97" t="s">
        <v>8904</v>
      </c>
      <c r="C5375" s="82" t="str">
        <f>VLOOKUP($B$7:$B$5000,SUM!$L$6:$L$500,1,FALSE)</f>
        <v>#VALUE!</v>
      </c>
      <c r="D5375" s="190" t="s">
        <v>8872</v>
      </c>
      <c r="E5375" s="191" t="s">
        <v>58</v>
      </c>
      <c r="F5375" s="199" t="s">
        <v>8732</v>
      </c>
      <c r="G5375" s="191" t="s">
        <v>8838</v>
      </c>
      <c r="H5375" s="289" t="s">
        <v>7329</v>
      </c>
      <c r="I5375" s="197" t="s">
        <v>8900</v>
      </c>
      <c r="J5375" s="148" t="s">
        <v>63</v>
      </c>
      <c r="K5375" s="148" t="s">
        <v>64</v>
      </c>
      <c r="L5375" s="148" t="s">
        <v>65</v>
      </c>
      <c r="M5375" s="148" t="s">
        <v>66</v>
      </c>
      <c r="N5375" s="278">
        <v>46238.0</v>
      </c>
      <c r="O5375" s="148" t="s">
        <v>67</v>
      </c>
      <c r="P5375" s="148" t="s">
        <v>68</v>
      </c>
      <c r="Q5375" s="103"/>
      <c r="R5375" s="103"/>
      <c r="S5375" s="103"/>
      <c r="T5375" s="103"/>
      <c r="U5375" s="148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1">
        <f t="shared" si="1"/>
        <v>5370</v>
      </c>
      <c r="B5376" s="97" t="s">
        <v>8905</v>
      </c>
      <c r="C5376" s="82" t="str">
        <f>VLOOKUP($B$7:$B$5000,SUM!$L$6:$L$500,1,FALSE)</f>
        <v>#VALUE!</v>
      </c>
      <c r="D5376" s="190" t="s">
        <v>8872</v>
      </c>
      <c r="E5376" s="191" t="s">
        <v>58</v>
      </c>
      <c r="F5376" s="199" t="s">
        <v>8732</v>
      </c>
      <c r="G5376" s="191" t="s">
        <v>8838</v>
      </c>
      <c r="H5376" s="289" t="s">
        <v>7331</v>
      </c>
      <c r="I5376" s="197" t="s">
        <v>8900</v>
      </c>
      <c r="J5376" s="148" t="s">
        <v>63</v>
      </c>
      <c r="K5376" s="148" t="s">
        <v>64</v>
      </c>
      <c r="L5376" s="148" t="s">
        <v>65</v>
      </c>
      <c r="M5376" s="148" t="s">
        <v>66</v>
      </c>
      <c r="N5376" s="278">
        <v>46238.0</v>
      </c>
      <c r="O5376" s="148" t="s">
        <v>67</v>
      </c>
      <c r="P5376" s="148" t="s">
        <v>68</v>
      </c>
      <c r="Q5376" s="103"/>
      <c r="R5376" s="103"/>
      <c r="S5376" s="103"/>
      <c r="T5376" s="103"/>
      <c r="U5376" s="148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1">
        <f t="shared" si="1"/>
        <v>5371</v>
      </c>
      <c r="B5377" s="97" t="s">
        <v>8906</v>
      </c>
      <c r="C5377" s="82" t="str">
        <f>VLOOKUP($B$7:$B$5000,SUM!$L$6:$L$500,1,FALSE)</f>
        <v>#VALUE!</v>
      </c>
      <c r="D5377" s="190" t="s">
        <v>8872</v>
      </c>
      <c r="E5377" s="191" t="s">
        <v>58</v>
      </c>
      <c r="F5377" s="199" t="s">
        <v>8732</v>
      </c>
      <c r="G5377" s="189" t="s">
        <v>8838</v>
      </c>
      <c r="H5377" s="289" t="s">
        <v>7333</v>
      </c>
      <c r="I5377" s="197" t="s">
        <v>8900</v>
      </c>
      <c r="J5377" s="148" t="s">
        <v>63</v>
      </c>
      <c r="K5377" s="148" t="s">
        <v>64</v>
      </c>
      <c r="L5377" s="148" t="s">
        <v>65</v>
      </c>
      <c r="M5377" s="148" t="s">
        <v>66</v>
      </c>
      <c r="N5377" s="278">
        <v>46238.0</v>
      </c>
      <c r="O5377" s="148" t="s">
        <v>67</v>
      </c>
      <c r="P5377" s="148" t="s">
        <v>68</v>
      </c>
      <c r="Q5377" s="103"/>
      <c r="R5377" s="103"/>
      <c r="S5377" s="103"/>
      <c r="T5377" s="103"/>
      <c r="U5377" s="148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1">
        <f t="shared" si="1"/>
        <v>5372</v>
      </c>
      <c r="B5378" s="97" t="s">
        <v>8907</v>
      </c>
      <c r="C5378" s="82" t="str">
        <f>VLOOKUP($B$7:$B$5000,SUM!$L$6:$L$500,1,FALSE)</f>
        <v>#VALUE!</v>
      </c>
      <c r="D5378" s="190" t="s">
        <v>8872</v>
      </c>
      <c r="E5378" s="191" t="s">
        <v>58</v>
      </c>
      <c r="F5378" s="199" t="s">
        <v>8732</v>
      </c>
      <c r="G5378" s="191" t="s">
        <v>8838</v>
      </c>
      <c r="H5378" s="289" t="s">
        <v>7335</v>
      </c>
      <c r="I5378" s="197" t="s">
        <v>8900</v>
      </c>
      <c r="J5378" s="148" t="s">
        <v>63</v>
      </c>
      <c r="K5378" s="148" t="s">
        <v>64</v>
      </c>
      <c r="L5378" s="148" t="s">
        <v>65</v>
      </c>
      <c r="M5378" s="148" t="s">
        <v>66</v>
      </c>
      <c r="N5378" s="278">
        <v>46238.0</v>
      </c>
      <c r="O5378" s="148" t="s">
        <v>67</v>
      </c>
      <c r="P5378" s="148" t="s">
        <v>68</v>
      </c>
      <c r="Q5378" s="103"/>
      <c r="R5378" s="103"/>
      <c r="S5378" s="103"/>
      <c r="T5378" s="103"/>
      <c r="U5378" s="148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1">
        <f t="shared" si="1"/>
        <v>5373</v>
      </c>
      <c r="B5379" s="97" t="s">
        <v>8908</v>
      </c>
      <c r="C5379" s="82" t="str">
        <f>VLOOKUP($B$7:$B$5000,SUM!$L$6:$L$500,1,FALSE)</f>
        <v>#VALUE!</v>
      </c>
      <c r="D5379" s="190" t="s">
        <v>8872</v>
      </c>
      <c r="E5379" s="191" t="s">
        <v>58</v>
      </c>
      <c r="F5379" s="199" t="s">
        <v>8732</v>
      </c>
      <c r="G5379" s="191" t="s">
        <v>8838</v>
      </c>
      <c r="H5379" s="289" t="s">
        <v>7337</v>
      </c>
      <c r="I5379" s="197" t="s">
        <v>8900</v>
      </c>
      <c r="J5379" s="148" t="s">
        <v>63</v>
      </c>
      <c r="K5379" s="148" t="s">
        <v>64</v>
      </c>
      <c r="L5379" s="148" t="s">
        <v>65</v>
      </c>
      <c r="M5379" s="148" t="s">
        <v>66</v>
      </c>
      <c r="N5379" s="278">
        <v>46238.0</v>
      </c>
      <c r="O5379" s="148" t="s">
        <v>67</v>
      </c>
      <c r="P5379" s="148" t="s">
        <v>68</v>
      </c>
      <c r="Q5379" s="103"/>
      <c r="R5379" s="103"/>
      <c r="S5379" s="103"/>
      <c r="T5379" s="103"/>
      <c r="U5379" s="148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1">
        <f t="shared" si="1"/>
        <v>5374</v>
      </c>
      <c r="B5380" s="97" t="s">
        <v>8909</v>
      </c>
      <c r="C5380" s="82" t="str">
        <f>VLOOKUP($B$7:$B$5000,SUM!$L$6:$L$500,1,FALSE)</f>
        <v>#VALUE!</v>
      </c>
      <c r="D5380" s="190" t="s">
        <v>8872</v>
      </c>
      <c r="E5380" s="189" t="s">
        <v>58</v>
      </c>
      <c r="F5380" s="199" t="s">
        <v>8732</v>
      </c>
      <c r="G5380" s="191" t="s">
        <v>8838</v>
      </c>
      <c r="H5380" s="289" t="s">
        <v>7339</v>
      </c>
      <c r="I5380" s="197" t="s">
        <v>8900</v>
      </c>
      <c r="J5380" s="148" t="s">
        <v>63</v>
      </c>
      <c r="K5380" s="148" t="s">
        <v>64</v>
      </c>
      <c r="L5380" s="148" t="s">
        <v>65</v>
      </c>
      <c r="M5380" s="148" t="s">
        <v>66</v>
      </c>
      <c r="N5380" s="278">
        <v>46238.0</v>
      </c>
      <c r="O5380" s="148" t="s">
        <v>67</v>
      </c>
      <c r="P5380" s="148" t="s">
        <v>68</v>
      </c>
      <c r="Q5380" s="103"/>
      <c r="R5380" s="103"/>
      <c r="S5380" s="103"/>
      <c r="T5380" s="103"/>
      <c r="U5380" s="148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1">
        <f t="shared" si="1"/>
        <v>5375</v>
      </c>
      <c r="B5381" s="97" t="s">
        <v>8910</v>
      </c>
      <c r="C5381" s="82" t="str">
        <f>VLOOKUP($B$7:$B$5000,SUM!$L$6:$L$500,1,FALSE)</f>
        <v>#VALUE!</v>
      </c>
      <c r="D5381" s="271" t="s">
        <v>8911</v>
      </c>
      <c r="E5381" s="189" t="s">
        <v>58</v>
      </c>
      <c r="F5381" s="148" t="s">
        <v>8912</v>
      </c>
      <c r="G5381" s="189" t="s">
        <v>8518</v>
      </c>
      <c r="H5381" s="148" t="s">
        <v>8913</v>
      </c>
      <c r="I5381" s="270" t="s">
        <v>8520</v>
      </c>
      <c r="J5381" s="148" t="s">
        <v>63</v>
      </c>
      <c r="K5381" s="148" t="s">
        <v>4434</v>
      </c>
      <c r="L5381" s="148" t="s">
        <v>65</v>
      </c>
      <c r="M5381" s="148" t="s">
        <v>66</v>
      </c>
      <c r="N5381" s="278">
        <v>46240.0</v>
      </c>
      <c r="O5381" s="148" t="s">
        <v>67</v>
      </c>
      <c r="P5381" s="148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1">
        <f t="shared" si="1"/>
        <v>5376</v>
      </c>
      <c r="B5382" s="97" t="s">
        <v>8914</v>
      </c>
      <c r="C5382" s="82" t="str">
        <f>VLOOKUP($B$7:$B$5000,SUM!$L$6:$L$500,1,FALSE)</f>
        <v>#VALUE!</v>
      </c>
      <c r="D5382" s="271" t="s">
        <v>8911</v>
      </c>
      <c r="E5382" s="189" t="s">
        <v>58</v>
      </c>
      <c r="F5382" s="148" t="s">
        <v>8912</v>
      </c>
      <c r="G5382" s="189" t="s">
        <v>8518</v>
      </c>
      <c r="H5382" s="148" t="s">
        <v>8915</v>
      </c>
      <c r="I5382" s="270" t="s">
        <v>8520</v>
      </c>
      <c r="J5382" s="148" t="s">
        <v>63</v>
      </c>
      <c r="K5382" s="148" t="s">
        <v>4434</v>
      </c>
      <c r="L5382" s="148" t="s">
        <v>65</v>
      </c>
      <c r="M5382" s="148" t="s">
        <v>66</v>
      </c>
      <c r="N5382" s="278">
        <v>46240.0</v>
      </c>
      <c r="O5382" s="148" t="s">
        <v>67</v>
      </c>
      <c r="P5382" s="148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1">
        <f t="shared" si="1"/>
        <v>5377</v>
      </c>
      <c r="B5383" s="97" t="s">
        <v>8916</v>
      </c>
      <c r="C5383" s="82" t="str">
        <f>VLOOKUP($B$7:$B$5000,SUM!$L$6:$L$500,1,FALSE)</f>
        <v>#VALUE!</v>
      </c>
      <c r="D5383" s="271" t="s">
        <v>8917</v>
      </c>
      <c r="E5383" s="189" t="s">
        <v>58</v>
      </c>
      <c r="F5383" s="148" t="s">
        <v>8918</v>
      </c>
      <c r="G5383" s="189" t="s">
        <v>8518</v>
      </c>
      <c r="H5383" s="199" t="s">
        <v>843</v>
      </c>
      <c r="I5383" s="270" t="s">
        <v>8919</v>
      </c>
      <c r="J5383" s="148" t="s">
        <v>63</v>
      </c>
      <c r="K5383" s="148" t="s">
        <v>4434</v>
      </c>
      <c r="L5383" s="148" t="s">
        <v>65</v>
      </c>
      <c r="M5383" s="148" t="s">
        <v>66</v>
      </c>
      <c r="N5383" s="278">
        <v>46240.0</v>
      </c>
      <c r="O5383" s="148" t="s">
        <v>67</v>
      </c>
      <c r="P5383" s="148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1">
        <f t="shared" si="1"/>
        <v>5378</v>
      </c>
      <c r="B5384" s="97" t="s">
        <v>8920</v>
      </c>
      <c r="C5384" s="82" t="str">
        <f>VLOOKUP($B$7:$B$5000,SUM!$L$6:$L$500,1,FALSE)</f>
        <v>#VALUE!</v>
      </c>
      <c r="D5384" s="271" t="s">
        <v>8917</v>
      </c>
      <c r="E5384" s="189" t="s">
        <v>58</v>
      </c>
      <c r="F5384" s="148" t="s">
        <v>8918</v>
      </c>
      <c r="G5384" s="189" t="s">
        <v>8518</v>
      </c>
      <c r="H5384" s="199" t="s">
        <v>847</v>
      </c>
      <c r="I5384" s="270" t="s">
        <v>8919</v>
      </c>
      <c r="J5384" s="148" t="s">
        <v>63</v>
      </c>
      <c r="K5384" s="148" t="s">
        <v>4434</v>
      </c>
      <c r="L5384" s="148" t="s">
        <v>65</v>
      </c>
      <c r="M5384" s="148" t="s">
        <v>66</v>
      </c>
      <c r="N5384" s="278">
        <v>46240.0</v>
      </c>
      <c r="O5384" s="148" t="s">
        <v>67</v>
      </c>
      <c r="P5384" s="148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1">
        <f t="shared" si="1"/>
        <v>5379</v>
      </c>
      <c r="B5385" s="97" t="s">
        <v>8921</v>
      </c>
      <c r="C5385" s="82" t="str">
        <f>VLOOKUP($B$7:$B$5000,SUM!$L$6:$L$500,1,FALSE)</f>
        <v>#VALUE!</v>
      </c>
      <c r="D5385" s="271" t="s">
        <v>8917</v>
      </c>
      <c r="E5385" s="189" t="s">
        <v>58</v>
      </c>
      <c r="F5385" s="148" t="s">
        <v>8918</v>
      </c>
      <c r="G5385" s="189" t="s">
        <v>8518</v>
      </c>
      <c r="H5385" s="199" t="s">
        <v>849</v>
      </c>
      <c r="I5385" s="270" t="s">
        <v>8919</v>
      </c>
      <c r="J5385" s="148" t="s">
        <v>63</v>
      </c>
      <c r="K5385" s="148" t="s">
        <v>4434</v>
      </c>
      <c r="L5385" s="148" t="s">
        <v>65</v>
      </c>
      <c r="M5385" s="148" t="s">
        <v>66</v>
      </c>
      <c r="N5385" s="278">
        <v>46240.0</v>
      </c>
      <c r="O5385" s="148" t="s">
        <v>67</v>
      </c>
      <c r="P5385" s="148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1">
        <f t="shared" si="1"/>
        <v>5380</v>
      </c>
      <c r="B5386" s="97" t="s">
        <v>8922</v>
      </c>
      <c r="C5386" s="82" t="str">
        <f>VLOOKUP($B$7:$B$5000,SUM!$L$6:$L$500,1,FALSE)</f>
        <v>#VALUE!</v>
      </c>
      <c r="D5386" s="271" t="s">
        <v>8917</v>
      </c>
      <c r="E5386" s="189" t="s">
        <v>58</v>
      </c>
      <c r="F5386" s="148" t="s">
        <v>8918</v>
      </c>
      <c r="G5386" s="189" t="s">
        <v>8518</v>
      </c>
      <c r="H5386" s="199" t="s">
        <v>8913</v>
      </c>
      <c r="I5386" s="270" t="s">
        <v>8919</v>
      </c>
      <c r="J5386" s="148" t="s">
        <v>63</v>
      </c>
      <c r="K5386" s="148" t="s">
        <v>4434</v>
      </c>
      <c r="L5386" s="148" t="s">
        <v>65</v>
      </c>
      <c r="M5386" s="148" t="s">
        <v>66</v>
      </c>
      <c r="N5386" s="278">
        <v>46240.0</v>
      </c>
      <c r="O5386" s="148" t="s">
        <v>67</v>
      </c>
      <c r="P5386" s="148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1">
        <f t="shared" si="1"/>
        <v>5381</v>
      </c>
      <c r="B5387" s="97" t="s">
        <v>8923</v>
      </c>
      <c r="C5387" s="82" t="str">
        <f>VLOOKUP($B$7:$B$5000,SUM!$L$6:$L$500,1,FALSE)</f>
        <v>#VALUE!</v>
      </c>
      <c r="D5387" s="271" t="s">
        <v>8917</v>
      </c>
      <c r="E5387" s="189" t="s">
        <v>58</v>
      </c>
      <c r="F5387" s="148" t="s">
        <v>8918</v>
      </c>
      <c r="G5387" s="189" t="s">
        <v>8518</v>
      </c>
      <c r="H5387" s="199" t="s">
        <v>8915</v>
      </c>
      <c r="I5387" s="270" t="s">
        <v>8919</v>
      </c>
      <c r="J5387" s="148" t="s">
        <v>63</v>
      </c>
      <c r="K5387" s="148" t="s">
        <v>4434</v>
      </c>
      <c r="L5387" s="148" t="s">
        <v>65</v>
      </c>
      <c r="M5387" s="148" t="s">
        <v>66</v>
      </c>
      <c r="N5387" s="278">
        <v>46240.0</v>
      </c>
      <c r="O5387" s="148" t="s">
        <v>67</v>
      </c>
      <c r="P5387" s="148" t="s">
        <v>68</v>
      </c>
      <c r="Q5387" s="103"/>
      <c r="R5387" s="103"/>
      <c r="S5387" s="103"/>
      <c r="T5387" s="103"/>
      <c r="U5387" s="148" t="s">
        <v>28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1">
        <f t="shared" si="1"/>
        <v>5382</v>
      </c>
      <c r="B5388" s="97" t="s">
        <v>8924</v>
      </c>
      <c r="C5388" s="82" t="str">
        <f>VLOOKUP($B$7:$B$5000,SUM!$L$6:$L$500,1,FALSE)</f>
        <v>#VALUE!</v>
      </c>
      <c r="D5388" s="271" t="s">
        <v>8925</v>
      </c>
      <c r="E5388" s="191" t="s">
        <v>58</v>
      </c>
      <c r="F5388" s="199" t="s">
        <v>8926</v>
      </c>
      <c r="G5388" s="191" t="s">
        <v>8927</v>
      </c>
      <c r="H5388" s="199" t="s">
        <v>8928</v>
      </c>
      <c r="I5388" s="270" t="s">
        <v>8929</v>
      </c>
      <c r="J5388" s="148" t="s">
        <v>63</v>
      </c>
      <c r="K5388" s="148" t="s">
        <v>4434</v>
      </c>
      <c r="L5388" s="148" t="s">
        <v>65</v>
      </c>
      <c r="M5388" s="148" t="s">
        <v>66</v>
      </c>
      <c r="N5388" s="278">
        <v>46240.0</v>
      </c>
      <c r="O5388" s="148" t="s">
        <v>67</v>
      </c>
      <c r="P5388" s="148" t="s">
        <v>68</v>
      </c>
      <c r="Q5388" s="103"/>
      <c r="R5388" s="103"/>
      <c r="S5388" s="103"/>
      <c r="T5388" s="103"/>
      <c r="U5388" s="148" t="s">
        <v>28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1">
        <f t="shared" si="1"/>
        <v>5383</v>
      </c>
      <c r="B5389" s="97" t="s">
        <v>8930</v>
      </c>
      <c r="C5389" s="82" t="str">
        <f>VLOOKUP($B$7:$B$5000,SUM!$L$6:$L$500,1,FALSE)</f>
        <v>#VALUE!</v>
      </c>
      <c r="D5389" s="271" t="s">
        <v>8925</v>
      </c>
      <c r="E5389" s="191" t="s">
        <v>58</v>
      </c>
      <c r="F5389" s="199" t="s">
        <v>8926</v>
      </c>
      <c r="G5389" s="191" t="s">
        <v>8927</v>
      </c>
      <c r="H5389" s="199" t="s">
        <v>8931</v>
      </c>
      <c r="I5389" s="270" t="s">
        <v>8929</v>
      </c>
      <c r="J5389" s="148" t="s">
        <v>63</v>
      </c>
      <c r="K5389" s="148" t="s">
        <v>4434</v>
      </c>
      <c r="L5389" s="148" t="s">
        <v>65</v>
      </c>
      <c r="M5389" s="148" t="s">
        <v>66</v>
      </c>
      <c r="N5389" s="278">
        <v>46240.0</v>
      </c>
      <c r="O5389" s="148" t="s">
        <v>67</v>
      </c>
      <c r="P5389" s="148" t="s">
        <v>68</v>
      </c>
      <c r="Q5389" s="103"/>
      <c r="R5389" s="103"/>
      <c r="S5389" s="103"/>
      <c r="T5389" s="103"/>
      <c r="U5389" s="148" t="s">
        <v>28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1">
        <f t="shared" si="1"/>
        <v>5384</v>
      </c>
      <c r="B5390" s="97" t="s">
        <v>8932</v>
      </c>
      <c r="C5390" s="82" t="str">
        <f>VLOOKUP($B$7:$B$5000,SUM!$L$6:$L$500,1,FALSE)</f>
        <v>#VALUE!</v>
      </c>
      <c r="D5390" s="271" t="s">
        <v>8925</v>
      </c>
      <c r="E5390" s="191" t="s">
        <v>58</v>
      </c>
      <c r="F5390" s="199" t="s">
        <v>8926</v>
      </c>
      <c r="G5390" s="191" t="s">
        <v>8927</v>
      </c>
      <c r="H5390" s="199" t="s">
        <v>8933</v>
      </c>
      <c r="I5390" s="270" t="s">
        <v>8929</v>
      </c>
      <c r="J5390" s="148" t="s">
        <v>63</v>
      </c>
      <c r="K5390" s="148" t="s">
        <v>4434</v>
      </c>
      <c r="L5390" s="148" t="s">
        <v>65</v>
      </c>
      <c r="M5390" s="148" t="s">
        <v>66</v>
      </c>
      <c r="N5390" s="278">
        <v>46240.0</v>
      </c>
      <c r="O5390" s="148" t="s">
        <v>67</v>
      </c>
      <c r="P5390" s="148" t="s">
        <v>68</v>
      </c>
      <c r="Q5390" s="103"/>
      <c r="R5390" s="103"/>
      <c r="S5390" s="103"/>
      <c r="T5390" s="103"/>
      <c r="U5390" s="148" t="s">
        <v>28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1">
        <f t="shared" si="1"/>
        <v>5385</v>
      </c>
      <c r="B5391" s="97" t="s">
        <v>8934</v>
      </c>
      <c r="C5391" s="82" t="str">
        <f>VLOOKUP($B$7:$B$5000,SUM!$L$6:$L$500,1,FALSE)</f>
        <v>#VALUE!</v>
      </c>
      <c r="D5391" s="271" t="s">
        <v>8925</v>
      </c>
      <c r="E5391" s="191" t="s">
        <v>58</v>
      </c>
      <c r="F5391" s="199" t="s">
        <v>8926</v>
      </c>
      <c r="G5391" s="191" t="s">
        <v>8927</v>
      </c>
      <c r="H5391" s="199" t="s">
        <v>8935</v>
      </c>
      <c r="I5391" s="270" t="s">
        <v>8929</v>
      </c>
      <c r="J5391" s="148" t="s">
        <v>63</v>
      </c>
      <c r="K5391" s="148" t="s">
        <v>4434</v>
      </c>
      <c r="L5391" s="148" t="s">
        <v>65</v>
      </c>
      <c r="M5391" s="148" t="s">
        <v>66</v>
      </c>
      <c r="N5391" s="278">
        <v>46240.0</v>
      </c>
      <c r="O5391" s="148" t="s">
        <v>67</v>
      </c>
      <c r="P5391" s="148" t="s">
        <v>68</v>
      </c>
      <c r="Q5391" s="103"/>
      <c r="R5391" s="103"/>
      <c r="S5391" s="103"/>
      <c r="T5391" s="103"/>
      <c r="U5391" s="148" t="s">
        <v>28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1">
        <f t="shared" si="1"/>
        <v>5386</v>
      </c>
      <c r="B5392" s="97" t="s">
        <v>8936</v>
      </c>
      <c r="C5392" s="82" t="str">
        <f>VLOOKUP($B$7:$B$5000,SUM!$L$6:$L$500,1,FALSE)</f>
        <v>#VALUE!</v>
      </c>
      <c r="D5392" s="271" t="s">
        <v>8925</v>
      </c>
      <c r="E5392" s="191" t="s">
        <v>58</v>
      </c>
      <c r="F5392" s="199" t="s">
        <v>8926</v>
      </c>
      <c r="G5392" s="191" t="s">
        <v>8927</v>
      </c>
      <c r="H5392" s="199" t="s">
        <v>8937</v>
      </c>
      <c r="I5392" s="270" t="s">
        <v>8929</v>
      </c>
      <c r="J5392" s="148" t="s">
        <v>63</v>
      </c>
      <c r="K5392" s="148" t="s">
        <v>4434</v>
      </c>
      <c r="L5392" s="148" t="s">
        <v>65</v>
      </c>
      <c r="M5392" s="148" t="s">
        <v>66</v>
      </c>
      <c r="N5392" s="278">
        <v>46240.0</v>
      </c>
      <c r="O5392" s="148" t="s">
        <v>67</v>
      </c>
      <c r="P5392" s="148" t="s">
        <v>68</v>
      </c>
      <c r="Q5392" s="103"/>
      <c r="R5392" s="103"/>
      <c r="S5392" s="103"/>
      <c r="T5392" s="103"/>
      <c r="U5392" s="148" t="s">
        <v>28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1">
        <f t="shared" si="1"/>
        <v>5387</v>
      </c>
      <c r="B5393" s="97" t="s">
        <v>8938</v>
      </c>
      <c r="C5393" s="82" t="str">
        <f>VLOOKUP($B$7:$B$5000,SUM!$L$6:$L$500,1,FALSE)</f>
        <v>#VALUE!</v>
      </c>
      <c r="D5393" s="271" t="s">
        <v>8925</v>
      </c>
      <c r="E5393" s="191" t="s">
        <v>58</v>
      </c>
      <c r="F5393" s="148" t="s">
        <v>8926</v>
      </c>
      <c r="G5393" s="191" t="s">
        <v>8927</v>
      </c>
      <c r="H5393" s="199" t="s">
        <v>8939</v>
      </c>
      <c r="I5393" s="270" t="s">
        <v>8929</v>
      </c>
      <c r="J5393" s="148" t="s">
        <v>63</v>
      </c>
      <c r="K5393" s="148" t="s">
        <v>4434</v>
      </c>
      <c r="L5393" s="148" t="s">
        <v>65</v>
      </c>
      <c r="M5393" s="148" t="s">
        <v>66</v>
      </c>
      <c r="N5393" s="278">
        <v>46240.0</v>
      </c>
      <c r="O5393" s="148" t="s">
        <v>67</v>
      </c>
      <c r="P5393" s="148" t="s">
        <v>68</v>
      </c>
      <c r="Q5393" s="103"/>
      <c r="R5393" s="103"/>
      <c r="S5393" s="103"/>
      <c r="T5393" s="103"/>
      <c r="U5393" s="148" t="s">
        <v>28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1">
        <f t="shared" si="1"/>
        <v>5388</v>
      </c>
      <c r="B5394" s="97" t="s">
        <v>8940</v>
      </c>
      <c r="C5394" s="82" t="str">
        <f>VLOOKUP($B$7:$B$5000,SUM!$L$6:$L$500,1,FALSE)</f>
        <v>#VALUE!</v>
      </c>
      <c r="D5394" s="271" t="s">
        <v>8925</v>
      </c>
      <c r="E5394" s="191" t="s">
        <v>58</v>
      </c>
      <c r="F5394" s="199" t="s">
        <v>8926</v>
      </c>
      <c r="G5394" s="191" t="s">
        <v>8927</v>
      </c>
      <c r="H5394" s="199" t="s">
        <v>8941</v>
      </c>
      <c r="I5394" s="270" t="s">
        <v>8929</v>
      </c>
      <c r="J5394" s="148" t="s">
        <v>63</v>
      </c>
      <c r="K5394" s="148" t="s">
        <v>4434</v>
      </c>
      <c r="L5394" s="148" t="s">
        <v>65</v>
      </c>
      <c r="M5394" s="148" t="s">
        <v>66</v>
      </c>
      <c r="N5394" s="278">
        <v>46240.0</v>
      </c>
      <c r="O5394" s="148" t="s">
        <v>67</v>
      </c>
      <c r="P5394" s="148" t="s">
        <v>68</v>
      </c>
      <c r="Q5394" s="103"/>
      <c r="R5394" s="103"/>
      <c r="S5394" s="103"/>
      <c r="T5394" s="103"/>
      <c r="U5394" s="148" t="s">
        <v>28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1">
        <f t="shared" si="1"/>
        <v>5389</v>
      </c>
      <c r="B5395" s="97" t="s">
        <v>8942</v>
      </c>
      <c r="C5395" s="82" t="str">
        <f>VLOOKUP($B$7:$B$5000,SUM!$L$6:$L$500,1,FALSE)</f>
        <v>#VALUE!</v>
      </c>
      <c r="D5395" s="271" t="s">
        <v>8925</v>
      </c>
      <c r="E5395" s="191" t="s">
        <v>58</v>
      </c>
      <c r="F5395" s="199" t="s">
        <v>8926</v>
      </c>
      <c r="G5395" s="191" t="s">
        <v>8927</v>
      </c>
      <c r="H5395" s="199" t="s">
        <v>8943</v>
      </c>
      <c r="I5395" s="270" t="s">
        <v>8929</v>
      </c>
      <c r="J5395" s="148" t="s">
        <v>63</v>
      </c>
      <c r="K5395" s="148" t="s">
        <v>4434</v>
      </c>
      <c r="L5395" s="148" t="s">
        <v>65</v>
      </c>
      <c r="M5395" s="148" t="s">
        <v>66</v>
      </c>
      <c r="N5395" s="278">
        <v>46240.0</v>
      </c>
      <c r="O5395" s="148" t="s">
        <v>67</v>
      </c>
      <c r="P5395" s="148" t="s">
        <v>68</v>
      </c>
      <c r="Q5395" s="103"/>
      <c r="R5395" s="103"/>
      <c r="S5395" s="103"/>
      <c r="T5395" s="103"/>
      <c r="U5395" s="148" t="s">
        <v>28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1">
        <f t="shared" si="1"/>
        <v>5390</v>
      </c>
      <c r="B5396" s="97" t="s">
        <v>8944</v>
      </c>
      <c r="C5396" s="82" t="str">
        <f>VLOOKUP($B$7:$B$5000,SUM!$L$6:$L$500,1,FALSE)</f>
        <v>#VALUE!</v>
      </c>
      <c r="D5396" s="271" t="s">
        <v>8925</v>
      </c>
      <c r="E5396" s="191" t="s">
        <v>58</v>
      </c>
      <c r="F5396" s="199" t="s">
        <v>8926</v>
      </c>
      <c r="G5396" s="191" t="s">
        <v>8927</v>
      </c>
      <c r="H5396" s="199" t="s">
        <v>8945</v>
      </c>
      <c r="I5396" s="270" t="s">
        <v>8929</v>
      </c>
      <c r="J5396" s="148" t="s">
        <v>63</v>
      </c>
      <c r="K5396" s="148" t="s">
        <v>4434</v>
      </c>
      <c r="L5396" s="148" t="s">
        <v>65</v>
      </c>
      <c r="M5396" s="148" t="s">
        <v>66</v>
      </c>
      <c r="N5396" s="278">
        <v>46240.0</v>
      </c>
      <c r="O5396" s="148" t="s">
        <v>67</v>
      </c>
      <c r="P5396" s="148" t="s">
        <v>68</v>
      </c>
      <c r="Q5396" s="103"/>
      <c r="R5396" s="103"/>
      <c r="S5396" s="103"/>
      <c r="T5396" s="103"/>
      <c r="U5396" s="148" t="s">
        <v>28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1">
        <f t="shared" si="1"/>
        <v>5391</v>
      </c>
      <c r="B5397" s="97" t="s">
        <v>8946</v>
      </c>
      <c r="C5397" s="82" t="str">
        <f>VLOOKUP($B$7:$B$5000,SUM!$L$6:$L$500,1,FALSE)</f>
        <v>#VALUE!</v>
      </c>
      <c r="D5397" s="271" t="s">
        <v>8925</v>
      </c>
      <c r="E5397" s="191" t="s">
        <v>58</v>
      </c>
      <c r="F5397" s="199" t="s">
        <v>8926</v>
      </c>
      <c r="G5397" s="191" t="s">
        <v>8927</v>
      </c>
      <c r="H5397" s="199" t="s">
        <v>8947</v>
      </c>
      <c r="I5397" s="270" t="s">
        <v>8929</v>
      </c>
      <c r="J5397" s="148" t="s">
        <v>63</v>
      </c>
      <c r="K5397" s="148" t="s">
        <v>4434</v>
      </c>
      <c r="L5397" s="148" t="s">
        <v>65</v>
      </c>
      <c r="M5397" s="148" t="s">
        <v>66</v>
      </c>
      <c r="N5397" s="278">
        <v>46240.0</v>
      </c>
      <c r="O5397" s="148" t="s">
        <v>67</v>
      </c>
      <c r="P5397" s="148" t="s">
        <v>68</v>
      </c>
      <c r="Q5397" s="103"/>
      <c r="R5397" s="103"/>
      <c r="S5397" s="103"/>
      <c r="T5397" s="103"/>
      <c r="U5397" s="148" t="s">
        <v>28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1">
        <f t="shared" si="1"/>
        <v>5392</v>
      </c>
      <c r="B5398" s="97" t="s">
        <v>8948</v>
      </c>
      <c r="C5398" s="82" t="str">
        <f>VLOOKUP($B$7:$B$5000,SUM!$L$6:$L$500,1,FALSE)</f>
        <v>#VALUE!</v>
      </c>
      <c r="D5398" s="271" t="s">
        <v>8925</v>
      </c>
      <c r="E5398" s="191" t="s">
        <v>58</v>
      </c>
      <c r="F5398" s="199" t="s">
        <v>8926</v>
      </c>
      <c r="G5398" s="191" t="s">
        <v>8927</v>
      </c>
      <c r="H5398" s="199" t="s">
        <v>8949</v>
      </c>
      <c r="I5398" s="270" t="s">
        <v>8929</v>
      </c>
      <c r="J5398" s="148" t="s">
        <v>63</v>
      </c>
      <c r="K5398" s="148" t="s">
        <v>4434</v>
      </c>
      <c r="L5398" s="148" t="s">
        <v>65</v>
      </c>
      <c r="M5398" s="148" t="s">
        <v>66</v>
      </c>
      <c r="N5398" s="278">
        <v>46240.0</v>
      </c>
      <c r="O5398" s="148" t="s">
        <v>67</v>
      </c>
      <c r="P5398" s="148" t="s">
        <v>68</v>
      </c>
      <c r="Q5398" s="103"/>
      <c r="R5398" s="103"/>
      <c r="S5398" s="103"/>
      <c r="T5398" s="103"/>
      <c r="U5398" s="148" t="s">
        <v>28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1">
        <f t="shared" si="1"/>
        <v>5393</v>
      </c>
      <c r="B5399" s="97" t="s">
        <v>8950</v>
      </c>
      <c r="C5399" s="82" t="str">
        <f>VLOOKUP($B$7:$B$5000,SUM!$L$6:$L$500,1,FALSE)</f>
        <v>#VALUE!</v>
      </c>
      <c r="D5399" s="271" t="s">
        <v>8925</v>
      </c>
      <c r="E5399" s="191" t="s">
        <v>58</v>
      </c>
      <c r="F5399" s="199" t="s">
        <v>8926</v>
      </c>
      <c r="G5399" s="191" t="s">
        <v>8927</v>
      </c>
      <c r="H5399" s="199" t="s">
        <v>8951</v>
      </c>
      <c r="I5399" s="270" t="s">
        <v>8929</v>
      </c>
      <c r="J5399" s="148" t="s">
        <v>63</v>
      </c>
      <c r="K5399" s="148" t="s">
        <v>4434</v>
      </c>
      <c r="L5399" s="148" t="s">
        <v>65</v>
      </c>
      <c r="M5399" s="148" t="s">
        <v>66</v>
      </c>
      <c r="N5399" s="278">
        <v>46240.0</v>
      </c>
      <c r="O5399" s="148" t="s">
        <v>67</v>
      </c>
      <c r="P5399" s="148" t="s">
        <v>68</v>
      </c>
      <c r="Q5399" s="103"/>
      <c r="R5399" s="103"/>
      <c r="S5399" s="103"/>
      <c r="T5399" s="103"/>
      <c r="U5399" s="148" t="s">
        <v>28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1">
        <f t="shared" si="1"/>
        <v>5394</v>
      </c>
      <c r="B5400" s="97" t="s">
        <v>8952</v>
      </c>
      <c r="C5400" s="82" t="str">
        <f>VLOOKUP($B$7:$B$5000,SUM!$L$6:$L$500,1,FALSE)</f>
        <v>#VALUE!</v>
      </c>
      <c r="D5400" s="271" t="s">
        <v>8925</v>
      </c>
      <c r="E5400" s="191" t="s">
        <v>58</v>
      </c>
      <c r="F5400" s="199" t="s">
        <v>8953</v>
      </c>
      <c r="G5400" s="191" t="s">
        <v>8927</v>
      </c>
      <c r="H5400" s="199" t="s">
        <v>8954</v>
      </c>
      <c r="I5400" s="270" t="s">
        <v>8929</v>
      </c>
      <c r="J5400" s="148" t="s">
        <v>63</v>
      </c>
      <c r="K5400" s="148" t="s">
        <v>4434</v>
      </c>
      <c r="L5400" s="148" t="s">
        <v>65</v>
      </c>
      <c r="M5400" s="148" t="s">
        <v>66</v>
      </c>
      <c r="N5400" s="278">
        <v>46240.0</v>
      </c>
      <c r="O5400" s="148" t="s">
        <v>67</v>
      </c>
      <c r="P5400" s="148" t="s">
        <v>68</v>
      </c>
      <c r="Q5400" s="103"/>
      <c r="R5400" s="103"/>
      <c r="S5400" s="103"/>
      <c r="T5400" s="103"/>
      <c r="U5400" s="148" t="s">
        <v>28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1">
        <f t="shared" si="1"/>
        <v>5395</v>
      </c>
      <c r="B5401" s="97" t="s">
        <v>8955</v>
      </c>
      <c r="C5401" s="82" t="str">
        <f>VLOOKUP($B$7:$B$5000,SUM!$L$6:$L$500,1,FALSE)</f>
        <v>#VALUE!</v>
      </c>
      <c r="D5401" s="271" t="s">
        <v>8956</v>
      </c>
      <c r="E5401" s="191" t="s">
        <v>58</v>
      </c>
      <c r="F5401" s="148" t="s">
        <v>8957</v>
      </c>
      <c r="G5401" s="191" t="s">
        <v>8927</v>
      </c>
      <c r="H5401" s="199" t="s">
        <v>8928</v>
      </c>
      <c r="I5401" s="270" t="s">
        <v>8958</v>
      </c>
      <c r="J5401" s="148" t="s">
        <v>63</v>
      </c>
      <c r="K5401" s="148" t="s">
        <v>4434</v>
      </c>
      <c r="L5401" s="148" t="s">
        <v>65</v>
      </c>
      <c r="M5401" s="148" t="s">
        <v>66</v>
      </c>
      <c r="N5401" s="278">
        <v>46240.0</v>
      </c>
      <c r="O5401" s="148" t="s">
        <v>67</v>
      </c>
      <c r="P5401" s="148" t="s">
        <v>68</v>
      </c>
      <c r="Q5401" s="103"/>
      <c r="R5401" s="103"/>
      <c r="S5401" s="103"/>
      <c r="T5401" s="103"/>
      <c r="U5401" s="148" t="s">
        <v>28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1">
        <f t="shared" si="1"/>
        <v>5396</v>
      </c>
      <c r="B5402" s="97" t="s">
        <v>8959</v>
      </c>
      <c r="C5402" s="82" t="str">
        <f>VLOOKUP($B$7:$B$5000,SUM!$L$6:$L$500,1,FALSE)</f>
        <v>#VALUE!</v>
      </c>
      <c r="D5402" s="271" t="s">
        <v>8956</v>
      </c>
      <c r="E5402" s="191" t="s">
        <v>58</v>
      </c>
      <c r="F5402" s="199" t="s">
        <v>8957</v>
      </c>
      <c r="G5402" s="191" t="s">
        <v>8927</v>
      </c>
      <c r="H5402" s="199" t="s">
        <v>8931</v>
      </c>
      <c r="I5402" s="270" t="s">
        <v>8960</v>
      </c>
      <c r="J5402" s="148" t="s">
        <v>63</v>
      </c>
      <c r="K5402" s="148" t="s">
        <v>4434</v>
      </c>
      <c r="L5402" s="148" t="s">
        <v>65</v>
      </c>
      <c r="M5402" s="148" t="s">
        <v>66</v>
      </c>
      <c r="N5402" s="278">
        <v>46240.0</v>
      </c>
      <c r="O5402" s="148" t="s">
        <v>67</v>
      </c>
      <c r="P5402" s="148" t="s">
        <v>68</v>
      </c>
      <c r="Q5402" s="103"/>
      <c r="R5402" s="103"/>
      <c r="S5402" s="103"/>
      <c r="T5402" s="103"/>
      <c r="U5402" s="148" t="s">
        <v>28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1">
        <f t="shared" si="1"/>
        <v>5397</v>
      </c>
      <c r="B5403" s="97" t="s">
        <v>8961</v>
      </c>
      <c r="C5403" s="82" t="str">
        <f>VLOOKUP($B$7:$B$5000,SUM!$L$6:$L$500,1,FALSE)</f>
        <v>#VALUE!</v>
      </c>
      <c r="D5403" s="271" t="s">
        <v>8956</v>
      </c>
      <c r="E5403" s="191" t="s">
        <v>58</v>
      </c>
      <c r="F5403" s="199" t="s">
        <v>8957</v>
      </c>
      <c r="G5403" s="191" t="s">
        <v>8927</v>
      </c>
      <c r="H5403" s="199" t="s">
        <v>8939</v>
      </c>
      <c r="I5403" s="197" t="s">
        <v>8962</v>
      </c>
      <c r="J5403" s="148" t="s">
        <v>63</v>
      </c>
      <c r="K5403" s="148" t="s">
        <v>4434</v>
      </c>
      <c r="L5403" s="148" t="s">
        <v>65</v>
      </c>
      <c r="M5403" s="148" t="s">
        <v>66</v>
      </c>
      <c r="N5403" s="278">
        <v>46240.0</v>
      </c>
      <c r="O5403" s="148" t="s">
        <v>67</v>
      </c>
      <c r="P5403" s="148" t="s">
        <v>68</v>
      </c>
      <c r="Q5403" s="103"/>
      <c r="R5403" s="103"/>
      <c r="S5403" s="103"/>
      <c r="T5403" s="103"/>
      <c r="U5403" s="148" t="s">
        <v>28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1">
        <f t="shared" si="1"/>
        <v>5398</v>
      </c>
      <c r="B5404" s="97" t="s">
        <v>8963</v>
      </c>
      <c r="C5404" s="82" t="str">
        <f>VLOOKUP($B$7:$B$5000,SUM!$L$6:$L$500,1,FALSE)</f>
        <v>#VALUE!</v>
      </c>
      <c r="D5404" s="271" t="s">
        <v>8956</v>
      </c>
      <c r="E5404" s="191" t="s">
        <v>58</v>
      </c>
      <c r="F5404" s="199" t="s">
        <v>8957</v>
      </c>
      <c r="G5404" s="191" t="s">
        <v>8927</v>
      </c>
      <c r="H5404" s="199" t="s">
        <v>8941</v>
      </c>
      <c r="I5404" s="270" t="s">
        <v>8962</v>
      </c>
      <c r="J5404" s="148" t="s">
        <v>63</v>
      </c>
      <c r="K5404" s="148" t="s">
        <v>4434</v>
      </c>
      <c r="L5404" s="148" t="s">
        <v>65</v>
      </c>
      <c r="M5404" s="148" t="s">
        <v>66</v>
      </c>
      <c r="N5404" s="278">
        <v>46240.0</v>
      </c>
      <c r="O5404" s="148" t="s">
        <v>67</v>
      </c>
      <c r="P5404" s="148" t="s">
        <v>68</v>
      </c>
      <c r="Q5404" s="103"/>
      <c r="R5404" s="103"/>
      <c r="S5404" s="103"/>
      <c r="T5404" s="103"/>
      <c r="U5404" s="148" t="s">
        <v>28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1">
        <f t="shared" si="1"/>
        <v>5399</v>
      </c>
      <c r="B5405" s="97" t="s">
        <v>8964</v>
      </c>
      <c r="C5405" s="82" t="str">
        <f>VLOOKUP($B$7:$B$5000,SUM!$L$6:$L$500,1,FALSE)</f>
        <v>#VALUE!</v>
      </c>
      <c r="D5405" s="190" t="s">
        <v>8965</v>
      </c>
      <c r="E5405" s="125"/>
      <c r="F5405" s="199" t="s">
        <v>8966</v>
      </c>
      <c r="G5405" s="290" t="s">
        <v>8967</v>
      </c>
      <c r="H5405" s="199" t="s">
        <v>8968</v>
      </c>
      <c r="I5405" s="197" t="s">
        <v>8969</v>
      </c>
      <c r="J5405" s="148" t="s">
        <v>63</v>
      </c>
      <c r="K5405" s="148" t="s">
        <v>7063</v>
      </c>
      <c r="L5405" s="148" t="s">
        <v>65</v>
      </c>
      <c r="M5405" s="148" t="s">
        <v>66</v>
      </c>
      <c r="N5405" s="278">
        <v>46240.0</v>
      </c>
      <c r="O5405" s="148" t="s">
        <v>67</v>
      </c>
      <c r="P5405" s="148" t="s">
        <v>68</v>
      </c>
      <c r="Q5405" s="103"/>
      <c r="R5405" s="103"/>
      <c r="S5405" s="103"/>
      <c r="T5405" s="103"/>
      <c r="U5405" s="148" t="s">
        <v>28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1">
        <f t="shared" si="1"/>
        <v>5400</v>
      </c>
      <c r="B5406" s="97" t="s">
        <v>8970</v>
      </c>
      <c r="C5406" s="82" t="str">
        <f>VLOOKUP($B$7:$B$5000,SUM!$L$6:$L$500,1,FALSE)</f>
        <v>#VALUE!</v>
      </c>
      <c r="D5406" s="190" t="s">
        <v>8965</v>
      </c>
      <c r="E5406" s="125"/>
      <c r="F5406" s="199" t="s">
        <v>8966</v>
      </c>
      <c r="G5406" s="290" t="s">
        <v>8967</v>
      </c>
      <c r="H5406" s="199" t="s">
        <v>8968</v>
      </c>
      <c r="I5406" s="197" t="s">
        <v>8971</v>
      </c>
      <c r="J5406" s="148" t="s">
        <v>108</v>
      </c>
      <c r="K5406" s="148" t="s">
        <v>7063</v>
      </c>
      <c r="L5406" s="148" t="s">
        <v>65</v>
      </c>
      <c r="M5406" s="148" t="s">
        <v>66</v>
      </c>
      <c r="N5406" s="278">
        <v>46240.0</v>
      </c>
      <c r="O5406" s="148" t="s">
        <v>67</v>
      </c>
      <c r="P5406" s="148" t="s">
        <v>68</v>
      </c>
      <c r="Q5406" s="103"/>
      <c r="R5406" s="103"/>
      <c r="S5406" s="103"/>
      <c r="T5406" s="103"/>
      <c r="U5406" s="148" t="s">
        <v>28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1">
        <f t="shared" si="1"/>
        <v>5401</v>
      </c>
      <c r="B5407" s="97" t="s">
        <v>8972</v>
      </c>
      <c r="C5407" s="82" t="str">
        <f>VLOOKUP($B$7:$B$5000,SUM!$L$6:$L$500,1,FALSE)</f>
        <v>#VALUE!</v>
      </c>
      <c r="D5407" s="190" t="s">
        <v>8965</v>
      </c>
      <c r="E5407" s="125"/>
      <c r="F5407" s="199" t="s">
        <v>8966</v>
      </c>
      <c r="G5407" s="290" t="s">
        <v>8967</v>
      </c>
      <c r="H5407" s="199" t="s">
        <v>8968</v>
      </c>
      <c r="I5407" s="197" t="s">
        <v>8973</v>
      </c>
      <c r="J5407" s="148" t="s">
        <v>63</v>
      </c>
      <c r="K5407" s="148" t="s">
        <v>7063</v>
      </c>
      <c r="L5407" s="148" t="s">
        <v>65</v>
      </c>
      <c r="M5407" s="148" t="s">
        <v>66</v>
      </c>
      <c r="N5407" s="278">
        <v>46240.0</v>
      </c>
      <c r="O5407" s="148" t="s">
        <v>67</v>
      </c>
      <c r="P5407" s="148" t="s">
        <v>68</v>
      </c>
      <c r="Q5407" s="103"/>
      <c r="R5407" s="103"/>
      <c r="S5407" s="103"/>
      <c r="T5407" s="103"/>
      <c r="U5407" s="148" t="s">
        <v>28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1">
        <f t="shared" si="1"/>
        <v>5402</v>
      </c>
      <c r="B5408" s="97" t="s">
        <v>8974</v>
      </c>
      <c r="C5408" s="82" t="str">
        <f>VLOOKUP($B$7:$B$5000,SUM!$L$6:$L$500,1,FALSE)</f>
        <v>#VALUE!</v>
      </c>
      <c r="D5408" s="190" t="s">
        <v>8965</v>
      </c>
      <c r="E5408" s="125"/>
      <c r="F5408" s="199" t="s">
        <v>8966</v>
      </c>
      <c r="G5408" s="290" t="s">
        <v>8967</v>
      </c>
      <c r="H5408" s="199" t="s">
        <v>8968</v>
      </c>
      <c r="I5408" s="197" t="s">
        <v>8975</v>
      </c>
      <c r="J5408" s="148" t="s">
        <v>63</v>
      </c>
      <c r="K5408" s="148" t="s">
        <v>7063</v>
      </c>
      <c r="L5408" s="148" t="s">
        <v>65</v>
      </c>
      <c r="M5408" s="148" t="s">
        <v>66</v>
      </c>
      <c r="N5408" s="278">
        <v>46240.0</v>
      </c>
      <c r="O5408" s="148" t="s">
        <v>67</v>
      </c>
      <c r="P5408" s="148" t="s">
        <v>68</v>
      </c>
      <c r="Q5408" s="103"/>
      <c r="R5408" s="103"/>
      <c r="S5408" s="103"/>
      <c r="T5408" s="103"/>
      <c r="U5408" s="148" t="s">
        <v>28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1">
        <f t="shared" si="1"/>
        <v>5403</v>
      </c>
      <c r="B5409" s="97" t="s">
        <v>8976</v>
      </c>
      <c r="C5409" s="82" t="str">
        <f>VLOOKUP($B$7:$B$5000,SUM!$L$6:$L$500,1,FALSE)</f>
        <v>#VALUE!</v>
      </c>
      <c r="D5409" s="190" t="s">
        <v>8977</v>
      </c>
      <c r="E5409" s="125"/>
      <c r="F5409" s="199" t="s">
        <v>8978</v>
      </c>
      <c r="G5409" s="290" t="s">
        <v>8979</v>
      </c>
      <c r="H5409" s="199" t="s">
        <v>8968</v>
      </c>
      <c r="I5409" s="291" t="s">
        <v>8980</v>
      </c>
      <c r="J5409" s="148" t="s">
        <v>63</v>
      </c>
      <c r="K5409" s="148" t="s">
        <v>2780</v>
      </c>
      <c r="L5409" s="148" t="s">
        <v>65</v>
      </c>
      <c r="M5409" s="148" t="s">
        <v>66</v>
      </c>
      <c r="N5409" s="278">
        <v>46240.0</v>
      </c>
      <c r="O5409" s="148" t="s">
        <v>67</v>
      </c>
      <c r="P5409" s="148" t="s">
        <v>68</v>
      </c>
      <c r="Q5409" s="103"/>
      <c r="R5409" s="103"/>
      <c r="S5409" s="103"/>
      <c r="T5409" s="103"/>
      <c r="U5409" s="148" t="s">
        <v>28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1">
        <f t="shared" si="1"/>
        <v>5404</v>
      </c>
      <c r="B5410" s="97" t="s">
        <v>8981</v>
      </c>
      <c r="C5410" s="82" t="str">
        <f>VLOOKUP($B$7:$B$5000,SUM!$L$6:$L$500,1,FALSE)</f>
        <v>#VALUE!</v>
      </c>
      <c r="D5410" s="190" t="s">
        <v>8977</v>
      </c>
      <c r="E5410" s="125"/>
      <c r="F5410" s="199" t="s">
        <v>8978</v>
      </c>
      <c r="G5410" s="290" t="s">
        <v>8979</v>
      </c>
      <c r="H5410" s="199" t="s">
        <v>8968</v>
      </c>
      <c r="I5410" s="291" t="s">
        <v>8982</v>
      </c>
      <c r="J5410" s="148" t="s">
        <v>108</v>
      </c>
      <c r="K5410" s="148" t="s">
        <v>2780</v>
      </c>
      <c r="L5410" s="148" t="s">
        <v>65</v>
      </c>
      <c r="M5410" s="148" t="s">
        <v>66</v>
      </c>
      <c r="N5410" s="278">
        <v>46240.0</v>
      </c>
      <c r="O5410" s="148" t="s">
        <v>67</v>
      </c>
      <c r="P5410" s="148" t="s">
        <v>68</v>
      </c>
      <c r="Q5410" s="103"/>
      <c r="R5410" s="103"/>
      <c r="S5410" s="103"/>
      <c r="T5410" s="103"/>
      <c r="U5410" s="148" t="s">
        <v>28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1">
        <f t="shared" si="1"/>
        <v>5405</v>
      </c>
      <c r="B5411" s="97" t="s">
        <v>8983</v>
      </c>
      <c r="C5411" s="82" t="str">
        <f>VLOOKUP($B$7:$B$5000,SUM!$L$6:$L$500,1,FALSE)</f>
        <v>#VALUE!</v>
      </c>
      <c r="D5411" s="190" t="s">
        <v>8977</v>
      </c>
      <c r="E5411" s="125"/>
      <c r="F5411" s="199" t="s">
        <v>8978</v>
      </c>
      <c r="G5411" s="290" t="s">
        <v>8979</v>
      </c>
      <c r="H5411" s="199" t="s">
        <v>8968</v>
      </c>
      <c r="I5411" s="197" t="s">
        <v>8984</v>
      </c>
      <c r="J5411" s="148" t="s">
        <v>63</v>
      </c>
      <c r="K5411" s="148" t="s">
        <v>2780</v>
      </c>
      <c r="L5411" s="148" t="s">
        <v>65</v>
      </c>
      <c r="M5411" s="148" t="s">
        <v>66</v>
      </c>
      <c r="N5411" s="278">
        <v>46240.0</v>
      </c>
      <c r="O5411" s="148" t="s">
        <v>67</v>
      </c>
      <c r="P5411" s="148" t="s">
        <v>68</v>
      </c>
      <c r="Q5411" s="103"/>
      <c r="R5411" s="103"/>
      <c r="S5411" s="103"/>
      <c r="T5411" s="103"/>
      <c r="U5411" s="148" t="s">
        <v>28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1">
        <f t="shared" si="1"/>
        <v>5406</v>
      </c>
      <c r="B5412" s="97" t="s">
        <v>8985</v>
      </c>
      <c r="C5412" s="82" t="str">
        <f>VLOOKUP($B$7:$B$5000,SUM!$L$6:$L$500,1,FALSE)</f>
        <v>#VALUE!</v>
      </c>
      <c r="D5412" s="190" t="s">
        <v>8977</v>
      </c>
      <c r="E5412" s="125"/>
      <c r="F5412" s="199" t="s">
        <v>8978</v>
      </c>
      <c r="G5412" s="290" t="s">
        <v>8979</v>
      </c>
      <c r="H5412" s="199" t="s">
        <v>8968</v>
      </c>
      <c r="I5412" s="197" t="s">
        <v>8986</v>
      </c>
      <c r="J5412" s="148" t="s">
        <v>63</v>
      </c>
      <c r="K5412" s="148" t="s">
        <v>2780</v>
      </c>
      <c r="L5412" s="148" t="s">
        <v>65</v>
      </c>
      <c r="M5412" s="148" t="s">
        <v>66</v>
      </c>
      <c r="N5412" s="278">
        <v>46240.0</v>
      </c>
      <c r="O5412" s="148" t="s">
        <v>67</v>
      </c>
      <c r="P5412" s="148" t="s">
        <v>68</v>
      </c>
      <c r="Q5412" s="103"/>
      <c r="R5412" s="103"/>
      <c r="S5412" s="103"/>
      <c r="T5412" s="103"/>
      <c r="U5412" s="148" t="s">
        <v>28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1">
        <f t="shared" si="1"/>
        <v>5407</v>
      </c>
      <c r="B5413" s="97" t="s">
        <v>8987</v>
      </c>
      <c r="C5413" s="82" t="str">
        <f>VLOOKUP($B$7:$B$5000,SUM!$L$6:$L$500,1,FALSE)</f>
        <v>#VALUE!</v>
      </c>
      <c r="D5413" s="232" t="s">
        <v>8988</v>
      </c>
      <c r="E5413" s="191" t="s">
        <v>58</v>
      </c>
      <c r="F5413" s="199" t="s">
        <v>8479</v>
      </c>
      <c r="G5413" s="191" t="s">
        <v>5443</v>
      </c>
      <c r="H5413" s="199" t="s">
        <v>8989</v>
      </c>
      <c r="I5413" s="197" t="s">
        <v>8607</v>
      </c>
      <c r="J5413" s="148" t="s">
        <v>63</v>
      </c>
      <c r="K5413" s="148" t="s">
        <v>64</v>
      </c>
      <c r="L5413" s="148" t="s">
        <v>65</v>
      </c>
      <c r="M5413" s="148" t="s">
        <v>66</v>
      </c>
      <c r="N5413" s="278">
        <v>46241.0</v>
      </c>
      <c r="O5413" s="148" t="s">
        <v>67</v>
      </c>
      <c r="P5413" s="148" t="s">
        <v>68</v>
      </c>
      <c r="Q5413" s="103"/>
      <c r="R5413" s="103"/>
      <c r="S5413" s="103"/>
      <c r="T5413" s="103"/>
      <c r="U5413" s="148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1">
        <f t="shared" si="1"/>
        <v>5408</v>
      </c>
      <c r="B5414" s="97" t="s">
        <v>8990</v>
      </c>
      <c r="C5414" s="82" t="str">
        <f>VLOOKUP($B$7:$B$5000,SUM!$L$6:$L$500,1,FALSE)</f>
        <v>#VALUE!</v>
      </c>
      <c r="D5414" s="232" t="s">
        <v>8988</v>
      </c>
      <c r="E5414" s="191" t="s">
        <v>58</v>
      </c>
      <c r="F5414" s="199" t="s">
        <v>8479</v>
      </c>
      <c r="G5414" s="191" t="s">
        <v>5443</v>
      </c>
      <c r="H5414" s="199" t="s">
        <v>8991</v>
      </c>
      <c r="I5414" s="197" t="s">
        <v>8607</v>
      </c>
      <c r="J5414" s="148" t="s">
        <v>63</v>
      </c>
      <c r="K5414" s="148" t="s">
        <v>64</v>
      </c>
      <c r="L5414" s="148" t="s">
        <v>65</v>
      </c>
      <c r="M5414" s="148" t="s">
        <v>66</v>
      </c>
      <c r="N5414" s="278">
        <v>46241.0</v>
      </c>
      <c r="O5414" s="148" t="s">
        <v>67</v>
      </c>
      <c r="P5414" s="148" t="s">
        <v>68</v>
      </c>
      <c r="Q5414" s="103"/>
      <c r="R5414" s="103"/>
      <c r="S5414" s="103"/>
      <c r="T5414" s="103"/>
      <c r="U5414" s="148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1">
        <f t="shared" si="1"/>
        <v>5409</v>
      </c>
      <c r="B5415" s="97" t="s">
        <v>8992</v>
      </c>
      <c r="C5415" s="82" t="str">
        <f>VLOOKUP($B$7:$B$5000,SUM!$L$6:$L$500,1,FALSE)</f>
        <v>#VALUE!</v>
      </c>
      <c r="D5415" s="232" t="s">
        <v>8988</v>
      </c>
      <c r="E5415" s="191" t="s">
        <v>58</v>
      </c>
      <c r="F5415" s="199" t="s">
        <v>8479</v>
      </c>
      <c r="G5415" s="191" t="s">
        <v>5443</v>
      </c>
      <c r="H5415" s="199" t="s">
        <v>8993</v>
      </c>
      <c r="I5415" s="197" t="s">
        <v>8607</v>
      </c>
      <c r="J5415" s="148" t="s">
        <v>63</v>
      </c>
      <c r="K5415" s="148" t="s">
        <v>64</v>
      </c>
      <c r="L5415" s="148" t="s">
        <v>65</v>
      </c>
      <c r="M5415" s="148" t="s">
        <v>66</v>
      </c>
      <c r="N5415" s="278">
        <v>46241.0</v>
      </c>
      <c r="O5415" s="148" t="s">
        <v>67</v>
      </c>
      <c r="P5415" s="148" t="s">
        <v>68</v>
      </c>
      <c r="Q5415" s="103"/>
      <c r="R5415" s="103"/>
      <c r="S5415" s="103"/>
      <c r="T5415" s="103"/>
      <c r="U5415" s="148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1">
        <f t="shared" si="1"/>
        <v>5410</v>
      </c>
      <c r="B5416" s="97" t="s">
        <v>8994</v>
      </c>
      <c r="C5416" s="82" t="str">
        <f>VLOOKUP($B$7:$B$5000,SUM!$L$6:$L$500,1,FALSE)</f>
        <v>#VALUE!</v>
      </c>
      <c r="D5416" s="232" t="s">
        <v>8988</v>
      </c>
      <c r="E5416" s="191" t="s">
        <v>58</v>
      </c>
      <c r="F5416" s="199" t="s">
        <v>8479</v>
      </c>
      <c r="G5416" s="191" t="s">
        <v>5443</v>
      </c>
      <c r="H5416" s="199" t="s">
        <v>8995</v>
      </c>
      <c r="I5416" s="197" t="s">
        <v>8607</v>
      </c>
      <c r="J5416" s="148" t="s">
        <v>63</v>
      </c>
      <c r="K5416" s="148" t="s">
        <v>64</v>
      </c>
      <c r="L5416" s="148" t="s">
        <v>65</v>
      </c>
      <c r="M5416" s="148" t="s">
        <v>66</v>
      </c>
      <c r="N5416" s="278">
        <v>46241.0</v>
      </c>
      <c r="O5416" s="148" t="s">
        <v>67</v>
      </c>
      <c r="P5416" s="148" t="s">
        <v>68</v>
      </c>
      <c r="Q5416" s="103"/>
      <c r="R5416" s="103"/>
      <c r="S5416" s="103"/>
      <c r="T5416" s="103"/>
      <c r="U5416" s="148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1">
        <f t="shared" si="1"/>
        <v>5411</v>
      </c>
      <c r="B5417" s="97" t="s">
        <v>8996</v>
      </c>
      <c r="C5417" s="82" t="str">
        <f>VLOOKUP($B$7:$B$5000,SUM!$L$6:$L$500,1,FALSE)</f>
        <v>#VALUE!</v>
      </c>
      <c r="D5417" s="232" t="s">
        <v>8988</v>
      </c>
      <c r="E5417" s="191" t="s">
        <v>58</v>
      </c>
      <c r="F5417" s="199" t="s">
        <v>8479</v>
      </c>
      <c r="G5417" s="191" t="s">
        <v>5443</v>
      </c>
      <c r="H5417" s="199" t="s">
        <v>8997</v>
      </c>
      <c r="I5417" s="197" t="s">
        <v>8607</v>
      </c>
      <c r="J5417" s="148" t="s">
        <v>63</v>
      </c>
      <c r="K5417" s="148" t="s">
        <v>64</v>
      </c>
      <c r="L5417" s="148" t="s">
        <v>65</v>
      </c>
      <c r="M5417" s="148" t="s">
        <v>66</v>
      </c>
      <c r="N5417" s="278">
        <v>46241.0</v>
      </c>
      <c r="O5417" s="148" t="s">
        <v>67</v>
      </c>
      <c r="P5417" s="148" t="s">
        <v>68</v>
      </c>
      <c r="Q5417" s="103"/>
      <c r="R5417" s="103"/>
      <c r="S5417" s="103"/>
      <c r="T5417" s="103"/>
      <c r="U5417" s="148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1">
        <f t="shared" si="1"/>
        <v>5412</v>
      </c>
      <c r="B5418" s="97" t="s">
        <v>8998</v>
      </c>
      <c r="C5418" s="82" t="str">
        <f>VLOOKUP($B$7:$B$5000,SUM!$L$6:$L$500,1,FALSE)</f>
        <v>#VALUE!</v>
      </c>
      <c r="D5418" s="232" t="s">
        <v>8988</v>
      </c>
      <c r="E5418" s="191" t="s">
        <v>58</v>
      </c>
      <c r="F5418" s="199" t="s">
        <v>8479</v>
      </c>
      <c r="G5418" s="191" t="s">
        <v>5443</v>
      </c>
      <c r="H5418" s="199" t="s">
        <v>8999</v>
      </c>
      <c r="I5418" s="197" t="s">
        <v>8607</v>
      </c>
      <c r="J5418" s="148" t="s">
        <v>63</v>
      </c>
      <c r="K5418" s="148" t="s">
        <v>64</v>
      </c>
      <c r="L5418" s="148" t="s">
        <v>65</v>
      </c>
      <c r="M5418" s="148" t="s">
        <v>66</v>
      </c>
      <c r="N5418" s="278">
        <v>46241.0</v>
      </c>
      <c r="O5418" s="148" t="s">
        <v>67</v>
      </c>
      <c r="P5418" s="148" t="s">
        <v>68</v>
      </c>
      <c r="Q5418" s="103"/>
      <c r="R5418" s="103"/>
      <c r="S5418" s="103"/>
      <c r="T5418" s="103"/>
      <c r="U5418" s="148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1">
        <f t="shared" si="1"/>
        <v>5413</v>
      </c>
      <c r="B5419" s="97" t="s">
        <v>9000</v>
      </c>
      <c r="C5419" s="82" t="str">
        <f>VLOOKUP($B$7:$B$5000,SUM!$L$6:$L$500,1,FALSE)</f>
        <v>#VALUE!</v>
      </c>
      <c r="D5419" s="232" t="s">
        <v>8988</v>
      </c>
      <c r="E5419" s="191" t="s">
        <v>58</v>
      </c>
      <c r="F5419" s="199" t="s">
        <v>8479</v>
      </c>
      <c r="G5419" s="191" t="s">
        <v>5443</v>
      </c>
      <c r="H5419" s="199" t="s">
        <v>9001</v>
      </c>
      <c r="I5419" s="197" t="s">
        <v>8607</v>
      </c>
      <c r="J5419" s="148" t="s">
        <v>63</v>
      </c>
      <c r="K5419" s="148" t="s">
        <v>64</v>
      </c>
      <c r="L5419" s="148" t="s">
        <v>65</v>
      </c>
      <c r="M5419" s="148" t="s">
        <v>66</v>
      </c>
      <c r="N5419" s="278">
        <v>46241.0</v>
      </c>
      <c r="O5419" s="148" t="s">
        <v>67</v>
      </c>
      <c r="P5419" s="148" t="s">
        <v>68</v>
      </c>
      <c r="Q5419" s="103"/>
      <c r="R5419" s="103"/>
      <c r="S5419" s="103"/>
      <c r="T5419" s="103"/>
      <c r="U5419" s="148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1">
        <f t="shared" si="1"/>
        <v>5414</v>
      </c>
      <c r="B5420" s="97" t="s">
        <v>9002</v>
      </c>
      <c r="C5420" s="82" t="str">
        <f>VLOOKUP($B$7:$B$5000,SUM!$L$6:$L$500,1,FALSE)</f>
        <v>#VALUE!</v>
      </c>
      <c r="D5420" s="232" t="s">
        <v>8988</v>
      </c>
      <c r="E5420" s="191" t="s">
        <v>58</v>
      </c>
      <c r="F5420" s="199" t="s">
        <v>8479</v>
      </c>
      <c r="G5420" s="191" t="s">
        <v>5443</v>
      </c>
      <c r="H5420" s="199" t="s">
        <v>9003</v>
      </c>
      <c r="I5420" s="197" t="s">
        <v>8607</v>
      </c>
      <c r="J5420" s="148" t="s">
        <v>63</v>
      </c>
      <c r="K5420" s="148" t="s">
        <v>64</v>
      </c>
      <c r="L5420" s="148" t="s">
        <v>65</v>
      </c>
      <c r="M5420" s="148" t="s">
        <v>66</v>
      </c>
      <c r="N5420" s="278">
        <v>46241.0</v>
      </c>
      <c r="O5420" s="148" t="s">
        <v>67</v>
      </c>
      <c r="P5420" s="148" t="s">
        <v>68</v>
      </c>
      <c r="Q5420" s="103"/>
      <c r="R5420" s="103"/>
      <c r="S5420" s="103"/>
      <c r="T5420" s="103"/>
      <c r="U5420" s="148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1">
        <f t="shared" si="1"/>
        <v>5415</v>
      </c>
      <c r="B5421" s="97" t="s">
        <v>9004</v>
      </c>
      <c r="C5421" s="82" t="str">
        <f>VLOOKUP($B$7:$B$5000,SUM!$L$6:$L$500,1,FALSE)</f>
        <v>#VALUE!</v>
      </c>
      <c r="D5421" s="232" t="s">
        <v>8988</v>
      </c>
      <c r="E5421" s="191" t="s">
        <v>58</v>
      </c>
      <c r="F5421" s="199" t="s">
        <v>8479</v>
      </c>
      <c r="G5421" s="191" t="s">
        <v>5443</v>
      </c>
      <c r="H5421" s="199" t="s">
        <v>8836</v>
      </c>
      <c r="I5421" s="197" t="s">
        <v>9005</v>
      </c>
      <c r="J5421" s="148" t="s">
        <v>63</v>
      </c>
      <c r="K5421" s="148" t="s">
        <v>64</v>
      </c>
      <c r="L5421" s="148" t="s">
        <v>65</v>
      </c>
      <c r="M5421" s="148" t="s">
        <v>66</v>
      </c>
      <c r="N5421" s="278">
        <v>46241.0</v>
      </c>
      <c r="O5421" s="148" t="s">
        <v>67</v>
      </c>
      <c r="P5421" s="148" t="s">
        <v>68</v>
      </c>
      <c r="Q5421" s="103"/>
      <c r="R5421" s="103"/>
      <c r="S5421" s="103"/>
      <c r="T5421" s="103"/>
      <c r="U5421" s="148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1">
        <f t="shared" si="1"/>
        <v>5416</v>
      </c>
      <c r="B5422" s="97" t="s">
        <v>9006</v>
      </c>
      <c r="C5422" s="82" t="str">
        <f>VLOOKUP($B$7:$B$5000,SUM!$L$6:$L$500,1,FALSE)</f>
        <v>#VALUE!</v>
      </c>
      <c r="D5422" s="190" t="s">
        <v>9007</v>
      </c>
      <c r="E5422" s="191" t="s">
        <v>58</v>
      </c>
      <c r="F5422" s="199" t="s">
        <v>8732</v>
      </c>
      <c r="G5422" s="199" t="s">
        <v>8733</v>
      </c>
      <c r="H5422" s="199" t="s">
        <v>9008</v>
      </c>
      <c r="I5422" s="197" t="s">
        <v>8759</v>
      </c>
      <c r="J5422" s="148" t="s">
        <v>63</v>
      </c>
      <c r="K5422" s="148" t="s">
        <v>64</v>
      </c>
      <c r="L5422" s="148" t="s">
        <v>65</v>
      </c>
      <c r="M5422" s="148" t="s">
        <v>66</v>
      </c>
      <c r="N5422" s="278">
        <v>46241.0</v>
      </c>
      <c r="O5422" s="148" t="s">
        <v>67</v>
      </c>
      <c r="P5422" s="148" t="s">
        <v>68</v>
      </c>
      <c r="Q5422" s="103"/>
      <c r="R5422" s="103"/>
      <c r="S5422" s="103"/>
      <c r="T5422" s="103"/>
      <c r="U5422" s="148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1">
        <f t="shared" si="1"/>
        <v>5417</v>
      </c>
      <c r="B5423" s="97" t="s">
        <v>9009</v>
      </c>
      <c r="C5423" s="82" t="str">
        <f>VLOOKUP($B$7:$B$5000,SUM!$L$6:$L$500,1,FALSE)</f>
        <v>#VALUE!</v>
      </c>
      <c r="D5423" s="190" t="s">
        <v>9007</v>
      </c>
      <c r="E5423" s="191" t="s">
        <v>58</v>
      </c>
      <c r="F5423" s="199" t="s">
        <v>8732</v>
      </c>
      <c r="G5423" s="199" t="s">
        <v>8733</v>
      </c>
      <c r="H5423" s="199" t="s">
        <v>9010</v>
      </c>
      <c r="I5423" s="197" t="s">
        <v>8759</v>
      </c>
      <c r="J5423" s="148" t="s">
        <v>63</v>
      </c>
      <c r="K5423" s="148" t="s">
        <v>64</v>
      </c>
      <c r="L5423" s="148" t="s">
        <v>65</v>
      </c>
      <c r="M5423" s="148" t="s">
        <v>66</v>
      </c>
      <c r="N5423" s="278">
        <v>46241.0</v>
      </c>
      <c r="O5423" s="148" t="s">
        <v>67</v>
      </c>
      <c r="P5423" s="148" t="s">
        <v>68</v>
      </c>
      <c r="Q5423" s="103"/>
      <c r="R5423" s="103"/>
      <c r="S5423" s="103"/>
      <c r="T5423" s="103"/>
      <c r="U5423" s="148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1">
        <f t="shared" si="1"/>
        <v>5418</v>
      </c>
      <c r="B5424" s="97" t="s">
        <v>9011</v>
      </c>
      <c r="C5424" s="82" t="str">
        <f>VLOOKUP($B$7:$B$5000,SUM!$L$6:$L$500,1,FALSE)</f>
        <v>#VALUE!</v>
      </c>
      <c r="D5424" s="190" t="s">
        <v>9007</v>
      </c>
      <c r="E5424" s="191" t="s">
        <v>58</v>
      </c>
      <c r="F5424" s="199" t="s">
        <v>8732</v>
      </c>
      <c r="G5424" s="199" t="s">
        <v>8733</v>
      </c>
      <c r="H5424" s="199" t="s">
        <v>5673</v>
      </c>
      <c r="I5424" s="197" t="s">
        <v>8759</v>
      </c>
      <c r="J5424" s="148" t="s">
        <v>63</v>
      </c>
      <c r="K5424" s="148" t="s">
        <v>64</v>
      </c>
      <c r="L5424" s="148" t="s">
        <v>65</v>
      </c>
      <c r="M5424" s="148" t="s">
        <v>66</v>
      </c>
      <c r="N5424" s="278">
        <v>46241.0</v>
      </c>
      <c r="O5424" s="148" t="s">
        <v>67</v>
      </c>
      <c r="P5424" s="148" t="s">
        <v>68</v>
      </c>
      <c r="Q5424" s="103"/>
      <c r="R5424" s="103"/>
      <c r="S5424" s="103"/>
      <c r="T5424" s="103"/>
      <c r="U5424" s="148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1">
        <f t="shared" si="1"/>
        <v>5419</v>
      </c>
      <c r="B5425" s="97" t="s">
        <v>9012</v>
      </c>
      <c r="C5425" s="82" t="str">
        <f>VLOOKUP($B$7:$B$5000,SUM!$L$6:$L$500,1,FALSE)</f>
        <v>#VALUE!</v>
      </c>
      <c r="D5425" s="190" t="s">
        <v>9007</v>
      </c>
      <c r="E5425" s="191" t="s">
        <v>58</v>
      </c>
      <c r="F5425" s="199" t="s">
        <v>8732</v>
      </c>
      <c r="G5425" s="199" t="s">
        <v>8733</v>
      </c>
      <c r="H5425" s="199" t="s">
        <v>5676</v>
      </c>
      <c r="I5425" s="197" t="s">
        <v>8759</v>
      </c>
      <c r="J5425" s="148" t="s">
        <v>63</v>
      </c>
      <c r="K5425" s="148" t="s">
        <v>64</v>
      </c>
      <c r="L5425" s="148" t="s">
        <v>65</v>
      </c>
      <c r="M5425" s="148" t="s">
        <v>66</v>
      </c>
      <c r="N5425" s="278">
        <v>46241.0</v>
      </c>
      <c r="O5425" s="148" t="s">
        <v>67</v>
      </c>
      <c r="P5425" s="148" t="s">
        <v>68</v>
      </c>
      <c r="Q5425" s="103"/>
      <c r="R5425" s="103"/>
      <c r="S5425" s="103"/>
      <c r="T5425" s="103"/>
      <c r="U5425" s="148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1">
        <f t="shared" si="1"/>
        <v>5420</v>
      </c>
      <c r="B5426" s="97" t="s">
        <v>9013</v>
      </c>
      <c r="C5426" s="82" t="str">
        <f>VLOOKUP($B$7:$B$5000,SUM!$L$6:$L$500,1,FALSE)</f>
        <v>#VALUE!</v>
      </c>
      <c r="D5426" s="190" t="s">
        <v>9007</v>
      </c>
      <c r="E5426" s="191" t="s">
        <v>58</v>
      </c>
      <c r="F5426" s="199" t="s">
        <v>8732</v>
      </c>
      <c r="G5426" s="199" t="s">
        <v>8733</v>
      </c>
      <c r="H5426" s="199" t="s">
        <v>4380</v>
      </c>
      <c r="I5426" s="197" t="s">
        <v>8759</v>
      </c>
      <c r="J5426" s="148" t="s">
        <v>63</v>
      </c>
      <c r="K5426" s="148" t="s">
        <v>64</v>
      </c>
      <c r="L5426" s="148" t="s">
        <v>65</v>
      </c>
      <c r="M5426" s="148" t="s">
        <v>66</v>
      </c>
      <c r="N5426" s="278">
        <v>46241.0</v>
      </c>
      <c r="O5426" s="148" t="s">
        <v>67</v>
      </c>
      <c r="P5426" s="148" t="s">
        <v>68</v>
      </c>
      <c r="Q5426" s="103"/>
      <c r="R5426" s="103"/>
      <c r="S5426" s="103"/>
      <c r="T5426" s="103"/>
      <c r="U5426" s="148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1">
        <f t="shared" si="1"/>
        <v>5421</v>
      </c>
      <c r="B5427" s="97" t="s">
        <v>9014</v>
      </c>
      <c r="C5427" s="82" t="str">
        <f>VLOOKUP($B$7:$B$5000,SUM!$L$6:$L$500,1,FALSE)</f>
        <v>#VALUE!</v>
      </c>
      <c r="D5427" s="190" t="s">
        <v>9007</v>
      </c>
      <c r="E5427" s="191" t="s">
        <v>58</v>
      </c>
      <c r="F5427" s="199" t="s">
        <v>8732</v>
      </c>
      <c r="G5427" s="199" t="s">
        <v>8733</v>
      </c>
      <c r="H5427" s="199" t="s">
        <v>6311</v>
      </c>
      <c r="I5427" s="197" t="s">
        <v>8759</v>
      </c>
      <c r="J5427" s="148" t="s">
        <v>63</v>
      </c>
      <c r="K5427" s="148" t="s">
        <v>64</v>
      </c>
      <c r="L5427" s="148" t="s">
        <v>65</v>
      </c>
      <c r="M5427" s="148" t="s">
        <v>66</v>
      </c>
      <c r="N5427" s="278">
        <v>46241.0</v>
      </c>
      <c r="O5427" s="148" t="s">
        <v>67</v>
      </c>
      <c r="P5427" s="148" t="s">
        <v>68</v>
      </c>
      <c r="Q5427" s="103"/>
      <c r="R5427" s="103"/>
      <c r="S5427" s="103"/>
      <c r="T5427" s="103"/>
      <c r="U5427" s="148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1">
        <f t="shared" si="1"/>
        <v>5422</v>
      </c>
      <c r="B5428" s="97" t="s">
        <v>9015</v>
      </c>
      <c r="C5428" s="82" t="str">
        <f>VLOOKUP($B$7:$B$5000,SUM!$L$6:$L$500,1,FALSE)</f>
        <v>#VALUE!</v>
      </c>
      <c r="D5428" s="190" t="s">
        <v>9007</v>
      </c>
      <c r="E5428" s="191" t="s">
        <v>58</v>
      </c>
      <c r="F5428" s="199" t="s">
        <v>8732</v>
      </c>
      <c r="G5428" s="199" t="s">
        <v>8733</v>
      </c>
      <c r="H5428" s="199" t="s">
        <v>6313</v>
      </c>
      <c r="I5428" s="197" t="s">
        <v>8759</v>
      </c>
      <c r="J5428" s="148" t="s">
        <v>63</v>
      </c>
      <c r="K5428" s="148" t="s">
        <v>64</v>
      </c>
      <c r="L5428" s="148" t="s">
        <v>65</v>
      </c>
      <c r="M5428" s="148" t="s">
        <v>66</v>
      </c>
      <c r="N5428" s="278">
        <v>46241.0</v>
      </c>
      <c r="O5428" s="148" t="s">
        <v>67</v>
      </c>
      <c r="P5428" s="148" t="s">
        <v>68</v>
      </c>
      <c r="Q5428" s="103"/>
      <c r="R5428" s="103"/>
      <c r="S5428" s="103"/>
      <c r="T5428" s="103"/>
      <c r="U5428" s="148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1">
        <f t="shared" si="1"/>
        <v>5423</v>
      </c>
      <c r="B5429" s="97" t="s">
        <v>9016</v>
      </c>
      <c r="C5429" s="82" t="str">
        <f>VLOOKUP($B$7:$B$5000,SUM!$L$6:$L$500,1,FALSE)</f>
        <v>#VALUE!</v>
      </c>
      <c r="D5429" s="190" t="s">
        <v>9007</v>
      </c>
      <c r="E5429" s="191" t="s">
        <v>58</v>
      </c>
      <c r="F5429" s="199" t="s">
        <v>8732</v>
      </c>
      <c r="G5429" s="199" t="s">
        <v>8733</v>
      </c>
      <c r="H5429" s="199" t="s">
        <v>6317</v>
      </c>
      <c r="I5429" s="197" t="s">
        <v>8759</v>
      </c>
      <c r="J5429" s="148" t="s">
        <v>63</v>
      </c>
      <c r="K5429" s="148" t="s">
        <v>64</v>
      </c>
      <c r="L5429" s="148" t="s">
        <v>65</v>
      </c>
      <c r="M5429" s="148" t="s">
        <v>66</v>
      </c>
      <c r="N5429" s="278">
        <v>46241.0</v>
      </c>
      <c r="O5429" s="148" t="s">
        <v>67</v>
      </c>
      <c r="P5429" s="148" t="s">
        <v>68</v>
      </c>
      <c r="Q5429" s="103"/>
      <c r="R5429" s="103"/>
      <c r="S5429" s="103"/>
      <c r="T5429" s="103"/>
      <c r="U5429" s="148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1">
        <f t="shared" si="1"/>
        <v>5424</v>
      </c>
      <c r="B5430" s="97" t="s">
        <v>9017</v>
      </c>
      <c r="C5430" s="82" t="str">
        <f>VLOOKUP($B$7:$B$5000,SUM!$L$6:$L$500,1,FALSE)</f>
        <v>#VALUE!</v>
      </c>
      <c r="D5430" s="190" t="s">
        <v>9007</v>
      </c>
      <c r="E5430" s="191" t="s">
        <v>58</v>
      </c>
      <c r="F5430" s="199" t="s">
        <v>8732</v>
      </c>
      <c r="G5430" s="199" t="s">
        <v>8733</v>
      </c>
      <c r="H5430" s="199" t="s">
        <v>6325</v>
      </c>
      <c r="I5430" s="197" t="s">
        <v>8759</v>
      </c>
      <c r="J5430" s="148" t="s">
        <v>63</v>
      </c>
      <c r="K5430" s="148" t="s">
        <v>64</v>
      </c>
      <c r="L5430" s="148" t="s">
        <v>65</v>
      </c>
      <c r="M5430" s="148" t="s">
        <v>66</v>
      </c>
      <c r="N5430" s="278">
        <v>46241.0</v>
      </c>
      <c r="O5430" s="148" t="s">
        <v>67</v>
      </c>
      <c r="P5430" s="148" t="s">
        <v>68</v>
      </c>
      <c r="Q5430" s="103"/>
      <c r="R5430" s="103"/>
      <c r="S5430" s="103"/>
      <c r="T5430" s="103"/>
      <c r="U5430" s="148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1">
        <f t="shared" si="1"/>
        <v>5425</v>
      </c>
      <c r="B5431" s="97" t="s">
        <v>9018</v>
      </c>
      <c r="C5431" s="82" t="str">
        <f>VLOOKUP($B$7:$B$5000,SUM!$L$6:$L$500,1,FALSE)</f>
        <v>#VALUE!</v>
      </c>
      <c r="D5431" s="190" t="s">
        <v>9007</v>
      </c>
      <c r="E5431" s="191" t="s">
        <v>58</v>
      </c>
      <c r="F5431" s="199" t="s">
        <v>8732</v>
      </c>
      <c r="G5431" s="199" t="s">
        <v>8733</v>
      </c>
      <c r="H5431" s="199" t="s">
        <v>6329</v>
      </c>
      <c r="I5431" s="197" t="s">
        <v>8759</v>
      </c>
      <c r="J5431" s="148" t="s">
        <v>63</v>
      </c>
      <c r="K5431" s="148" t="s">
        <v>64</v>
      </c>
      <c r="L5431" s="148" t="s">
        <v>65</v>
      </c>
      <c r="M5431" s="148" t="s">
        <v>66</v>
      </c>
      <c r="N5431" s="278">
        <v>46241.0</v>
      </c>
      <c r="O5431" s="148" t="s">
        <v>67</v>
      </c>
      <c r="P5431" s="148" t="s">
        <v>68</v>
      </c>
      <c r="Q5431" s="103"/>
      <c r="R5431" s="103"/>
      <c r="S5431" s="103"/>
      <c r="T5431" s="103"/>
      <c r="U5431" s="148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1">
        <f t="shared" si="1"/>
        <v>5426</v>
      </c>
      <c r="B5432" s="97" t="s">
        <v>9019</v>
      </c>
      <c r="C5432" s="82" t="str">
        <f>VLOOKUP($B$7:$B$5000,SUM!$L$6:$L$500,1,FALSE)</f>
        <v>#VALUE!</v>
      </c>
      <c r="D5432" s="271" t="s">
        <v>9020</v>
      </c>
      <c r="E5432" s="191" t="s">
        <v>58</v>
      </c>
      <c r="F5432" s="148" t="s">
        <v>8926</v>
      </c>
      <c r="G5432" s="189" t="s">
        <v>8364</v>
      </c>
      <c r="H5432" s="199" t="s">
        <v>9021</v>
      </c>
      <c r="I5432" s="270" t="s">
        <v>8929</v>
      </c>
      <c r="J5432" s="148" t="s">
        <v>63</v>
      </c>
      <c r="K5432" s="148" t="s">
        <v>9022</v>
      </c>
      <c r="L5432" s="148" t="s">
        <v>65</v>
      </c>
      <c r="M5432" s="148" t="s">
        <v>66</v>
      </c>
      <c r="N5432" s="278">
        <v>46241.0</v>
      </c>
      <c r="O5432" s="148" t="s">
        <v>67</v>
      </c>
      <c r="P5432" s="148" t="s">
        <v>68</v>
      </c>
      <c r="Q5432" s="103"/>
      <c r="R5432" s="103"/>
      <c r="S5432" s="103"/>
      <c r="T5432" s="103"/>
      <c r="U5432" s="148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1">
        <f t="shared" si="1"/>
        <v>5427</v>
      </c>
      <c r="B5433" s="97" t="s">
        <v>9023</v>
      </c>
      <c r="C5433" s="82" t="str">
        <f>VLOOKUP($B$7:$B$5000,SUM!$L$6:$L$500,1,FALSE)</f>
        <v>#VALUE!</v>
      </c>
      <c r="D5433" s="271" t="s">
        <v>9020</v>
      </c>
      <c r="E5433" s="191" t="s">
        <v>58</v>
      </c>
      <c r="F5433" s="148" t="s">
        <v>8926</v>
      </c>
      <c r="G5433" s="189" t="s">
        <v>8364</v>
      </c>
      <c r="H5433" s="199" t="s">
        <v>9024</v>
      </c>
      <c r="I5433" s="270" t="s">
        <v>8929</v>
      </c>
      <c r="J5433" s="148" t="s">
        <v>63</v>
      </c>
      <c r="K5433" s="148" t="s">
        <v>9022</v>
      </c>
      <c r="L5433" s="148" t="s">
        <v>65</v>
      </c>
      <c r="M5433" s="148" t="s">
        <v>66</v>
      </c>
      <c r="N5433" s="278">
        <v>46241.0</v>
      </c>
      <c r="O5433" s="148" t="s">
        <v>67</v>
      </c>
      <c r="P5433" s="148" t="s">
        <v>68</v>
      </c>
      <c r="Q5433" s="103"/>
      <c r="R5433" s="103"/>
      <c r="S5433" s="103"/>
      <c r="T5433" s="103"/>
      <c r="U5433" s="148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1">
        <f t="shared" si="1"/>
        <v>5428</v>
      </c>
      <c r="B5434" s="97" t="s">
        <v>9025</v>
      </c>
      <c r="C5434" s="82" t="str">
        <f>VLOOKUP($B$7:$B$5000,SUM!$L$6:$L$500,1,FALSE)</f>
        <v>#VALUE!</v>
      </c>
      <c r="D5434" s="271" t="s">
        <v>9020</v>
      </c>
      <c r="E5434" s="191" t="s">
        <v>58</v>
      </c>
      <c r="F5434" s="148" t="s">
        <v>8926</v>
      </c>
      <c r="G5434" s="189" t="s">
        <v>8364</v>
      </c>
      <c r="H5434" s="199" t="s">
        <v>9026</v>
      </c>
      <c r="I5434" s="197" t="s">
        <v>8929</v>
      </c>
      <c r="J5434" s="148" t="s">
        <v>63</v>
      </c>
      <c r="K5434" s="148" t="s">
        <v>9022</v>
      </c>
      <c r="L5434" s="148" t="s">
        <v>65</v>
      </c>
      <c r="M5434" s="148" t="s">
        <v>66</v>
      </c>
      <c r="N5434" s="278">
        <v>46241.0</v>
      </c>
      <c r="O5434" s="148" t="s">
        <v>67</v>
      </c>
      <c r="P5434" s="148" t="s">
        <v>68</v>
      </c>
      <c r="Q5434" s="103"/>
      <c r="R5434" s="103"/>
      <c r="S5434" s="103"/>
      <c r="T5434" s="103"/>
      <c r="U5434" s="148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1">
        <f t="shared" si="1"/>
        <v>5429</v>
      </c>
      <c r="B5435" s="97" t="s">
        <v>9027</v>
      </c>
      <c r="C5435" s="82" t="str">
        <f>VLOOKUP($B$7:$B$5000,SUM!$L$6:$L$500,1,FALSE)</f>
        <v>#VALUE!</v>
      </c>
      <c r="D5435" s="271" t="s">
        <v>9020</v>
      </c>
      <c r="E5435" s="191" t="s">
        <v>58</v>
      </c>
      <c r="F5435" s="148" t="s">
        <v>8926</v>
      </c>
      <c r="G5435" s="189" t="s">
        <v>8364</v>
      </c>
      <c r="H5435" s="199" t="s">
        <v>9028</v>
      </c>
      <c r="I5435" s="197" t="s">
        <v>8929</v>
      </c>
      <c r="J5435" s="148" t="s">
        <v>63</v>
      </c>
      <c r="K5435" s="148" t="s">
        <v>9022</v>
      </c>
      <c r="L5435" s="148" t="s">
        <v>65</v>
      </c>
      <c r="M5435" s="148" t="s">
        <v>66</v>
      </c>
      <c r="N5435" s="278">
        <v>46241.0</v>
      </c>
      <c r="O5435" s="148" t="s">
        <v>67</v>
      </c>
      <c r="P5435" s="148" t="s">
        <v>68</v>
      </c>
      <c r="Q5435" s="103"/>
      <c r="R5435" s="103"/>
      <c r="S5435" s="103"/>
      <c r="T5435" s="103"/>
      <c r="U5435" s="148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1">
        <f t="shared" si="1"/>
        <v>5430</v>
      </c>
      <c r="B5436" s="97" t="s">
        <v>9029</v>
      </c>
      <c r="C5436" s="82" t="str">
        <f>VLOOKUP($B$7:$B$5000,SUM!$L$6:$L$500,1,FALSE)</f>
        <v>#VALUE!</v>
      </c>
      <c r="D5436" s="271" t="s">
        <v>9020</v>
      </c>
      <c r="E5436" s="191" t="s">
        <v>58</v>
      </c>
      <c r="F5436" s="148" t="s">
        <v>8926</v>
      </c>
      <c r="G5436" s="189" t="s">
        <v>8364</v>
      </c>
      <c r="H5436" s="199" t="s">
        <v>9030</v>
      </c>
      <c r="I5436" s="270" t="s">
        <v>8929</v>
      </c>
      <c r="J5436" s="148" t="s">
        <v>63</v>
      </c>
      <c r="K5436" s="148" t="s">
        <v>9022</v>
      </c>
      <c r="L5436" s="148" t="s">
        <v>65</v>
      </c>
      <c r="M5436" s="148" t="s">
        <v>66</v>
      </c>
      <c r="N5436" s="278">
        <v>46241.0</v>
      </c>
      <c r="O5436" s="148" t="s">
        <v>67</v>
      </c>
      <c r="P5436" s="148" t="s">
        <v>68</v>
      </c>
      <c r="Q5436" s="103"/>
      <c r="R5436" s="103"/>
      <c r="S5436" s="103"/>
      <c r="T5436" s="103"/>
      <c r="U5436" s="148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1">
        <f t="shared" si="1"/>
        <v>5431</v>
      </c>
      <c r="B5437" s="97" t="s">
        <v>9031</v>
      </c>
      <c r="C5437" s="82" t="str">
        <f>VLOOKUP($B$7:$B$5000,SUM!$L$6:$L$500,1,FALSE)</f>
        <v>#VALUE!</v>
      </c>
      <c r="D5437" s="271" t="s">
        <v>9020</v>
      </c>
      <c r="E5437" s="191" t="s">
        <v>58</v>
      </c>
      <c r="F5437" s="148" t="s">
        <v>8926</v>
      </c>
      <c r="G5437" s="189" t="s">
        <v>8364</v>
      </c>
      <c r="H5437" s="199" t="s">
        <v>9032</v>
      </c>
      <c r="I5437" s="197" t="s">
        <v>8929</v>
      </c>
      <c r="J5437" s="148" t="s">
        <v>63</v>
      </c>
      <c r="K5437" s="148" t="s">
        <v>9022</v>
      </c>
      <c r="L5437" s="148" t="s">
        <v>65</v>
      </c>
      <c r="M5437" s="148" t="s">
        <v>66</v>
      </c>
      <c r="N5437" s="278">
        <v>46241.0</v>
      </c>
      <c r="O5437" s="148" t="s">
        <v>67</v>
      </c>
      <c r="P5437" s="148" t="s">
        <v>68</v>
      </c>
      <c r="Q5437" s="103"/>
      <c r="R5437" s="103"/>
      <c r="S5437" s="103"/>
      <c r="T5437" s="103"/>
      <c r="U5437" s="148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1">
        <f t="shared" si="1"/>
        <v>5432</v>
      </c>
      <c r="B5438" s="97" t="s">
        <v>9033</v>
      </c>
      <c r="C5438" s="82" t="str">
        <f>VLOOKUP($B$7:$B$5000,SUM!$L$6:$L$500,1,FALSE)</f>
        <v>#VALUE!</v>
      </c>
      <c r="D5438" s="271" t="s">
        <v>9020</v>
      </c>
      <c r="E5438" s="191" t="s">
        <v>58</v>
      </c>
      <c r="F5438" s="148" t="s">
        <v>8926</v>
      </c>
      <c r="G5438" s="189" t="s">
        <v>8364</v>
      </c>
      <c r="H5438" s="199" t="s">
        <v>9034</v>
      </c>
      <c r="I5438" s="197" t="s">
        <v>8929</v>
      </c>
      <c r="J5438" s="148" t="s">
        <v>63</v>
      </c>
      <c r="K5438" s="148" t="s">
        <v>9022</v>
      </c>
      <c r="L5438" s="148" t="s">
        <v>65</v>
      </c>
      <c r="M5438" s="148" t="s">
        <v>66</v>
      </c>
      <c r="N5438" s="278">
        <v>46241.0</v>
      </c>
      <c r="O5438" s="148" t="s">
        <v>67</v>
      </c>
      <c r="P5438" s="148" t="s">
        <v>68</v>
      </c>
      <c r="Q5438" s="103"/>
      <c r="R5438" s="103"/>
      <c r="S5438" s="103"/>
      <c r="T5438" s="103"/>
      <c r="U5438" s="148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1">
        <f t="shared" si="1"/>
        <v>5433</v>
      </c>
      <c r="B5439" s="97" t="s">
        <v>9035</v>
      </c>
      <c r="C5439" s="82" t="str">
        <f>VLOOKUP($B$7:$B$5000,SUM!$L$6:$L$500,1,FALSE)</f>
        <v>#VALUE!</v>
      </c>
      <c r="D5439" s="271" t="s">
        <v>9020</v>
      </c>
      <c r="E5439" s="191" t="s">
        <v>58</v>
      </c>
      <c r="F5439" s="148" t="s">
        <v>8926</v>
      </c>
      <c r="G5439" s="189" t="s">
        <v>8364</v>
      </c>
      <c r="H5439" s="199" t="s">
        <v>9036</v>
      </c>
      <c r="I5439" s="197" t="s">
        <v>8929</v>
      </c>
      <c r="J5439" s="148" t="s">
        <v>63</v>
      </c>
      <c r="K5439" s="148" t="s">
        <v>9022</v>
      </c>
      <c r="L5439" s="148" t="s">
        <v>65</v>
      </c>
      <c r="M5439" s="148" t="s">
        <v>66</v>
      </c>
      <c r="N5439" s="278">
        <v>46241.0</v>
      </c>
      <c r="O5439" s="148" t="s">
        <v>67</v>
      </c>
      <c r="P5439" s="148" t="s">
        <v>68</v>
      </c>
      <c r="Q5439" s="103"/>
      <c r="R5439" s="103"/>
      <c r="S5439" s="103"/>
      <c r="T5439" s="103"/>
      <c r="U5439" s="148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1">
        <f t="shared" si="1"/>
        <v>5434</v>
      </c>
      <c r="B5440" s="97" t="s">
        <v>9037</v>
      </c>
      <c r="C5440" s="82" t="str">
        <f>VLOOKUP($B$7:$B$5000,SUM!$L$6:$L$500,1,FALSE)</f>
        <v>#VALUE!</v>
      </c>
      <c r="D5440" s="271" t="s">
        <v>9038</v>
      </c>
      <c r="E5440" s="191" t="s">
        <v>58</v>
      </c>
      <c r="F5440" s="148" t="s">
        <v>9039</v>
      </c>
      <c r="G5440" s="189" t="s">
        <v>8364</v>
      </c>
      <c r="H5440" s="199" t="s">
        <v>9021</v>
      </c>
      <c r="I5440" s="270" t="s">
        <v>9040</v>
      </c>
      <c r="J5440" s="148" t="s">
        <v>63</v>
      </c>
      <c r="K5440" s="148" t="s">
        <v>9022</v>
      </c>
      <c r="L5440" s="148" t="s">
        <v>65</v>
      </c>
      <c r="M5440" s="148" t="s">
        <v>66</v>
      </c>
      <c r="N5440" s="278">
        <v>46241.0</v>
      </c>
      <c r="O5440" s="148" t="s">
        <v>67</v>
      </c>
      <c r="P5440" s="148" t="s">
        <v>68</v>
      </c>
      <c r="Q5440" s="103"/>
      <c r="R5440" s="103"/>
      <c r="S5440" s="103"/>
      <c r="T5440" s="103"/>
      <c r="U5440" s="148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1">
        <f t="shared" si="1"/>
        <v>5435</v>
      </c>
      <c r="B5441" s="97" t="s">
        <v>9041</v>
      </c>
      <c r="C5441" s="82" t="str">
        <f>VLOOKUP($B$7:$B$5000,SUM!$L$6:$L$500,1,FALSE)</f>
        <v>#VALUE!</v>
      </c>
      <c r="D5441" s="271" t="s">
        <v>9038</v>
      </c>
      <c r="E5441" s="191" t="s">
        <v>58</v>
      </c>
      <c r="F5441" s="148" t="s">
        <v>8957</v>
      </c>
      <c r="G5441" s="189" t="s">
        <v>8364</v>
      </c>
      <c r="H5441" s="199" t="s">
        <v>9024</v>
      </c>
      <c r="I5441" s="270" t="s">
        <v>9040</v>
      </c>
      <c r="J5441" s="148" t="s">
        <v>63</v>
      </c>
      <c r="K5441" s="148" t="s">
        <v>9022</v>
      </c>
      <c r="L5441" s="148" t="s">
        <v>65</v>
      </c>
      <c r="M5441" s="148" t="s">
        <v>66</v>
      </c>
      <c r="N5441" s="278">
        <v>46241.0</v>
      </c>
      <c r="O5441" s="148" t="s">
        <v>67</v>
      </c>
      <c r="P5441" s="148" t="s">
        <v>68</v>
      </c>
      <c r="Q5441" s="103"/>
      <c r="R5441" s="103"/>
      <c r="S5441" s="103"/>
      <c r="T5441" s="103"/>
      <c r="U5441" s="148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1">
        <f t="shared" si="1"/>
        <v>5436</v>
      </c>
      <c r="B5442" s="97" t="s">
        <v>9042</v>
      </c>
      <c r="C5442" s="82" t="str">
        <f>VLOOKUP($B$7:$B$5000,SUM!$L$6:$L$500,1,FALSE)</f>
        <v>#VALUE!</v>
      </c>
      <c r="D5442" s="271" t="s">
        <v>9038</v>
      </c>
      <c r="E5442" s="191" t="s">
        <v>58</v>
      </c>
      <c r="F5442" s="148" t="s">
        <v>8957</v>
      </c>
      <c r="G5442" s="189" t="s">
        <v>8364</v>
      </c>
      <c r="H5442" s="199" t="s">
        <v>9026</v>
      </c>
      <c r="I5442" s="270" t="s">
        <v>9040</v>
      </c>
      <c r="J5442" s="148" t="s">
        <v>63</v>
      </c>
      <c r="K5442" s="148" t="s">
        <v>9022</v>
      </c>
      <c r="L5442" s="148" t="s">
        <v>65</v>
      </c>
      <c r="M5442" s="148" t="s">
        <v>66</v>
      </c>
      <c r="N5442" s="278">
        <v>46241.0</v>
      </c>
      <c r="O5442" s="148" t="s">
        <v>67</v>
      </c>
      <c r="P5442" s="148" t="s">
        <v>68</v>
      </c>
      <c r="Q5442" s="103"/>
      <c r="R5442" s="103"/>
      <c r="S5442" s="103"/>
      <c r="T5442" s="103"/>
      <c r="U5442" s="148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1">
        <f t="shared" si="1"/>
        <v>5437</v>
      </c>
      <c r="B5443" s="97" t="s">
        <v>9043</v>
      </c>
      <c r="C5443" s="82" t="str">
        <f>VLOOKUP($B$7:$B$5000,SUM!$L$6:$L$500,1,FALSE)</f>
        <v>#VALUE!</v>
      </c>
      <c r="D5443" s="271" t="s">
        <v>9038</v>
      </c>
      <c r="E5443" s="191" t="s">
        <v>58</v>
      </c>
      <c r="F5443" s="148" t="s">
        <v>8957</v>
      </c>
      <c r="G5443" s="189" t="s">
        <v>8364</v>
      </c>
      <c r="H5443" s="199" t="s">
        <v>9028</v>
      </c>
      <c r="I5443" s="270" t="s">
        <v>9040</v>
      </c>
      <c r="J5443" s="148" t="s">
        <v>63</v>
      </c>
      <c r="K5443" s="148" t="s">
        <v>9022</v>
      </c>
      <c r="L5443" s="148" t="s">
        <v>65</v>
      </c>
      <c r="M5443" s="148" t="s">
        <v>66</v>
      </c>
      <c r="N5443" s="278">
        <v>46241.0</v>
      </c>
      <c r="O5443" s="148" t="s">
        <v>67</v>
      </c>
      <c r="P5443" s="148" t="s">
        <v>68</v>
      </c>
      <c r="Q5443" s="103"/>
      <c r="R5443" s="103"/>
      <c r="S5443" s="103"/>
      <c r="T5443" s="103"/>
      <c r="U5443" s="148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1">
        <f t="shared" si="1"/>
        <v>5438</v>
      </c>
      <c r="B5444" s="97" t="s">
        <v>9044</v>
      </c>
      <c r="C5444" s="82" t="str">
        <f>VLOOKUP($B$7:$B$5000,SUM!$L$6:$L$500,1,FALSE)</f>
        <v>#VALUE!</v>
      </c>
      <c r="D5444" s="271" t="s">
        <v>9038</v>
      </c>
      <c r="E5444" s="191" t="s">
        <v>58</v>
      </c>
      <c r="F5444" s="148" t="s">
        <v>8957</v>
      </c>
      <c r="G5444" s="189" t="s">
        <v>8364</v>
      </c>
      <c r="H5444" s="199" t="s">
        <v>9030</v>
      </c>
      <c r="I5444" s="270" t="s">
        <v>9040</v>
      </c>
      <c r="J5444" s="148" t="s">
        <v>63</v>
      </c>
      <c r="K5444" s="148" t="s">
        <v>9022</v>
      </c>
      <c r="L5444" s="148" t="s">
        <v>65</v>
      </c>
      <c r="M5444" s="148" t="s">
        <v>66</v>
      </c>
      <c r="N5444" s="278">
        <v>46241.0</v>
      </c>
      <c r="O5444" s="148" t="s">
        <v>67</v>
      </c>
      <c r="P5444" s="148" t="s">
        <v>68</v>
      </c>
      <c r="Q5444" s="103"/>
      <c r="R5444" s="103"/>
      <c r="S5444" s="103"/>
      <c r="T5444" s="103"/>
      <c r="U5444" s="148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1">
        <f t="shared" si="1"/>
        <v>5439</v>
      </c>
      <c r="B5445" s="97" t="s">
        <v>9045</v>
      </c>
      <c r="C5445" s="82" t="str">
        <f>VLOOKUP($B$7:$B$5000,SUM!$L$6:$L$500,1,FALSE)</f>
        <v>#VALUE!</v>
      </c>
      <c r="D5445" s="271" t="s">
        <v>9038</v>
      </c>
      <c r="E5445" s="191" t="s">
        <v>58</v>
      </c>
      <c r="F5445" s="148" t="s">
        <v>8957</v>
      </c>
      <c r="G5445" s="189" t="s">
        <v>8364</v>
      </c>
      <c r="H5445" s="199" t="s">
        <v>9032</v>
      </c>
      <c r="I5445" s="270" t="s">
        <v>9040</v>
      </c>
      <c r="J5445" s="148" t="s">
        <v>63</v>
      </c>
      <c r="K5445" s="148" t="s">
        <v>9022</v>
      </c>
      <c r="L5445" s="148" t="s">
        <v>65</v>
      </c>
      <c r="M5445" s="148" t="s">
        <v>66</v>
      </c>
      <c r="N5445" s="278">
        <v>46241.0</v>
      </c>
      <c r="O5445" s="148" t="s">
        <v>67</v>
      </c>
      <c r="P5445" s="148" t="s">
        <v>68</v>
      </c>
      <c r="Q5445" s="103"/>
      <c r="R5445" s="103"/>
      <c r="S5445" s="103"/>
      <c r="T5445" s="103"/>
      <c r="U5445" s="148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1">
        <f t="shared" si="1"/>
        <v>5440</v>
      </c>
      <c r="B5446" s="97" t="s">
        <v>9046</v>
      </c>
      <c r="C5446" s="82" t="str">
        <f>VLOOKUP($B$7:$B$5000,SUM!$L$6:$L$500,1,FALSE)</f>
        <v>#VALUE!</v>
      </c>
      <c r="D5446" s="271" t="s">
        <v>9038</v>
      </c>
      <c r="E5446" s="191" t="s">
        <v>58</v>
      </c>
      <c r="F5446" s="148" t="s">
        <v>8957</v>
      </c>
      <c r="G5446" s="189" t="s">
        <v>8364</v>
      </c>
      <c r="H5446" s="199" t="s">
        <v>9034</v>
      </c>
      <c r="I5446" s="270" t="s">
        <v>9040</v>
      </c>
      <c r="J5446" s="148" t="s">
        <v>63</v>
      </c>
      <c r="K5446" s="148" t="s">
        <v>9022</v>
      </c>
      <c r="L5446" s="148" t="s">
        <v>65</v>
      </c>
      <c r="M5446" s="148" t="s">
        <v>66</v>
      </c>
      <c r="N5446" s="278">
        <v>46241.0</v>
      </c>
      <c r="O5446" s="148" t="s">
        <v>67</v>
      </c>
      <c r="P5446" s="148" t="s">
        <v>68</v>
      </c>
      <c r="Q5446" s="103"/>
      <c r="R5446" s="103"/>
      <c r="S5446" s="103"/>
      <c r="T5446" s="103"/>
      <c r="U5446" s="148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1">
        <f t="shared" si="1"/>
        <v>5441</v>
      </c>
      <c r="B5447" s="97" t="s">
        <v>9047</v>
      </c>
      <c r="C5447" s="82" t="str">
        <f>VLOOKUP($B$7:$B$5000,SUM!$L$6:$L$500,1,FALSE)</f>
        <v>#VALUE!</v>
      </c>
      <c r="D5447" s="271" t="s">
        <v>9038</v>
      </c>
      <c r="E5447" s="191" t="s">
        <v>58</v>
      </c>
      <c r="F5447" s="148" t="s">
        <v>8957</v>
      </c>
      <c r="G5447" s="189" t="s">
        <v>8364</v>
      </c>
      <c r="H5447" s="199" t="s">
        <v>9036</v>
      </c>
      <c r="I5447" s="270" t="s">
        <v>9040</v>
      </c>
      <c r="J5447" s="148" t="s">
        <v>63</v>
      </c>
      <c r="K5447" s="148" t="s">
        <v>9022</v>
      </c>
      <c r="L5447" s="148" t="s">
        <v>65</v>
      </c>
      <c r="M5447" s="148" t="s">
        <v>66</v>
      </c>
      <c r="N5447" s="278">
        <v>46241.0</v>
      </c>
      <c r="O5447" s="148" t="s">
        <v>67</v>
      </c>
      <c r="P5447" s="148" t="s">
        <v>68</v>
      </c>
      <c r="Q5447" s="103"/>
      <c r="R5447" s="103"/>
      <c r="S5447" s="103"/>
      <c r="T5447" s="103"/>
      <c r="U5447" s="148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1">
        <f t="shared" si="1"/>
        <v>5442</v>
      </c>
      <c r="B5448" s="97" t="s">
        <v>9048</v>
      </c>
      <c r="C5448" s="82" t="str">
        <f>VLOOKUP($B$7:$B$5000,SUM!$L$6:$L$500,1,FALSE)</f>
        <v>#VALUE!</v>
      </c>
      <c r="D5448" s="190" t="s">
        <v>9049</v>
      </c>
      <c r="E5448" s="191" t="s">
        <v>58</v>
      </c>
      <c r="F5448" s="199" t="s">
        <v>8732</v>
      </c>
      <c r="G5448" s="199" t="s">
        <v>8733</v>
      </c>
      <c r="H5448" s="199" t="s">
        <v>3280</v>
      </c>
      <c r="I5448" s="197" t="s">
        <v>9050</v>
      </c>
      <c r="J5448" s="148" t="s">
        <v>63</v>
      </c>
      <c r="K5448" s="148" t="s">
        <v>64</v>
      </c>
      <c r="L5448" s="148" t="s">
        <v>65</v>
      </c>
      <c r="M5448" s="148" t="s">
        <v>66</v>
      </c>
      <c r="N5448" s="278">
        <v>46241.0</v>
      </c>
      <c r="O5448" s="148" t="s">
        <v>67</v>
      </c>
      <c r="P5448" s="148" t="s">
        <v>68</v>
      </c>
      <c r="Q5448" s="103"/>
      <c r="R5448" s="103"/>
      <c r="S5448" s="103"/>
      <c r="T5448" s="103"/>
      <c r="U5448" s="148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1">
        <f t="shared" si="1"/>
        <v>5443</v>
      </c>
      <c r="B5449" s="97" t="s">
        <v>9051</v>
      </c>
      <c r="C5449" s="82" t="str">
        <f>VLOOKUP($B$7:$B$5000,SUM!$L$6:$L$500,1,FALSE)</f>
        <v>#VALUE!</v>
      </c>
      <c r="D5449" s="190" t="s">
        <v>9049</v>
      </c>
      <c r="E5449" s="191" t="s">
        <v>58</v>
      </c>
      <c r="F5449" s="199" t="s">
        <v>8732</v>
      </c>
      <c r="G5449" s="199" t="s">
        <v>8733</v>
      </c>
      <c r="H5449" s="199" t="s">
        <v>3911</v>
      </c>
      <c r="I5449" s="197" t="s">
        <v>9050</v>
      </c>
      <c r="J5449" s="148" t="s">
        <v>63</v>
      </c>
      <c r="K5449" s="148" t="s">
        <v>64</v>
      </c>
      <c r="L5449" s="148" t="s">
        <v>65</v>
      </c>
      <c r="M5449" s="148" t="s">
        <v>66</v>
      </c>
      <c r="N5449" s="278">
        <v>46241.0</v>
      </c>
      <c r="O5449" s="148" t="s">
        <v>67</v>
      </c>
      <c r="P5449" s="148" t="s">
        <v>68</v>
      </c>
      <c r="Q5449" s="103"/>
      <c r="R5449" s="103"/>
      <c r="S5449" s="103"/>
      <c r="T5449" s="103"/>
      <c r="U5449" s="148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1">
        <f t="shared" si="1"/>
        <v>5444</v>
      </c>
      <c r="B5450" s="97" t="s">
        <v>9052</v>
      </c>
      <c r="C5450" s="82" t="str">
        <f>VLOOKUP($B$7:$B$5000,SUM!$L$6:$L$500,1,FALSE)</f>
        <v>#VALUE!</v>
      </c>
      <c r="D5450" s="190" t="s">
        <v>9049</v>
      </c>
      <c r="E5450" s="191" t="s">
        <v>58</v>
      </c>
      <c r="F5450" s="199" t="s">
        <v>8732</v>
      </c>
      <c r="G5450" s="199" t="s">
        <v>8733</v>
      </c>
      <c r="H5450" s="199" t="s">
        <v>3918</v>
      </c>
      <c r="I5450" s="197" t="s">
        <v>9050</v>
      </c>
      <c r="J5450" s="148" t="s">
        <v>63</v>
      </c>
      <c r="K5450" s="148" t="s">
        <v>64</v>
      </c>
      <c r="L5450" s="148" t="s">
        <v>65</v>
      </c>
      <c r="M5450" s="148" t="s">
        <v>66</v>
      </c>
      <c r="N5450" s="278">
        <v>46241.0</v>
      </c>
      <c r="O5450" s="148" t="s">
        <v>67</v>
      </c>
      <c r="P5450" s="148" t="s">
        <v>68</v>
      </c>
      <c r="Q5450" s="103"/>
      <c r="R5450" s="103"/>
      <c r="S5450" s="103"/>
      <c r="T5450" s="103"/>
      <c r="U5450" s="148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1">
        <f t="shared" si="1"/>
        <v>5445</v>
      </c>
      <c r="B5451" s="97" t="s">
        <v>9053</v>
      </c>
      <c r="C5451" s="82" t="str">
        <f>VLOOKUP($B$7:$B$5000,SUM!$L$6:$L$500,1,FALSE)</f>
        <v>#VALUE!</v>
      </c>
      <c r="D5451" s="190" t="s">
        <v>9049</v>
      </c>
      <c r="E5451" s="191" t="s">
        <v>58</v>
      </c>
      <c r="F5451" s="199" t="s">
        <v>8732</v>
      </c>
      <c r="G5451" s="199" t="s">
        <v>8733</v>
      </c>
      <c r="H5451" s="199" t="s">
        <v>3922</v>
      </c>
      <c r="I5451" s="197" t="s">
        <v>9050</v>
      </c>
      <c r="J5451" s="148" t="s">
        <v>63</v>
      </c>
      <c r="K5451" s="148" t="s">
        <v>64</v>
      </c>
      <c r="L5451" s="148" t="s">
        <v>65</v>
      </c>
      <c r="M5451" s="148" t="s">
        <v>66</v>
      </c>
      <c r="N5451" s="278">
        <v>46241.0</v>
      </c>
      <c r="O5451" s="148" t="s">
        <v>67</v>
      </c>
      <c r="P5451" s="148" t="s">
        <v>68</v>
      </c>
      <c r="Q5451" s="103"/>
      <c r="R5451" s="103"/>
      <c r="S5451" s="103"/>
      <c r="T5451" s="103"/>
      <c r="U5451" s="148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1">
        <f t="shared" si="1"/>
        <v>5446</v>
      </c>
      <c r="B5452" s="97" t="s">
        <v>9054</v>
      </c>
      <c r="C5452" s="82" t="str">
        <f>VLOOKUP($B$7:$B$5000,SUM!$L$6:$L$500,1,FALSE)</f>
        <v>#VALUE!</v>
      </c>
      <c r="D5452" s="190" t="s">
        <v>9049</v>
      </c>
      <c r="E5452" s="191" t="s">
        <v>58</v>
      </c>
      <c r="F5452" s="199" t="s">
        <v>8732</v>
      </c>
      <c r="G5452" s="199" t="s">
        <v>8733</v>
      </c>
      <c r="H5452" s="199" t="s">
        <v>3926</v>
      </c>
      <c r="I5452" s="197" t="s">
        <v>9050</v>
      </c>
      <c r="J5452" s="148" t="s">
        <v>63</v>
      </c>
      <c r="K5452" s="148" t="s">
        <v>64</v>
      </c>
      <c r="L5452" s="148" t="s">
        <v>65</v>
      </c>
      <c r="M5452" s="148" t="s">
        <v>66</v>
      </c>
      <c r="N5452" s="278">
        <v>46241.0</v>
      </c>
      <c r="O5452" s="148" t="s">
        <v>67</v>
      </c>
      <c r="P5452" s="148" t="s">
        <v>68</v>
      </c>
      <c r="Q5452" s="103"/>
      <c r="R5452" s="103"/>
      <c r="S5452" s="103"/>
      <c r="T5452" s="103"/>
      <c r="U5452" s="148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1">
        <f t="shared" si="1"/>
        <v>5447</v>
      </c>
      <c r="B5453" s="97" t="s">
        <v>9055</v>
      </c>
      <c r="C5453" s="82" t="str">
        <f>VLOOKUP($B$7:$B$5000,SUM!$L$6:$L$500,1,FALSE)</f>
        <v>#VALUE!</v>
      </c>
      <c r="D5453" s="190" t="s">
        <v>9049</v>
      </c>
      <c r="E5453" s="191" t="s">
        <v>58</v>
      </c>
      <c r="F5453" s="199" t="s">
        <v>8732</v>
      </c>
      <c r="G5453" s="199" t="s">
        <v>8733</v>
      </c>
      <c r="H5453" s="199" t="s">
        <v>3930</v>
      </c>
      <c r="I5453" s="197" t="s">
        <v>9050</v>
      </c>
      <c r="J5453" s="148" t="s">
        <v>63</v>
      </c>
      <c r="K5453" s="148" t="s">
        <v>64</v>
      </c>
      <c r="L5453" s="148" t="s">
        <v>65</v>
      </c>
      <c r="M5453" s="148" t="s">
        <v>66</v>
      </c>
      <c r="N5453" s="278">
        <v>46241.0</v>
      </c>
      <c r="O5453" s="148" t="s">
        <v>67</v>
      </c>
      <c r="P5453" s="148" t="s">
        <v>68</v>
      </c>
      <c r="Q5453" s="103"/>
      <c r="R5453" s="103"/>
      <c r="S5453" s="103"/>
      <c r="T5453" s="103"/>
      <c r="U5453" s="148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1">
        <f t="shared" si="1"/>
        <v>5448</v>
      </c>
      <c r="B5454" s="97" t="s">
        <v>9056</v>
      </c>
      <c r="C5454" s="82" t="str">
        <f>VLOOKUP($B$7:$B$5000,SUM!$L$6:$L$500,1,FALSE)</f>
        <v>#VALUE!</v>
      </c>
      <c r="D5454" s="190" t="s">
        <v>9049</v>
      </c>
      <c r="E5454" s="191" t="s">
        <v>58</v>
      </c>
      <c r="F5454" s="199" t="s">
        <v>8732</v>
      </c>
      <c r="G5454" s="199" t="s">
        <v>8733</v>
      </c>
      <c r="H5454" s="199" t="s">
        <v>3934</v>
      </c>
      <c r="I5454" s="197" t="s">
        <v>9050</v>
      </c>
      <c r="J5454" s="148" t="s">
        <v>63</v>
      </c>
      <c r="K5454" s="148" t="s">
        <v>64</v>
      </c>
      <c r="L5454" s="148" t="s">
        <v>65</v>
      </c>
      <c r="M5454" s="148" t="s">
        <v>66</v>
      </c>
      <c r="N5454" s="278">
        <v>46241.0</v>
      </c>
      <c r="O5454" s="148" t="s">
        <v>67</v>
      </c>
      <c r="P5454" s="148" t="s">
        <v>68</v>
      </c>
      <c r="Q5454" s="103"/>
      <c r="R5454" s="103"/>
      <c r="S5454" s="103"/>
      <c r="T5454" s="103"/>
      <c r="U5454" s="148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1">
        <f t="shared" si="1"/>
        <v>5449</v>
      </c>
      <c r="B5455" s="97" t="s">
        <v>9057</v>
      </c>
      <c r="C5455" s="82" t="str">
        <f>VLOOKUP($B$7:$B$5000,SUM!$L$6:$L$500,1,FALSE)</f>
        <v>#VALUE!</v>
      </c>
      <c r="D5455" s="190" t="s">
        <v>9049</v>
      </c>
      <c r="E5455" s="191" t="s">
        <v>58</v>
      </c>
      <c r="F5455" s="199" t="s">
        <v>8732</v>
      </c>
      <c r="G5455" s="199" t="s">
        <v>8733</v>
      </c>
      <c r="H5455" s="199" t="s">
        <v>3938</v>
      </c>
      <c r="I5455" s="197" t="s">
        <v>9050</v>
      </c>
      <c r="J5455" s="148" t="s">
        <v>63</v>
      </c>
      <c r="K5455" s="148" t="s">
        <v>64</v>
      </c>
      <c r="L5455" s="148" t="s">
        <v>65</v>
      </c>
      <c r="M5455" s="148" t="s">
        <v>66</v>
      </c>
      <c r="N5455" s="278">
        <v>46241.0</v>
      </c>
      <c r="O5455" s="148" t="s">
        <v>67</v>
      </c>
      <c r="P5455" s="148" t="s">
        <v>68</v>
      </c>
      <c r="Q5455" s="103"/>
      <c r="R5455" s="103"/>
      <c r="S5455" s="103"/>
      <c r="T5455" s="103"/>
      <c r="U5455" s="148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1">
        <f t="shared" si="1"/>
        <v>5450</v>
      </c>
      <c r="B5456" s="97" t="s">
        <v>9058</v>
      </c>
      <c r="C5456" s="82" t="str">
        <f>VLOOKUP($B$7:$B$5000,SUM!$L$6:$L$500,1,FALSE)</f>
        <v>#VALUE!</v>
      </c>
      <c r="D5456" s="190" t="s">
        <v>9049</v>
      </c>
      <c r="E5456" s="191" t="s">
        <v>58</v>
      </c>
      <c r="F5456" s="199" t="s">
        <v>8732</v>
      </c>
      <c r="G5456" s="199" t="s">
        <v>8733</v>
      </c>
      <c r="H5456" s="199" t="s">
        <v>3942</v>
      </c>
      <c r="I5456" s="197" t="s">
        <v>9050</v>
      </c>
      <c r="J5456" s="148" t="s">
        <v>63</v>
      </c>
      <c r="K5456" s="148" t="s">
        <v>64</v>
      </c>
      <c r="L5456" s="148" t="s">
        <v>65</v>
      </c>
      <c r="M5456" s="148" t="s">
        <v>66</v>
      </c>
      <c r="N5456" s="278">
        <v>46241.0</v>
      </c>
      <c r="O5456" s="148" t="s">
        <v>67</v>
      </c>
      <c r="P5456" s="148" t="s">
        <v>68</v>
      </c>
      <c r="Q5456" s="103"/>
      <c r="R5456" s="103"/>
      <c r="S5456" s="103"/>
      <c r="T5456" s="103"/>
      <c r="U5456" s="148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1">
        <f t="shared" si="1"/>
        <v>5451</v>
      </c>
      <c r="B5457" s="97" t="s">
        <v>9059</v>
      </c>
      <c r="C5457" s="82" t="str">
        <f>VLOOKUP($B$7:$B$5000,SUM!$L$6:$L$500,1,FALSE)</f>
        <v>#VALUE!</v>
      </c>
      <c r="D5457" s="190" t="s">
        <v>9049</v>
      </c>
      <c r="E5457" s="191" t="s">
        <v>58</v>
      </c>
      <c r="F5457" s="199" t="s">
        <v>8732</v>
      </c>
      <c r="G5457" s="199" t="s">
        <v>8733</v>
      </c>
      <c r="H5457" s="199" t="s">
        <v>3946</v>
      </c>
      <c r="I5457" s="197" t="s">
        <v>9050</v>
      </c>
      <c r="J5457" s="148" t="s">
        <v>63</v>
      </c>
      <c r="K5457" s="148" t="s">
        <v>64</v>
      </c>
      <c r="L5457" s="148" t="s">
        <v>65</v>
      </c>
      <c r="M5457" s="148" t="s">
        <v>66</v>
      </c>
      <c r="N5457" s="278">
        <v>46241.0</v>
      </c>
      <c r="O5457" s="148" t="s">
        <v>67</v>
      </c>
      <c r="P5457" s="148" t="s">
        <v>68</v>
      </c>
      <c r="Q5457" s="103"/>
      <c r="R5457" s="103"/>
      <c r="S5457" s="103"/>
      <c r="T5457" s="103"/>
      <c r="U5457" s="148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1">
        <f t="shared" si="1"/>
        <v>5452</v>
      </c>
      <c r="B5458" s="97" t="s">
        <v>9060</v>
      </c>
      <c r="C5458" s="82" t="str">
        <f>VLOOKUP($B$7:$B$5000,SUM!$L$6:$L$500,1,FALSE)</f>
        <v>#VALUE!</v>
      </c>
      <c r="D5458" s="190" t="s">
        <v>9049</v>
      </c>
      <c r="E5458" s="191" t="s">
        <v>58</v>
      </c>
      <c r="F5458" s="199" t="s">
        <v>8732</v>
      </c>
      <c r="G5458" s="199" t="s">
        <v>8733</v>
      </c>
      <c r="H5458" s="199" t="s">
        <v>3950</v>
      </c>
      <c r="I5458" s="197" t="s">
        <v>9050</v>
      </c>
      <c r="J5458" s="148" t="s">
        <v>63</v>
      </c>
      <c r="K5458" s="148" t="s">
        <v>64</v>
      </c>
      <c r="L5458" s="148" t="s">
        <v>65</v>
      </c>
      <c r="M5458" s="148" t="s">
        <v>66</v>
      </c>
      <c r="N5458" s="278">
        <v>46241.0</v>
      </c>
      <c r="O5458" s="148" t="s">
        <v>67</v>
      </c>
      <c r="P5458" s="148" t="s">
        <v>68</v>
      </c>
      <c r="Q5458" s="103"/>
      <c r="R5458" s="103"/>
      <c r="S5458" s="103"/>
      <c r="T5458" s="103"/>
      <c r="U5458" s="148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1">
        <f t="shared" si="1"/>
        <v>5453</v>
      </c>
      <c r="B5459" s="97" t="s">
        <v>9061</v>
      </c>
      <c r="C5459" s="82" t="str">
        <f>VLOOKUP($B$7:$B$5000,SUM!$L$6:$L$500,1,FALSE)</f>
        <v>#VALUE!</v>
      </c>
      <c r="D5459" s="190" t="s">
        <v>9049</v>
      </c>
      <c r="E5459" s="191" t="s">
        <v>58</v>
      </c>
      <c r="F5459" s="199" t="s">
        <v>8732</v>
      </c>
      <c r="G5459" s="199" t="s">
        <v>8733</v>
      </c>
      <c r="H5459" s="199" t="s">
        <v>3954</v>
      </c>
      <c r="I5459" s="197" t="s">
        <v>9050</v>
      </c>
      <c r="J5459" s="148" t="s">
        <v>63</v>
      </c>
      <c r="K5459" s="148" t="s">
        <v>64</v>
      </c>
      <c r="L5459" s="148" t="s">
        <v>65</v>
      </c>
      <c r="M5459" s="148" t="s">
        <v>66</v>
      </c>
      <c r="N5459" s="278">
        <v>46241.0</v>
      </c>
      <c r="O5459" s="148" t="s">
        <v>67</v>
      </c>
      <c r="P5459" s="148" t="s">
        <v>68</v>
      </c>
      <c r="Q5459" s="103"/>
      <c r="R5459" s="103"/>
      <c r="S5459" s="103"/>
      <c r="T5459" s="103"/>
      <c r="U5459" s="148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1">
        <f t="shared" si="1"/>
        <v>5454</v>
      </c>
      <c r="B5460" s="97" t="s">
        <v>9062</v>
      </c>
      <c r="C5460" s="82" t="str">
        <f>VLOOKUP($B$7:$B$5000,SUM!$L$6:$L$500,1,FALSE)</f>
        <v>#VALUE!</v>
      </c>
      <c r="D5460" s="190" t="s">
        <v>9049</v>
      </c>
      <c r="E5460" s="191" t="s">
        <v>58</v>
      </c>
      <c r="F5460" s="199" t="s">
        <v>8732</v>
      </c>
      <c r="G5460" s="199" t="s">
        <v>8733</v>
      </c>
      <c r="H5460" s="199" t="s">
        <v>3690</v>
      </c>
      <c r="I5460" s="197" t="s">
        <v>9050</v>
      </c>
      <c r="J5460" s="148" t="s">
        <v>63</v>
      </c>
      <c r="K5460" s="148" t="s">
        <v>64</v>
      </c>
      <c r="L5460" s="148" t="s">
        <v>65</v>
      </c>
      <c r="M5460" s="148" t="s">
        <v>66</v>
      </c>
      <c r="N5460" s="278">
        <v>46241.0</v>
      </c>
      <c r="O5460" s="148" t="s">
        <v>67</v>
      </c>
      <c r="P5460" s="148" t="s">
        <v>68</v>
      </c>
      <c r="Q5460" s="103"/>
      <c r="R5460" s="103"/>
      <c r="S5460" s="103"/>
      <c r="T5460" s="103"/>
      <c r="U5460" s="148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1">
        <f t="shared" si="1"/>
        <v>5455</v>
      </c>
      <c r="B5461" s="97" t="s">
        <v>9063</v>
      </c>
      <c r="C5461" s="82" t="str">
        <f>VLOOKUP($B$7:$B$5000,SUM!$L$6:$L$500,1,FALSE)</f>
        <v>#VALUE!</v>
      </c>
      <c r="D5461" s="190" t="s">
        <v>9049</v>
      </c>
      <c r="E5461" s="191" t="s">
        <v>58</v>
      </c>
      <c r="F5461" s="199" t="s">
        <v>8732</v>
      </c>
      <c r="G5461" s="199" t="s">
        <v>8733</v>
      </c>
      <c r="H5461" s="199" t="s">
        <v>1568</v>
      </c>
      <c r="I5461" s="197" t="s">
        <v>9050</v>
      </c>
      <c r="J5461" s="148" t="s">
        <v>63</v>
      </c>
      <c r="K5461" s="148" t="s">
        <v>64</v>
      </c>
      <c r="L5461" s="148" t="s">
        <v>65</v>
      </c>
      <c r="M5461" s="148" t="s">
        <v>66</v>
      </c>
      <c r="N5461" s="278">
        <v>46241.0</v>
      </c>
      <c r="O5461" s="148" t="s">
        <v>67</v>
      </c>
      <c r="P5461" s="148" t="s">
        <v>68</v>
      </c>
      <c r="Q5461" s="103"/>
      <c r="R5461" s="103"/>
      <c r="S5461" s="103"/>
      <c r="T5461" s="103"/>
      <c r="U5461" s="148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1">
        <f t="shared" si="1"/>
        <v>5456</v>
      </c>
      <c r="B5462" s="97" t="s">
        <v>9064</v>
      </c>
      <c r="C5462" s="82" t="str">
        <f>VLOOKUP($B$7:$B$5000,SUM!$L$6:$L$500,1,FALSE)</f>
        <v>#VALUE!</v>
      </c>
      <c r="D5462" s="190" t="s">
        <v>9049</v>
      </c>
      <c r="E5462" s="191" t="s">
        <v>58</v>
      </c>
      <c r="F5462" s="199" t="s">
        <v>8732</v>
      </c>
      <c r="G5462" s="199" t="s">
        <v>8733</v>
      </c>
      <c r="H5462" s="199" t="s">
        <v>3697</v>
      </c>
      <c r="I5462" s="197" t="s">
        <v>9050</v>
      </c>
      <c r="J5462" s="148" t="s">
        <v>63</v>
      </c>
      <c r="K5462" s="148" t="s">
        <v>64</v>
      </c>
      <c r="L5462" s="148" t="s">
        <v>65</v>
      </c>
      <c r="M5462" s="148" t="s">
        <v>66</v>
      </c>
      <c r="N5462" s="278">
        <v>46241.0</v>
      </c>
      <c r="O5462" s="148" t="s">
        <v>67</v>
      </c>
      <c r="P5462" s="148" t="s">
        <v>68</v>
      </c>
      <c r="Q5462" s="103"/>
      <c r="R5462" s="103"/>
      <c r="S5462" s="103"/>
      <c r="T5462" s="103"/>
      <c r="U5462" s="148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1">
        <f t="shared" si="1"/>
        <v>5457</v>
      </c>
      <c r="B5463" s="97" t="s">
        <v>9065</v>
      </c>
      <c r="C5463" s="82" t="str">
        <f>VLOOKUP($B$7:$B$5000,SUM!$L$6:$L$500,1,FALSE)</f>
        <v>#VALUE!</v>
      </c>
      <c r="D5463" s="190" t="s">
        <v>9049</v>
      </c>
      <c r="E5463" s="191" t="s">
        <v>58</v>
      </c>
      <c r="F5463" s="199" t="s">
        <v>8732</v>
      </c>
      <c r="G5463" s="199" t="s">
        <v>8733</v>
      </c>
      <c r="H5463" s="199" t="s">
        <v>3701</v>
      </c>
      <c r="I5463" s="197" t="s">
        <v>9050</v>
      </c>
      <c r="J5463" s="148" t="s">
        <v>63</v>
      </c>
      <c r="K5463" s="148" t="s">
        <v>64</v>
      </c>
      <c r="L5463" s="148" t="s">
        <v>65</v>
      </c>
      <c r="M5463" s="148" t="s">
        <v>66</v>
      </c>
      <c r="N5463" s="278">
        <v>46241.0</v>
      </c>
      <c r="O5463" s="148" t="s">
        <v>67</v>
      </c>
      <c r="P5463" s="148" t="s">
        <v>68</v>
      </c>
      <c r="Q5463" s="103"/>
      <c r="R5463" s="103"/>
      <c r="S5463" s="103"/>
      <c r="T5463" s="103"/>
      <c r="U5463" s="148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1">
        <f t="shared" si="1"/>
        <v>5458</v>
      </c>
      <c r="B5464" s="97" t="s">
        <v>9066</v>
      </c>
      <c r="C5464" s="82" t="str">
        <f>VLOOKUP($B$7:$B$5000,SUM!$L$6:$L$500,1,FALSE)</f>
        <v>#VALUE!</v>
      </c>
      <c r="D5464" s="190" t="s">
        <v>9049</v>
      </c>
      <c r="E5464" s="191" t="s">
        <v>58</v>
      </c>
      <c r="F5464" s="199" t="s">
        <v>8732</v>
      </c>
      <c r="G5464" s="199" t="s">
        <v>8733</v>
      </c>
      <c r="H5464" s="199" t="s">
        <v>3705</v>
      </c>
      <c r="I5464" s="197" t="s">
        <v>9050</v>
      </c>
      <c r="J5464" s="148" t="s">
        <v>63</v>
      </c>
      <c r="K5464" s="148" t="s">
        <v>64</v>
      </c>
      <c r="L5464" s="148" t="s">
        <v>65</v>
      </c>
      <c r="M5464" s="148" t="s">
        <v>66</v>
      </c>
      <c r="N5464" s="278">
        <v>46241.0</v>
      </c>
      <c r="O5464" s="148" t="s">
        <v>67</v>
      </c>
      <c r="P5464" s="148" t="s">
        <v>68</v>
      </c>
      <c r="Q5464" s="103"/>
      <c r="R5464" s="103"/>
      <c r="S5464" s="103"/>
      <c r="T5464" s="103"/>
      <c r="U5464" s="148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1">
        <f t="shared" si="1"/>
        <v>5459</v>
      </c>
      <c r="B5465" s="97" t="s">
        <v>9067</v>
      </c>
      <c r="C5465" s="82" t="str">
        <f>VLOOKUP($B$7:$B$5000,SUM!$L$6:$L$500,1,FALSE)</f>
        <v>#VALUE!</v>
      </c>
      <c r="D5465" s="190" t="s">
        <v>9049</v>
      </c>
      <c r="E5465" s="191" t="s">
        <v>58</v>
      </c>
      <c r="F5465" s="199" t="s">
        <v>8732</v>
      </c>
      <c r="G5465" s="199" t="s">
        <v>8733</v>
      </c>
      <c r="H5465" s="199" t="s">
        <v>3709</v>
      </c>
      <c r="I5465" s="197" t="s">
        <v>9050</v>
      </c>
      <c r="J5465" s="148" t="s">
        <v>63</v>
      </c>
      <c r="K5465" s="148" t="s">
        <v>64</v>
      </c>
      <c r="L5465" s="148" t="s">
        <v>65</v>
      </c>
      <c r="M5465" s="148" t="s">
        <v>66</v>
      </c>
      <c r="N5465" s="278">
        <v>46241.0</v>
      </c>
      <c r="O5465" s="148" t="s">
        <v>67</v>
      </c>
      <c r="P5465" s="148" t="s">
        <v>68</v>
      </c>
      <c r="Q5465" s="103"/>
      <c r="R5465" s="103"/>
      <c r="S5465" s="103"/>
      <c r="T5465" s="103"/>
      <c r="U5465" s="148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1">
        <f t="shared" si="1"/>
        <v>5460</v>
      </c>
      <c r="B5466" s="97" t="s">
        <v>9068</v>
      </c>
      <c r="C5466" s="82" t="str">
        <f>VLOOKUP($B$7:$B$5000,SUM!$L$6:$L$500,1,FALSE)</f>
        <v>#VALUE!</v>
      </c>
      <c r="D5466" s="190" t="s">
        <v>9049</v>
      </c>
      <c r="E5466" s="191" t="s">
        <v>58</v>
      </c>
      <c r="F5466" s="199" t="s">
        <v>8732</v>
      </c>
      <c r="G5466" s="199" t="s">
        <v>8733</v>
      </c>
      <c r="H5466" s="199" t="s">
        <v>3713</v>
      </c>
      <c r="I5466" s="197" t="s">
        <v>9050</v>
      </c>
      <c r="J5466" s="148" t="s">
        <v>63</v>
      </c>
      <c r="K5466" s="148" t="s">
        <v>64</v>
      </c>
      <c r="L5466" s="148" t="s">
        <v>65</v>
      </c>
      <c r="M5466" s="148" t="s">
        <v>66</v>
      </c>
      <c r="N5466" s="278">
        <v>46241.0</v>
      </c>
      <c r="O5466" s="148" t="s">
        <v>67</v>
      </c>
      <c r="P5466" s="148" t="s">
        <v>68</v>
      </c>
      <c r="Q5466" s="103"/>
      <c r="R5466" s="103"/>
      <c r="S5466" s="103"/>
      <c r="T5466" s="103"/>
      <c r="U5466" s="148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1">
        <f t="shared" si="1"/>
        <v>5461</v>
      </c>
      <c r="B5467" s="97" t="s">
        <v>9069</v>
      </c>
      <c r="C5467" s="82" t="str">
        <f>VLOOKUP($B$7:$B$5000,SUM!$L$6:$L$500,1,FALSE)</f>
        <v>#VALUE!</v>
      </c>
      <c r="D5467" s="190" t="s">
        <v>9049</v>
      </c>
      <c r="E5467" s="191" t="s">
        <v>58</v>
      </c>
      <c r="F5467" s="199" t="s">
        <v>8732</v>
      </c>
      <c r="G5467" s="199" t="s">
        <v>8733</v>
      </c>
      <c r="H5467" s="199" t="s">
        <v>3717</v>
      </c>
      <c r="I5467" s="197" t="s">
        <v>9050</v>
      </c>
      <c r="J5467" s="148" t="s">
        <v>63</v>
      </c>
      <c r="K5467" s="148" t="s">
        <v>64</v>
      </c>
      <c r="L5467" s="148" t="s">
        <v>65</v>
      </c>
      <c r="M5467" s="148" t="s">
        <v>66</v>
      </c>
      <c r="N5467" s="278">
        <v>46241.0</v>
      </c>
      <c r="O5467" s="148" t="s">
        <v>67</v>
      </c>
      <c r="P5467" s="148" t="s">
        <v>68</v>
      </c>
      <c r="Q5467" s="103"/>
      <c r="R5467" s="103"/>
      <c r="S5467" s="103"/>
      <c r="T5467" s="103"/>
      <c r="U5467" s="148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1">
        <f t="shared" si="1"/>
        <v>5462</v>
      </c>
      <c r="B5468" s="97" t="s">
        <v>9070</v>
      </c>
      <c r="C5468" s="82" t="str">
        <f>VLOOKUP($B$7:$B$5000,SUM!$L$6:$L$500,1,FALSE)</f>
        <v>#VALUE!</v>
      </c>
      <c r="D5468" s="190" t="s">
        <v>9049</v>
      </c>
      <c r="E5468" s="191" t="s">
        <v>58</v>
      </c>
      <c r="F5468" s="199" t="s">
        <v>8732</v>
      </c>
      <c r="G5468" s="199" t="s">
        <v>8733</v>
      </c>
      <c r="H5468" s="199" t="s">
        <v>3721</v>
      </c>
      <c r="I5468" s="197" t="s">
        <v>9050</v>
      </c>
      <c r="J5468" s="148" t="s">
        <v>63</v>
      </c>
      <c r="K5468" s="148" t="s">
        <v>64</v>
      </c>
      <c r="L5468" s="148" t="s">
        <v>65</v>
      </c>
      <c r="M5468" s="148" t="s">
        <v>66</v>
      </c>
      <c r="N5468" s="278">
        <v>46241.0</v>
      </c>
      <c r="O5468" s="148" t="s">
        <v>67</v>
      </c>
      <c r="P5468" s="148" t="s">
        <v>68</v>
      </c>
      <c r="Q5468" s="103"/>
      <c r="R5468" s="103"/>
      <c r="S5468" s="103"/>
      <c r="T5468" s="103"/>
      <c r="U5468" s="148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1">
        <f t="shared" si="1"/>
        <v>5463</v>
      </c>
      <c r="B5469" s="97" t="s">
        <v>9071</v>
      </c>
      <c r="C5469" s="82" t="str">
        <f>VLOOKUP($B$7:$B$5000,SUM!$L$6:$L$500,1,FALSE)</f>
        <v>#VALUE!</v>
      </c>
      <c r="D5469" s="190" t="s">
        <v>9049</v>
      </c>
      <c r="E5469" s="191" t="s">
        <v>58</v>
      </c>
      <c r="F5469" s="199" t="s">
        <v>8732</v>
      </c>
      <c r="G5469" s="199" t="s">
        <v>8733</v>
      </c>
      <c r="H5469" s="199" t="s">
        <v>3725</v>
      </c>
      <c r="I5469" s="197" t="s">
        <v>9050</v>
      </c>
      <c r="J5469" s="148" t="s">
        <v>63</v>
      </c>
      <c r="K5469" s="148" t="s">
        <v>64</v>
      </c>
      <c r="L5469" s="148" t="s">
        <v>65</v>
      </c>
      <c r="M5469" s="148" t="s">
        <v>66</v>
      </c>
      <c r="N5469" s="278">
        <v>46241.0</v>
      </c>
      <c r="O5469" s="148" t="s">
        <v>67</v>
      </c>
      <c r="P5469" s="148" t="s">
        <v>68</v>
      </c>
      <c r="Q5469" s="103"/>
      <c r="R5469" s="103"/>
      <c r="S5469" s="103"/>
      <c r="T5469" s="103"/>
      <c r="U5469" s="148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1">
        <f t="shared" si="1"/>
        <v>5464</v>
      </c>
      <c r="B5470" s="97" t="s">
        <v>9072</v>
      </c>
      <c r="C5470" s="82" t="str">
        <f>VLOOKUP($B$7:$B$5000,SUM!$L$6:$L$500,1,FALSE)</f>
        <v>#VALUE!</v>
      </c>
      <c r="D5470" s="190" t="s">
        <v>9049</v>
      </c>
      <c r="E5470" s="191" t="s">
        <v>58</v>
      </c>
      <c r="F5470" s="199" t="s">
        <v>8732</v>
      </c>
      <c r="G5470" s="199" t="s">
        <v>8733</v>
      </c>
      <c r="H5470" s="199" t="s">
        <v>3729</v>
      </c>
      <c r="I5470" s="197" t="s">
        <v>9050</v>
      </c>
      <c r="J5470" s="148" t="s">
        <v>63</v>
      </c>
      <c r="K5470" s="148" t="s">
        <v>64</v>
      </c>
      <c r="L5470" s="148" t="s">
        <v>65</v>
      </c>
      <c r="M5470" s="148" t="s">
        <v>66</v>
      </c>
      <c r="N5470" s="278">
        <v>46241.0</v>
      </c>
      <c r="O5470" s="148" t="s">
        <v>67</v>
      </c>
      <c r="P5470" s="148" t="s">
        <v>68</v>
      </c>
      <c r="Q5470" s="103"/>
      <c r="R5470" s="103"/>
      <c r="S5470" s="103"/>
      <c r="T5470" s="103"/>
      <c r="U5470" s="148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1">
        <f t="shared" si="1"/>
        <v>5465</v>
      </c>
      <c r="B5471" s="97" t="s">
        <v>9073</v>
      </c>
      <c r="C5471" s="82" t="str">
        <f>VLOOKUP($B$7:$B$5000,SUM!$L$6:$L$500,1,FALSE)</f>
        <v>#VALUE!</v>
      </c>
      <c r="D5471" s="190" t="s">
        <v>9049</v>
      </c>
      <c r="E5471" s="191" t="s">
        <v>58</v>
      </c>
      <c r="F5471" s="199" t="s">
        <v>8732</v>
      </c>
      <c r="G5471" s="199" t="s">
        <v>8733</v>
      </c>
      <c r="H5471" s="199" t="s">
        <v>3733</v>
      </c>
      <c r="I5471" s="197" t="s">
        <v>9050</v>
      </c>
      <c r="J5471" s="148" t="s">
        <v>63</v>
      </c>
      <c r="K5471" s="148" t="s">
        <v>64</v>
      </c>
      <c r="L5471" s="148" t="s">
        <v>65</v>
      </c>
      <c r="M5471" s="148" t="s">
        <v>66</v>
      </c>
      <c r="N5471" s="278">
        <v>46241.0</v>
      </c>
      <c r="O5471" s="148" t="s">
        <v>67</v>
      </c>
      <c r="P5471" s="148" t="s">
        <v>68</v>
      </c>
      <c r="Q5471" s="103"/>
      <c r="R5471" s="103"/>
      <c r="S5471" s="103"/>
      <c r="T5471" s="103"/>
      <c r="U5471" s="148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1">
        <f t="shared" si="1"/>
        <v>5466</v>
      </c>
      <c r="B5472" s="97" t="s">
        <v>9074</v>
      </c>
      <c r="C5472" s="82" t="str">
        <f>VLOOKUP($B$7:$B$5000,SUM!$L$6:$L$500,1,FALSE)</f>
        <v>#VALUE!</v>
      </c>
      <c r="D5472" s="190" t="s">
        <v>9049</v>
      </c>
      <c r="E5472" s="191" t="s">
        <v>58</v>
      </c>
      <c r="F5472" s="199" t="s">
        <v>8732</v>
      </c>
      <c r="G5472" s="199" t="s">
        <v>8733</v>
      </c>
      <c r="H5472" s="199" t="s">
        <v>2988</v>
      </c>
      <c r="I5472" s="197" t="s">
        <v>9050</v>
      </c>
      <c r="J5472" s="148" t="s">
        <v>63</v>
      </c>
      <c r="K5472" s="148" t="s">
        <v>64</v>
      </c>
      <c r="L5472" s="148" t="s">
        <v>65</v>
      </c>
      <c r="M5472" s="148" t="s">
        <v>66</v>
      </c>
      <c r="N5472" s="278">
        <v>46241.0</v>
      </c>
      <c r="O5472" s="148" t="s">
        <v>67</v>
      </c>
      <c r="P5472" s="148" t="s">
        <v>68</v>
      </c>
      <c r="Q5472" s="103"/>
      <c r="R5472" s="103"/>
      <c r="S5472" s="103"/>
      <c r="T5472" s="103"/>
      <c r="U5472" s="148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1">
        <f t="shared" si="1"/>
        <v>5467</v>
      </c>
      <c r="B5473" s="97" t="s">
        <v>9075</v>
      </c>
      <c r="C5473" s="82" t="str">
        <f>VLOOKUP($B$7:$B$5000,SUM!$L$6:$L$500,1,FALSE)</f>
        <v>#VALUE!</v>
      </c>
      <c r="D5473" s="190" t="s">
        <v>9049</v>
      </c>
      <c r="E5473" s="191" t="s">
        <v>58</v>
      </c>
      <c r="F5473" s="199" t="s">
        <v>8732</v>
      </c>
      <c r="G5473" s="199" t="s">
        <v>8733</v>
      </c>
      <c r="H5473" s="199" t="s">
        <v>2995</v>
      </c>
      <c r="I5473" s="197" t="s">
        <v>9050</v>
      </c>
      <c r="J5473" s="148" t="s">
        <v>63</v>
      </c>
      <c r="K5473" s="148" t="s">
        <v>64</v>
      </c>
      <c r="L5473" s="148" t="s">
        <v>65</v>
      </c>
      <c r="M5473" s="148" t="s">
        <v>66</v>
      </c>
      <c r="N5473" s="278">
        <v>46241.0</v>
      </c>
      <c r="O5473" s="148" t="s">
        <v>67</v>
      </c>
      <c r="P5473" s="148" t="s">
        <v>68</v>
      </c>
      <c r="Q5473" s="103"/>
      <c r="R5473" s="103"/>
      <c r="S5473" s="103"/>
      <c r="T5473" s="103"/>
      <c r="U5473" s="148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1">
        <f t="shared" si="1"/>
        <v>5468</v>
      </c>
      <c r="B5474" s="97" t="s">
        <v>9076</v>
      </c>
      <c r="C5474" s="82" t="str">
        <f>VLOOKUP($B$7:$B$5000,SUM!$L$6:$L$500,1,FALSE)</f>
        <v>#VALUE!</v>
      </c>
      <c r="D5474" s="190" t="s">
        <v>9049</v>
      </c>
      <c r="E5474" s="191" t="s">
        <v>58</v>
      </c>
      <c r="F5474" s="199" t="s">
        <v>8732</v>
      </c>
      <c r="G5474" s="199" t="s">
        <v>8733</v>
      </c>
      <c r="H5474" s="199" t="s">
        <v>1571</v>
      </c>
      <c r="I5474" s="197" t="s">
        <v>9050</v>
      </c>
      <c r="J5474" s="148" t="s">
        <v>63</v>
      </c>
      <c r="K5474" s="148" t="s">
        <v>64</v>
      </c>
      <c r="L5474" s="148" t="s">
        <v>65</v>
      </c>
      <c r="M5474" s="148" t="s">
        <v>66</v>
      </c>
      <c r="N5474" s="278">
        <v>46241.0</v>
      </c>
      <c r="O5474" s="148" t="s">
        <v>67</v>
      </c>
      <c r="P5474" s="148" t="s">
        <v>68</v>
      </c>
      <c r="Q5474" s="103"/>
      <c r="R5474" s="103"/>
      <c r="S5474" s="103"/>
      <c r="T5474" s="103"/>
      <c r="U5474" s="148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1">
        <f t="shared" si="1"/>
        <v>5469</v>
      </c>
      <c r="B5475" s="97" t="s">
        <v>9077</v>
      </c>
      <c r="C5475" s="82" t="str">
        <f>VLOOKUP($B$7:$B$5000,SUM!$L$6:$L$500,1,FALSE)</f>
        <v>#VALUE!</v>
      </c>
      <c r="D5475" s="190" t="s">
        <v>9049</v>
      </c>
      <c r="E5475" s="191" t="s">
        <v>58</v>
      </c>
      <c r="F5475" s="199" t="s">
        <v>8732</v>
      </c>
      <c r="G5475" s="199" t="s">
        <v>8733</v>
      </c>
      <c r="H5475" s="199" t="s">
        <v>1573</v>
      </c>
      <c r="I5475" s="197" t="s">
        <v>9050</v>
      </c>
      <c r="J5475" s="148" t="s">
        <v>63</v>
      </c>
      <c r="K5475" s="148" t="s">
        <v>64</v>
      </c>
      <c r="L5475" s="148" t="s">
        <v>65</v>
      </c>
      <c r="M5475" s="148" t="s">
        <v>66</v>
      </c>
      <c r="N5475" s="278">
        <v>46241.0</v>
      </c>
      <c r="O5475" s="148" t="s">
        <v>67</v>
      </c>
      <c r="P5475" s="148" t="s">
        <v>68</v>
      </c>
      <c r="Q5475" s="103"/>
      <c r="R5475" s="103"/>
      <c r="S5475" s="103"/>
      <c r="T5475" s="103"/>
      <c r="U5475" s="148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1">
        <f t="shared" si="1"/>
        <v>5470</v>
      </c>
      <c r="B5476" s="97" t="s">
        <v>9078</v>
      </c>
      <c r="C5476" s="82" t="str">
        <f>VLOOKUP($B$7:$B$5000,SUM!$L$6:$L$500,1,FALSE)</f>
        <v>#VALUE!</v>
      </c>
      <c r="D5476" s="190" t="s">
        <v>9049</v>
      </c>
      <c r="E5476" s="191" t="s">
        <v>58</v>
      </c>
      <c r="F5476" s="199" t="s">
        <v>8732</v>
      </c>
      <c r="G5476" s="199" t="s">
        <v>8733</v>
      </c>
      <c r="H5476" s="199" t="s">
        <v>1575</v>
      </c>
      <c r="I5476" s="197" t="s">
        <v>9050</v>
      </c>
      <c r="J5476" s="148" t="s">
        <v>63</v>
      </c>
      <c r="K5476" s="148" t="s">
        <v>64</v>
      </c>
      <c r="L5476" s="148" t="s">
        <v>65</v>
      </c>
      <c r="M5476" s="148" t="s">
        <v>66</v>
      </c>
      <c r="N5476" s="278">
        <v>46241.0</v>
      </c>
      <c r="O5476" s="148" t="s">
        <v>67</v>
      </c>
      <c r="P5476" s="148" t="s">
        <v>68</v>
      </c>
      <c r="Q5476" s="103"/>
      <c r="R5476" s="103"/>
      <c r="S5476" s="103"/>
      <c r="T5476" s="103"/>
      <c r="U5476" s="148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1">
        <f t="shared" si="1"/>
        <v>5471</v>
      </c>
      <c r="B5477" s="97" t="s">
        <v>9079</v>
      </c>
      <c r="C5477" s="82" t="str">
        <f>VLOOKUP($B$7:$B$5000,SUM!$L$6:$L$500,1,FALSE)</f>
        <v>#VALUE!</v>
      </c>
      <c r="D5477" s="190" t="s">
        <v>9049</v>
      </c>
      <c r="E5477" s="191" t="s">
        <v>58</v>
      </c>
      <c r="F5477" s="199" t="s">
        <v>8732</v>
      </c>
      <c r="G5477" s="199" t="s">
        <v>8733</v>
      </c>
      <c r="H5477" s="199" t="s">
        <v>1577</v>
      </c>
      <c r="I5477" s="197" t="s">
        <v>9050</v>
      </c>
      <c r="J5477" s="148" t="s">
        <v>63</v>
      </c>
      <c r="K5477" s="148" t="s">
        <v>64</v>
      </c>
      <c r="L5477" s="148" t="s">
        <v>65</v>
      </c>
      <c r="M5477" s="148" t="s">
        <v>66</v>
      </c>
      <c r="N5477" s="278">
        <v>46241.0</v>
      </c>
      <c r="O5477" s="148" t="s">
        <v>67</v>
      </c>
      <c r="P5477" s="148" t="s">
        <v>68</v>
      </c>
      <c r="Q5477" s="103"/>
      <c r="R5477" s="103"/>
      <c r="S5477" s="103"/>
      <c r="T5477" s="103"/>
      <c r="U5477" s="148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1">
        <f t="shared" si="1"/>
        <v>5472</v>
      </c>
      <c r="B5478" s="97" t="s">
        <v>9080</v>
      </c>
      <c r="C5478" s="82" t="str">
        <f>VLOOKUP($B$7:$B$5000,SUM!$L$6:$L$500,1,FALSE)</f>
        <v>#VALUE!</v>
      </c>
      <c r="D5478" s="271" t="s">
        <v>9081</v>
      </c>
      <c r="E5478" s="189" t="s">
        <v>58</v>
      </c>
      <c r="F5478" s="148" t="s">
        <v>8926</v>
      </c>
      <c r="G5478" s="189" t="s">
        <v>8364</v>
      </c>
      <c r="H5478" s="199" t="s">
        <v>9082</v>
      </c>
      <c r="I5478" s="270" t="s">
        <v>8929</v>
      </c>
      <c r="J5478" s="148" t="s">
        <v>63</v>
      </c>
      <c r="K5478" s="148" t="s">
        <v>9083</v>
      </c>
      <c r="L5478" s="148" t="s">
        <v>65</v>
      </c>
      <c r="M5478" s="148" t="s">
        <v>66</v>
      </c>
      <c r="N5478" s="285">
        <v>46244.0</v>
      </c>
      <c r="O5478" s="148" t="s">
        <v>67</v>
      </c>
      <c r="P5478" s="148" t="s">
        <v>68</v>
      </c>
      <c r="Q5478" s="103"/>
      <c r="R5478" s="103"/>
      <c r="S5478" s="103"/>
      <c r="T5478" s="103"/>
      <c r="U5478" s="148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1">
        <f t="shared" si="1"/>
        <v>5473</v>
      </c>
      <c r="B5479" s="97" t="s">
        <v>9084</v>
      </c>
      <c r="C5479" s="82" t="str">
        <f>VLOOKUP($B$7:$B$5000,SUM!$L$6:$L$500,1,FALSE)</f>
        <v>#VALUE!</v>
      </c>
      <c r="D5479" s="271" t="s">
        <v>9081</v>
      </c>
      <c r="E5479" s="191" t="s">
        <v>58</v>
      </c>
      <c r="F5479" s="148" t="s">
        <v>8926</v>
      </c>
      <c r="G5479" s="189" t="s">
        <v>8364</v>
      </c>
      <c r="H5479" s="199" t="s">
        <v>9085</v>
      </c>
      <c r="I5479" s="270" t="s">
        <v>8929</v>
      </c>
      <c r="J5479" s="148" t="s">
        <v>63</v>
      </c>
      <c r="K5479" s="148" t="s">
        <v>9083</v>
      </c>
      <c r="L5479" s="148" t="s">
        <v>65</v>
      </c>
      <c r="M5479" s="148" t="s">
        <v>66</v>
      </c>
      <c r="N5479" s="285">
        <v>46244.0</v>
      </c>
      <c r="O5479" s="148" t="s">
        <v>67</v>
      </c>
      <c r="P5479" s="148" t="s">
        <v>68</v>
      </c>
      <c r="Q5479" s="103"/>
      <c r="R5479" s="103"/>
      <c r="S5479" s="103"/>
      <c r="T5479" s="103"/>
      <c r="U5479" s="148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1">
        <f t="shared" si="1"/>
        <v>5474</v>
      </c>
      <c r="B5480" s="97" t="s">
        <v>9086</v>
      </c>
      <c r="C5480" s="82" t="str">
        <f>VLOOKUP($B$7:$B$5000,SUM!$L$6:$L$500,1,FALSE)</f>
        <v>#VALUE!</v>
      </c>
      <c r="D5480" s="271" t="s">
        <v>9081</v>
      </c>
      <c r="E5480" s="189" t="s">
        <v>58</v>
      </c>
      <c r="F5480" s="148" t="s">
        <v>8926</v>
      </c>
      <c r="G5480" s="189" t="s">
        <v>8364</v>
      </c>
      <c r="H5480" s="199" t="s">
        <v>9087</v>
      </c>
      <c r="I5480" s="270" t="s">
        <v>8929</v>
      </c>
      <c r="J5480" s="148" t="s">
        <v>63</v>
      </c>
      <c r="K5480" s="148" t="s">
        <v>9083</v>
      </c>
      <c r="L5480" s="148" t="s">
        <v>65</v>
      </c>
      <c r="M5480" s="148" t="s">
        <v>66</v>
      </c>
      <c r="N5480" s="285">
        <v>46244.0</v>
      </c>
      <c r="O5480" s="148" t="s">
        <v>67</v>
      </c>
      <c r="P5480" s="148" t="s">
        <v>68</v>
      </c>
      <c r="Q5480" s="103"/>
      <c r="R5480" s="103"/>
      <c r="S5480" s="103"/>
      <c r="T5480" s="103"/>
      <c r="U5480" s="148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1">
        <f t="shared" si="1"/>
        <v>5475</v>
      </c>
      <c r="B5481" s="97" t="s">
        <v>9088</v>
      </c>
      <c r="C5481" s="82" t="str">
        <f>VLOOKUP($B$7:$B$5000,SUM!$L$6:$L$500,1,FALSE)</f>
        <v>#VALUE!</v>
      </c>
      <c r="D5481" s="271" t="s">
        <v>9081</v>
      </c>
      <c r="E5481" s="191" t="s">
        <v>58</v>
      </c>
      <c r="F5481" s="148" t="s">
        <v>8926</v>
      </c>
      <c r="G5481" s="189" t="s">
        <v>8364</v>
      </c>
      <c r="H5481" s="199" t="s">
        <v>9089</v>
      </c>
      <c r="I5481" s="270" t="s">
        <v>8929</v>
      </c>
      <c r="J5481" s="148" t="s">
        <v>63</v>
      </c>
      <c r="K5481" s="148" t="s">
        <v>9083</v>
      </c>
      <c r="L5481" s="148" t="s">
        <v>65</v>
      </c>
      <c r="M5481" s="148" t="s">
        <v>66</v>
      </c>
      <c r="N5481" s="285">
        <v>46244.0</v>
      </c>
      <c r="O5481" s="148" t="s">
        <v>67</v>
      </c>
      <c r="P5481" s="148" t="s">
        <v>68</v>
      </c>
      <c r="Q5481" s="103"/>
      <c r="R5481" s="103"/>
      <c r="S5481" s="103"/>
      <c r="T5481" s="103"/>
      <c r="U5481" s="148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1">
        <f t="shared" si="1"/>
        <v>5476</v>
      </c>
      <c r="B5482" s="97" t="s">
        <v>9090</v>
      </c>
      <c r="C5482" s="82" t="str">
        <f>VLOOKUP($B$7:$B$5000,SUM!$L$6:$L$500,1,FALSE)</f>
        <v>#VALUE!</v>
      </c>
      <c r="D5482" s="271" t="s">
        <v>9081</v>
      </c>
      <c r="E5482" s="189" t="s">
        <v>58</v>
      </c>
      <c r="F5482" s="148" t="s">
        <v>8926</v>
      </c>
      <c r="G5482" s="189" t="s">
        <v>8364</v>
      </c>
      <c r="H5482" s="199" t="s">
        <v>9091</v>
      </c>
      <c r="I5482" s="270" t="s">
        <v>8929</v>
      </c>
      <c r="J5482" s="148" t="s">
        <v>63</v>
      </c>
      <c r="K5482" s="148" t="s">
        <v>9083</v>
      </c>
      <c r="L5482" s="148" t="s">
        <v>65</v>
      </c>
      <c r="M5482" s="148" t="s">
        <v>66</v>
      </c>
      <c r="N5482" s="285">
        <v>46244.0</v>
      </c>
      <c r="O5482" s="148" t="s">
        <v>67</v>
      </c>
      <c r="P5482" s="148" t="s">
        <v>68</v>
      </c>
      <c r="Q5482" s="103"/>
      <c r="R5482" s="103"/>
      <c r="S5482" s="103"/>
      <c r="T5482" s="103"/>
      <c r="U5482" s="148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1">
        <f t="shared" si="1"/>
        <v>5477</v>
      </c>
      <c r="B5483" s="97" t="s">
        <v>9092</v>
      </c>
      <c r="C5483" s="82" t="str">
        <f>VLOOKUP($B$7:$B$5000,SUM!$L$6:$L$500,1,FALSE)</f>
        <v>#VALUE!</v>
      </c>
      <c r="D5483" s="271" t="s">
        <v>9081</v>
      </c>
      <c r="E5483" s="191" t="s">
        <v>58</v>
      </c>
      <c r="F5483" s="148" t="s">
        <v>8926</v>
      </c>
      <c r="G5483" s="189" t="s">
        <v>8364</v>
      </c>
      <c r="H5483" s="199" t="s">
        <v>9093</v>
      </c>
      <c r="I5483" s="270" t="s">
        <v>8929</v>
      </c>
      <c r="J5483" s="148" t="s">
        <v>63</v>
      </c>
      <c r="K5483" s="148" t="s">
        <v>9083</v>
      </c>
      <c r="L5483" s="148" t="s">
        <v>65</v>
      </c>
      <c r="M5483" s="148" t="s">
        <v>66</v>
      </c>
      <c r="N5483" s="285">
        <v>46244.0</v>
      </c>
      <c r="O5483" s="148" t="s">
        <v>67</v>
      </c>
      <c r="P5483" s="148" t="s">
        <v>68</v>
      </c>
      <c r="Q5483" s="103"/>
      <c r="R5483" s="103"/>
      <c r="S5483" s="103"/>
      <c r="T5483" s="103"/>
      <c r="U5483" s="148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1">
        <f t="shared" si="1"/>
        <v>5478</v>
      </c>
      <c r="B5484" s="97" t="s">
        <v>9094</v>
      </c>
      <c r="C5484" s="82" t="str">
        <f>VLOOKUP($B$7:$B$5000,SUM!$L$6:$L$500,1,FALSE)</f>
        <v>#VALUE!</v>
      </c>
      <c r="D5484" s="271" t="s">
        <v>9081</v>
      </c>
      <c r="E5484" s="189" t="s">
        <v>58</v>
      </c>
      <c r="F5484" s="148" t="s">
        <v>8926</v>
      </c>
      <c r="G5484" s="189" t="s">
        <v>8364</v>
      </c>
      <c r="H5484" s="199" t="s">
        <v>9095</v>
      </c>
      <c r="I5484" s="270" t="s">
        <v>8929</v>
      </c>
      <c r="J5484" s="148" t="s">
        <v>63</v>
      </c>
      <c r="K5484" s="148" t="s">
        <v>9083</v>
      </c>
      <c r="L5484" s="148" t="s">
        <v>65</v>
      </c>
      <c r="M5484" s="148" t="s">
        <v>66</v>
      </c>
      <c r="N5484" s="285">
        <v>46244.0</v>
      </c>
      <c r="O5484" s="148" t="s">
        <v>67</v>
      </c>
      <c r="P5484" s="148" t="s">
        <v>68</v>
      </c>
      <c r="Q5484" s="103"/>
      <c r="R5484" s="103"/>
      <c r="S5484" s="103"/>
      <c r="T5484" s="103"/>
      <c r="U5484" s="148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1">
        <f t="shared" si="1"/>
        <v>5479</v>
      </c>
      <c r="B5485" s="97" t="s">
        <v>9096</v>
      </c>
      <c r="C5485" s="82" t="str">
        <f>VLOOKUP($B$7:$B$5000,SUM!$L$6:$L$500,1,FALSE)</f>
        <v>#VALUE!</v>
      </c>
      <c r="D5485" s="271" t="s">
        <v>9081</v>
      </c>
      <c r="E5485" s="191" t="s">
        <v>58</v>
      </c>
      <c r="F5485" s="148" t="s">
        <v>8926</v>
      </c>
      <c r="G5485" s="189" t="s">
        <v>8364</v>
      </c>
      <c r="H5485" s="199" t="s">
        <v>9097</v>
      </c>
      <c r="I5485" s="270" t="s">
        <v>8929</v>
      </c>
      <c r="J5485" s="148" t="s">
        <v>63</v>
      </c>
      <c r="K5485" s="148" t="s">
        <v>9083</v>
      </c>
      <c r="L5485" s="148" t="s">
        <v>65</v>
      </c>
      <c r="M5485" s="148" t="s">
        <v>66</v>
      </c>
      <c r="N5485" s="285">
        <v>46244.0</v>
      </c>
      <c r="O5485" s="148" t="s">
        <v>67</v>
      </c>
      <c r="P5485" s="148" t="s">
        <v>68</v>
      </c>
      <c r="Q5485" s="103"/>
      <c r="R5485" s="103"/>
      <c r="S5485" s="103"/>
      <c r="T5485" s="103"/>
      <c r="U5485" s="148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1">
        <f t="shared" si="1"/>
        <v>5480</v>
      </c>
      <c r="B5486" s="97" t="s">
        <v>9098</v>
      </c>
      <c r="C5486" s="82" t="str">
        <f>VLOOKUP($B$7:$B$5000,SUM!$L$6:$L$500,1,FALSE)</f>
        <v>#VALUE!</v>
      </c>
      <c r="D5486" s="271" t="s">
        <v>9081</v>
      </c>
      <c r="E5486" s="189" t="s">
        <v>58</v>
      </c>
      <c r="F5486" s="148" t="s">
        <v>8926</v>
      </c>
      <c r="G5486" s="189" t="s">
        <v>8364</v>
      </c>
      <c r="H5486" s="199" t="s">
        <v>9099</v>
      </c>
      <c r="I5486" s="270" t="s">
        <v>8929</v>
      </c>
      <c r="J5486" s="148" t="s">
        <v>63</v>
      </c>
      <c r="K5486" s="148" t="s">
        <v>9083</v>
      </c>
      <c r="L5486" s="148" t="s">
        <v>65</v>
      </c>
      <c r="M5486" s="148" t="s">
        <v>66</v>
      </c>
      <c r="N5486" s="285">
        <v>46244.0</v>
      </c>
      <c r="O5486" s="148" t="s">
        <v>67</v>
      </c>
      <c r="P5486" s="148" t="s">
        <v>68</v>
      </c>
      <c r="Q5486" s="103"/>
      <c r="R5486" s="103"/>
      <c r="S5486" s="103"/>
      <c r="T5486" s="103"/>
      <c r="U5486" s="148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1">
        <f t="shared" si="1"/>
        <v>5481</v>
      </c>
      <c r="B5487" s="97" t="s">
        <v>9100</v>
      </c>
      <c r="C5487" s="82" t="str">
        <f>VLOOKUP($B$7:$B$5000,SUM!$L$6:$L$500,1,FALSE)</f>
        <v>#VALUE!</v>
      </c>
      <c r="D5487" s="271" t="s">
        <v>9101</v>
      </c>
      <c r="E5487" s="191" t="s">
        <v>58</v>
      </c>
      <c r="F5487" s="148" t="s">
        <v>9039</v>
      </c>
      <c r="G5487" s="189" t="s">
        <v>8364</v>
      </c>
      <c r="H5487" s="199" t="s">
        <v>9082</v>
      </c>
      <c r="I5487" s="270" t="s">
        <v>9102</v>
      </c>
      <c r="J5487" s="148" t="s">
        <v>63</v>
      </c>
      <c r="K5487" s="148" t="s">
        <v>9083</v>
      </c>
      <c r="L5487" s="148" t="s">
        <v>65</v>
      </c>
      <c r="M5487" s="148" t="s">
        <v>66</v>
      </c>
      <c r="N5487" s="285">
        <v>46244.0</v>
      </c>
      <c r="O5487" s="148" t="s">
        <v>67</v>
      </c>
      <c r="P5487" s="148" t="s">
        <v>68</v>
      </c>
      <c r="Q5487" s="103"/>
      <c r="R5487" s="103"/>
      <c r="S5487" s="103"/>
      <c r="T5487" s="103"/>
      <c r="U5487" s="148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1">
        <f t="shared" si="1"/>
        <v>5482</v>
      </c>
      <c r="B5488" s="97" t="s">
        <v>9103</v>
      </c>
      <c r="C5488" s="82" t="str">
        <f>VLOOKUP($B$7:$B$5000,SUM!$L$6:$L$500,1,FALSE)</f>
        <v>#VALUE!</v>
      </c>
      <c r="D5488" s="271" t="s">
        <v>9101</v>
      </c>
      <c r="E5488" s="189" t="s">
        <v>58</v>
      </c>
      <c r="F5488" s="148" t="s">
        <v>9039</v>
      </c>
      <c r="G5488" s="189" t="s">
        <v>8364</v>
      </c>
      <c r="H5488" s="199" t="s">
        <v>9085</v>
      </c>
      <c r="I5488" s="270" t="s">
        <v>9104</v>
      </c>
      <c r="J5488" s="148" t="s">
        <v>63</v>
      </c>
      <c r="K5488" s="148" t="s">
        <v>9083</v>
      </c>
      <c r="L5488" s="148" t="s">
        <v>65</v>
      </c>
      <c r="M5488" s="148" t="s">
        <v>66</v>
      </c>
      <c r="N5488" s="285">
        <v>46244.0</v>
      </c>
      <c r="O5488" s="148" t="s">
        <v>67</v>
      </c>
      <c r="P5488" s="148" t="s">
        <v>68</v>
      </c>
      <c r="Q5488" s="103"/>
      <c r="R5488" s="103"/>
      <c r="S5488" s="103"/>
      <c r="T5488" s="103"/>
      <c r="U5488" s="148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1">
        <f t="shared" si="1"/>
        <v>5483</v>
      </c>
      <c r="B5489" s="97" t="s">
        <v>9105</v>
      </c>
      <c r="C5489" s="82" t="str">
        <f>VLOOKUP($B$7:$B$5000,SUM!$L$6:$L$500,1,FALSE)</f>
        <v>#VALUE!</v>
      </c>
      <c r="D5489" s="271" t="s">
        <v>9101</v>
      </c>
      <c r="E5489" s="191" t="s">
        <v>58</v>
      </c>
      <c r="F5489" s="148" t="s">
        <v>9039</v>
      </c>
      <c r="G5489" s="189" t="s">
        <v>8364</v>
      </c>
      <c r="H5489" s="199" t="s">
        <v>9087</v>
      </c>
      <c r="I5489" s="270" t="s">
        <v>9104</v>
      </c>
      <c r="J5489" s="148" t="s">
        <v>63</v>
      </c>
      <c r="K5489" s="148" t="s">
        <v>9083</v>
      </c>
      <c r="L5489" s="148" t="s">
        <v>65</v>
      </c>
      <c r="M5489" s="148" t="s">
        <v>66</v>
      </c>
      <c r="N5489" s="285">
        <v>46244.0</v>
      </c>
      <c r="O5489" s="148" t="s">
        <v>67</v>
      </c>
      <c r="P5489" s="148" t="s">
        <v>68</v>
      </c>
      <c r="Q5489" s="103"/>
      <c r="R5489" s="103"/>
      <c r="S5489" s="103"/>
      <c r="T5489" s="103"/>
      <c r="U5489" s="148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1">
        <f t="shared" si="1"/>
        <v>5484</v>
      </c>
      <c r="B5490" s="97" t="s">
        <v>9106</v>
      </c>
      <c r="C5490" s="82" t="str">
        <f>VLOOKUP($B$7:$B$5000,SUM!$L$6:$L$500,1,FALSE)</f>
        <v>#VALUE!</v>
      </c>
      <c r="D5490" s="271" t="s">
        <v>9101</v>
      </c>
      <c r="E5490" s="189" t="s">
        <v>58</v>
      </c>
      <c r="F5490" s="148" t="s">
        <v>9039</v>
      </c>
      <c r="G5490" s="189" t="s">
        <v>8364</v>
      </c>
      <c r="H5490" s="199" t="s">
        <v>9089</v>
      </c>
      <c r="I5490" s="270" t="s">
        <v>9104</v>
      </c>
      <c r="J5490" s="148" t="s">
        <v>63</v>
      </c>
      <c r="K5490" s="148" t="s">
        <v>9083</v>
      </c>
      <c r="L5490" s="148" t="s">
        <v>65</v>
      </c>
      <c r="M5490" s="148" t="s">
        <v>66</v>
      </c>
      <c r="N5490" s="285">
        <v>46244.0</v>
      </c>
      <c r="O5490" s="148" t="s">
        <v>67</v>
      </c>
      <c r="P5490" s="148" t="s">
        <v>68</v>
      </c>
      <c r="Q5490" s="103"/>
      <c r="R5490" s="103"/>
      <c r="S5490" s="103"/>
      <c r="T5490" s="103"/>
      <c r="U5490" s="148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1">
        <f t="shared" si="1"/>
        <v>5485</v>
      </c>
      <c r="B5491" s="97" t="s">
        <v>9107</v>
      </c>
      <c r="C5491" s="82" t="str">
        <f>VLOOKUP($B$7:$B$5000,SUM!$L$6:$L$500,1,FALSE)</f>
        <v>#VALUE!</v>
      </c>
      <c r="D5491" s="271" t="s">
        <v>9101</v>
      </c>
      <c r="E5491" s="191" t="s">
        <v>58</v>
      </c>
      <c r="F5491" s="148" t="s">
        <v>9039</v>
      </c>
      <c r="G5491" s="189" t="s">
        <v>8364</v>
      </c>
      <c r="H5491" s="199" t="s">
        <v>9091</v>
      </c>
      <c r="I5491" s="270" t="s">
        <v>9040</v>
      </c>
      <c r="J5491" s="148" t="s">
        <v>63</v>
      </c>
      <c r="K5491" s="148" t="s">
        <v>9083</v>
      </c>
      <c r="L5491" s="148" t="s">
        <v>65</v>
      </c>
      <c r="M5491" s="148" t="s">
        <v>66</v>
      </c>
      <c r="N5491" s="285">
        <v>46244.0</v>
      </c>
      <c r="O5491" s="148" t="s">
        <v>67</v>
      </c>
      <c r="P5491" s="148" t="s">
        <v>68</v>
      </c>
      <c r="Q5491" s="103"/>
      <c r="R5491" s="103"/>
      <c r="S5491" s="103"/>
      <c r="T5491" s="103"/>
      <c r="U5491" s="148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1">
        <f t="shared" si="1"/>
        <v>5486</v>
      </c>
      <c r="B5492" s="97" t="s">
        <v>9108</v>
      </c>
      <c r="C5492" s="82" t="str">
        <f>VLOOKUP($B$7:$B$5000,SUM!$L$6:$L$500,1,FALSE)</f>
        <v>#VALUE!</v>
      </c>
      <c r="D5492" s="271" t="s">
        <v>9101</v>
      </c>
      <c r="E5492" s="189" t="s">
        <v>58</v>
      </c>
      <c r="F5492" s="148" t="s">
        <v>9039</v>
      </c>
      <c r="G5492" s="189" t="s">
        <v>8364</v>
      </c>
      <c r="H5492" s="199" t="s">
        <v>9093</v>
      </c>
      <c r="I5492" s="270" t="s">
        <v>9104</v>
      </c>
      <c r="J5492" s="148" t="s">
        <v>63</v>
      </c>
      <c r="K5492" s="148" t="s">
        <v>9083</v>
      </c>
      <c r="L5492" s="148" t="s">
        <v>65</v>
      </c>
      <c r="M5492" s="148" t="s">
        <v>66</v>
      </c>
      <c r="N5492" s="285">
        <v>46244.0</v>
      </c>
      <c r="O5492" s="148" t="s">
        <v>67</v>
      </c>
      <c r="P5492" s="148" t="s">
        <v>68</v>
      </c>
      <c r="Q5492" s="103"/>
      <c r="R5492" s="103"/>
      <c r="S5492" s="103"/>
      <c r="T5492" s="103"/>
      <c r="U5492" s="148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1">
        <f t="shared" si="1"/>
        <v>5487</v>
      </c>
      <c r="B5493" s="97" t="s">
        <v>9109</v>
      </c>
      <c r="C5493" s="82" t="str">
        <f>VLOOKUP($B$7:$B$5000,SUM!$L$6:$L$500,1,FALSE)</f>
        <v>#VALUE!</v>
      </c>
      <c r="D5493" s="271" t="s">
        <v>9101</v>
      </c>
      <c r="E5493" s="191" t="s">
        <v>58</v>
      </c>
      <c r="F5493" s="148" t="s">
        <v>9039</v>
      </c>
      <c r="G5493" s="189" t="s">
        <v>8364</v>
      </c>
      <c r="H5493" s="199" t="s">
        <v>9095</v>
      </c>
      <c r="I5493" s="270" t="s">
        <v>9040</v>
      </c>
      <c r="J5493" s="148" t="s">
        <v>63</v>
      </c>
      <c r="K5493" s="148" t="s">
        <v>9083</v>
      </c>
      <c r="L5493" s="148" t="s">
        <v>65</v>
      </c>
      <c r="M5493" s="148" t="s">
        <v>66</v>
      </c>
      <c r="N5493" s="285">
        <v>46244.0</v>
      </c>
      <c r="O5493" s="148" t="s">
        <v>67</v>
      </c>
      <c r="P5493" s="148" t="s">
        <v>68</v>
      </c>
      <c r="Q5493" s="103"/>
      <c r="R5493" s="103"/>
      <c r="S5493" s="103"/>
      <c r="T5493" s="103"/>
      <c r="U5493" s="148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1">
        <f t="shared" si="1"/>
        <v>5488</v>
      </c>
      <c r="B5494" s="97" t="s">
        <v>9110</v>
      </c>
      <c r="C5494" s="82" t="str">
        <f>VLOOKUP($B$7:$B$5000,SUM!$L$6:$L$500,1,FALSE)</f>
        <v>#VALUE!</v>
      </c>
      <c r="D5494" s="271" t="s">
        <v>9101</v>
      </c>
      <c r="E5494" s="189" t="s">
        <v>58</v>
      </c>
      <c r="F5494" s="148" t="s">
        <v>9039</v>
      </c>
      <c r="G5494" s="189" t="s">
        <v>8364</v>
      </c>
      <c r="H5494" s="199" t="s">
        <v>9097</v>
      </c>
      <c r="I5494" s="270" t="s">
        <v>9040</v>
      </c>
      <c r="J5494" s="148" t="s">
        <v>63</v>
      </c>
      <c r="K5494" s="148" t="s">
        <v>9083</v>
      </c>
      <c r="L5494" s="148" t="s">
        <v>65</v>
      </c>
      <c r="M5494" s="148" t="s">
        <v>66</v>
      </c>
      <c r="N5494" s="285">
        <v>46244.0</v>
      </c>
      <c r="O5494" s="148" t="s">
        <v>67</v>
      </c>
      <c r="P5494" s="148" t="s">
        <v>68</v>
      </c>
      <c r="Q5494" s="103"/>
      <c r="R5494" s="103"/>
      <c r="S5494" s="103"/>
      <c r="T5494" s="103"/>
      <c r="U5494" s="148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1">
        <f t="shared" si="1"/>
        <v>5489</v>
      </c>
      <c r="B5495" s="97" t="s">
        <v>9111</v>
      </c>
      <c r="C5495" s="82" t="str">
        <f>VLOOKUP($B$7:$B$5000,SUM!$L$6:$L$500,1,FALSE)</f>
        <v>#VALUE!</v>
      </c>
      <c r="D5495" s="271" t="s">
        <v>9101</v>
      </c>
      <c r="E5495" s="191" t="s">
        <v>58</v>
      </c>
      <c r="F5495" s="148" t="s">
        <v>9039</v>
      </c>
      <c r="G5495" s="189" t="s">
        <v>8364</v>
      </c>
      <c r="H5495" s="199" t="s">
        <v>9099</v>
      </c>
      <c r="I5495" s="270" t="s">
        <v>9104</v>
      </c>
      <c r="J5495" s="148" t="s">
        <v>63</v>
      </c>
      <c r="K5495" s="148" t="s">
        <v>9083</v>
      </c>
      <c r="L5495" s="148" t="s">
        <v>65</v>
      </c>
      <c r="M5495" s="148" t="s">
        <v>66</v>
      </c>
      <c r="N5495" s="285">
        <v>46244.0</v>
      </c>
      <c r="O5495" s="148" t="s">
        <v>67</v>
      </c>
      <c r="P5495" s="148" t="s">
        <v>68</v>
      </c>
      <c r="Q5495" s="103"/>
      <c r="R5495" s="103"/>
      <c r="S5495" s="103"/>
      <c r="T5495" s="103"/>
      <c r="U5495" s="148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1">
        <f t="shared" si="1"/>
        <v>5490</v>
      </c>
      <c r="B5496" s="97" t="s">
        <v>9112</v>
      </c>
      <c r="C5496" s="82" t="str">
        <f>VLOOKUP($B$7:$B$5000,SUM!$L$6:$L$500,1,FALSE)</f>
        <v>#VALUE!</v>
      </c>
      <c r="D5496" s="292" t="s">
        <v>9113</v>
      </c>
      <c r="E5496" s="191" t="s">
        <v>58</v>
      </c>
      <c r="F5496" s="199" t="s">
        <v>8479</v>
      </c>
      <c r="G5496" s="191" t="s">
        <v>5443</v>
      </c>
      <c r="H5496" s="199" t="s">
        <v>9114</v>
      </c>
      <c r="I5496" s="197" t="s">
        <v>8607</v>
      </c>
      <c r="J5496" s="148" t="s">
        <v>63</v>
      </c>
      <c r="K5496" s="148" t="s">
        <v>64</v>
      </c>
      <c r="L5496" s="148" t="s">
        <v>65</v>
      </c>
      <c r="M5496" s="148" t="s">
        <v>66</v>
      </c>
      <c r="N5496" s="285">
        <v>46245.0</v>
      </c>
      <c r="O5496" s="148" t="s">
        <v>67</v>
      </c>
      <c r="P5496" s="148" t="s">
        <v>68</v>
      </c>
      <c r="Q5496" s="103"/>
      <c r="R5496" s="103"/>
      <c r="S5496" s="103"/>
      <c r="T5496" s="103"/>
      <c r="U5496" s="148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1">
        <f t="shared" si="1"/>
        <v>5491</v>
      </c>
      <c r="B5497" s="97" t="s">
        <v>9115</v>
      </c>
      <c r="C5497" s="82" t="str">
        <f>VLOOKUP($B$7:$B$5000,SUM!$L$6:$L$500,1,FALSE)</f>
        <v>#VALUE!</v>
      </c>
      <c r="D5497" s="292" t="s">
        <v>9113</v>
      </c>
      <c r="E5497" s="191" t="s">
        <v>58</v>
      </c>
      <c r="F5497" s="199" t="s">
        <v>8479</v>
      </c>
      <c r="G5497" s="191" t="s">
        <v>5443</v>
      </c>
      <c r="H5497" s="199" t="s">
        <v>9116</v>
      </c>
      <c r="I5497" s="197" t="s">
        <v>8607</v>
      </c>
      <c r="J5497" s="148" t="s">
        <v>63</v>
      </c>
      <c r="K5497" s="148" t="s">
        <v>64</v>
      </c>
      <c r="L5497" s="148" t="s">
        <v>65</v>
      </c>
      <c r="M5497" s="148" t="s">
        <v>66</v>
      </c>
      <c r="N5497" s="285">
        <v>46245.0</v>
      </c>
      <c r="O5497" s="148" t="s">
        <v>67</v>
      </c>
      <c r="P5497" s="148" t="s">
        <v>68</v>
      </c>
      <c r="Q5497" s="103"/>
      <c r="R5497" s="103"/>
      <c r="S5497" s="103"/>
      <c r="T5497" s="103"/>
      <c r="U5497" s="148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1">
        <f t="shared" si="1"/>
        <v>5492</v>
      </c>
      <c r="B5498" s="97" t="s">
        <v>9117</v>
      </c>
      <c r="C5498" s="82" t="str">
        <f>VLOOKUP($B$7:$B$5000,SUM!$L$6:$L$500,1,FALSE)</f>
        <v>#VALUE!</v>
      </c>
      <c r="D5498" s="292" t="s">
        <v>9113</v>
      </c>
      <c r="E5498" s="191" t="s">
        <v>58</v>
      </c>
      <c r="F5498" s="199" t="s">
        <v>8479</v>
      </c>
      <c r="G5498" s="191" t="s">
        <v>5443</v>
      </c>
      <c r="H5498" s="199" t="s">
        <v>9118</v>
      </c>
      <c r="I5498" s="197" t="s">
        <v>8607</v>
      </c>
      <c r="J5498" s="148" t="s">
        <v>63</v>
      </c>
      <c r="K5498" s="148" t="s">
        <v>64</v>
      </c>
      <c r="L5498" s="148" t="s">
        <v>65</v>
      </c>
      <c r="M5498" s="148" t="s">
        <v>66</v>
      </c>
      <c r="N5498" s="285">
        <v>46245.0</v>
      </c>
      <c r="O5498" s="148" t="s">
        <v>67</v>
      </c>
      <c r="P5498" s="148" t="s">
        <v>68</v>
      </c>
      <c r="Q5498" s="103"/>
      <c r="R5498" s="103"/>
      <c r="S5498" s="103"/>
      <c r="T5498" s="103"/>
      <c r="U5498" s="148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1">
        <f t="shared" si="1"/>
        <v>5493</v>
      </c>
      <c r="B5499" s="97" t="s">
        <v>9119</v>
      </c>
      <c r="C5499" s="82" t="str">
        <f>VLOOKUP($B$7:$B$5000,SUM!$L$6:$L$500,1,FALSE)</f>
        <v>#VALUE!</v>
      </c>
      <c r="D5499" s="292" t="s">
        <v>9113</v>
      </c>
      <c r="E5499" s="191" t="s">
        <v>58</v>
      </c>
      <c r="F5499" s="199" t="s">
        <v>8479</v>
      </c>
      <c r="G5499" s="191" t="s">
        <v>5443</v>
      </c>
      <c r="H5499" s="199" t="s">
        <v>9120</v>
      </c>
      <c r="I5499" s="197" t="s">
        <v>8607</v>
      </c>
      <c r="J5499" s="148" t="s">
        <v>63</v>
      </c>
      <c r="K5499" s="148" t="s">
        <v>64</v>
      </c>
      <c r="L5499" s="148" t="s">
        <v>65</v>
      </c>
      <c r="M5499" s="148" t="s">
        <v>66</v>
      </c>
      <c r="N5499" s="285">
        <v>46245.0</v>
      </c>
      <c r="O5499" s="148" t="s">
        <v>67</v>
      </c>
      <c r="P5499" s="148" t="s">
        <v>68</v>
      </c>
      <c r="Q5499" s="103"/>
      <c r="R5499" s="103"/>
      <c r="S5499" s="103"/>
      <c r="T5499" s="103"/>
      <c r="U5499" s="148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1">
        <f t="shared" si="1"/>
        <v>5494</v>
      </c>
      <c r="B5500" s="97" t="s">
        <v>9121</v>
      </c>
      <c r="C5500" s="82" t="str">
        <f>VLOOKUP($B$7:$B$5000,SUM!$L$6:$L$500,1,FALSE)</f>
        <v>#VALUE!</v>
      </c>
      <c r="D5500" s="292" t="s">
        <v>9113</v>
      </c>
      <c r="E5500" s="191" t="s">
        <v>58</v>
      </c>
      <c r="F5500" s="199" t="s">
        <v>8479</v>
      </c>
      <c r="G5500" s="191" t="s">
        <v>5443</v>
      </c>
      <c r="H5500" s="199" t="s">
        <v>9122</v>
      </c>
      <c r="I5500" s="197" t="s">
        <v>8607</v>
      </c>
      <c r="J5500" s="148" t="s">
        <v>63</v>
      </c>
      <c r="K5500" s="148" t="s">
        <v>64</v>
      </c>
      <c r="L5500" s="148" t="s">
        <v>65</v>
      </c>
      <c r="M5500" s="148" t="s">
        <v>66</v>
      </c>
      <c r="N5500" s="285">
        <v>46245.0</v>
      </c>
      <c r="O5500" s="148" t="s">
        <v>67</v>
      </c>
      <c r="P5500" s="148" t="s">
        <v>68</v>
      </c>
      <c r="Q5500" s="103"/>
      <c r="R5500" s="103"/>
      <c r="S5500" s="103"/>
      <c r="T5500" s="103"/>
      <c r="U5500" s="148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1">
        <f t="shared" si="1"/>
        <v>5495</v>
      </c>
      <c r="B5501" s="97" t="s">
        <v>9123</v>
      </c>
      <c r="C5501" s="82" t="str">
        <f>VLOOKUP($B$7:$B$5000,SUM!$L$6:$L$500,1,FALSE)</f>
        <v>#VALUE!</v>
      </c>
      <c r="D5501" s="292" t="s">
        <v>9113</v>
      </c>
      <c r="E5501" s="191" t="s">
        <v>58</v>
      </c>
      <c r="F5501" s="199" t="s">
        <v>8479</v>
      </c>
      <c r="G5501" s="191" t="s">
        <v>5443</v>
      </c>
      <c r="H5501" s="199" t="s">
        <v>9124</v>
      </c>
      <c r="I5501" s="197" t="s">
        <v>8607</v>
      </c>
      <c r="J5501" s="148" t="s">
        <v>63</v>
      </c>
      <c r="K5501" s="148" t="s">
        <v>64</v>
      </c>
      <c r="L5501" s="148" t="s">
        <v>65</v>
      </c>
      <c r="M5501" s="148" t="s">
        <v>66</v>
      </c>
      <c r="N5501" s="285">
        <v>46245.0</v>
      </c>
      <c r="O5501" s="148" t="s">
        <v>67</v>
      </c>
      <c r="P5501" s="148" t="s">
        <v>68</v>
      </c>
      <c r="Q5501" s="103"/>
      <c r="R5501" s="103"/>
      <c r="S5501" s="103"/>
      <c r="T5501" s="103"/>
      <c r="U5501" s="148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1">
        <f t="shared" si="1"/>
        <v>5496</v>
      </c>
      <c r="B5502" s="97" t="s">
        <v>9125</v>
      </c>
      <c r="C5502" s="82" t="str">
        <f>VLOOKUP($B$7:$B$5000,SUM!$L$6:$L$500,1,FALSE)</f>
        <v>#VALUE!</v>
      </c>
      <c r="D5502" s="292" t="s">
        <v>9113</v>
      </c>
      <c r="E5502" s="191" t="s">
        <v>58</v>
      </c>
      <c r="F5502" s="199" t="s">
        <v>8479</v>
      </c>
      <c r="G5502" s="191" t="s">
        <v>5443</v>
      </c>
      <c r="H5502" s="199" t="s">
        <v>9126</v>
      </c>
      <c r="I5502" s="197" t="s">
        <v>8607</v>
      </c>
      <c r="J5502" s="148" t="s">
        <v>63</v>
      </c>
      <c r="K5502" s="148" t="s">
        <v>64</v>
      </c>
      <c r="L5502" s="148" t="s">
        <v>65</v>
      </c>
      <c r="M5502" s="148" t="s">
        <v>66</v>
      </c>
      <c r="N5502" s="285">
        <v>46245.0</v>
      </c>
      <c r="O5502" s="148" t="s">
        <v>67</v>
      </c>
      <c r="P5502" s="148" t="s">
        <v>68</v>
      </c>
      <c r="Q5502" s="103"/>
      <c r="R5502" s="103"/>
      <c r="S5502" s="103"/>
      <c r="T5502" s="103"/>
      <c r="U5502" s="148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1">
        <f t="shared" si="1"/>
        <v>5497</v>
      </c>
      <c r="B5503" s="97" t="s">
        <v>9127</v>
      </c>
      <c r="C5503" s="82" t="str">
        <f>VLOOKUP($B$7:$B$5000,SUM!$L$6:$L$500,1,FALSE)</f>
        <v>#VALUE!</v>
      </c>
      <c r="D5503" s="292" t="s">
        <v>9113</v>
      </c>
      <c r="E5503" s="191" t="s">
        <v>58</v>
      </c>
      <c r="F5503" s="199" t="s">
        <v>8479</v>
      </c>
      <c r="G5503" s="191" t="s">
        <v>5443</v>
      </c>
      <c r="H5503" s="199" t="s">
        <v>9128</v>
      </c>
      <c r="I5503" s="270" t="s">
        <v>8607</v>
      </c>
      <c r="J5503" s="148" t="s">
        <v>63</v>
      </c>
      <c r="K5503" s="148" t="s">
        <v>64</v>
      </c>
      <c r="L5503" s="148" t="s">
        <v>65</v>
      </c>
      <c r="M5503" s="148" t="s">
        <v>66</v>
      </c>
      <c r="N5503" s="285">
        <v>46245.0</v>
      </c>
      <c r="O5503" s="148" t="s">
        <v>67</v>
      </c>
      <c r="P5503" s="148" t="s">
        <v>68</v>
      </c>
      <c r="Q5503" s="103"/>
      <c r="R5503" s="103"/>
      <c r="S5503" s="103"/>
      <c r="T5503" s="103"/>
      <c r="U5503" s="148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1">
        <f t="shared" si="1"/>
        <v>5498</v>
      </c>
      <c r="B5504" s="97" t="s">
        <v>9129</v>
      </c>
      <c r="C5504" s="82" t="str">
        <f>VLOOKUP($B$7:$B$5000,SUM!$L$6:$L$500,1,FALSE)</f>
        <v>#VALUE!</v>
      </c>
      <c r="D5504" s="292" t="s">
        <v>9113</v>
      </c>
      <c r="E5504" s="191" t="s">
        <v>58</v>
      </c>
      <c r="F5504" s="199" t="s">
        <v>8479</v>
      </c>
      <c r="G5504" s="191" t="s">
        <v>5443</v>
      </c>
      <c r="H5504" s="199" t="s">
        <v>9130</v>
      </c>
      <c r="I5504" s="197" t="s">
        <v>8607</v>
      </c>
      <c r="J5504" s="148" t="s">
        <v>63</v>
      </c>
      <c r="K5504" s="148" t="s">
        <v>64</v>
      </c>
      <c r="L5504" s="148" t="s">
        <v>65</v>
      </c>
      <c r="M5504" s="148" t="s">
        <v>66</v>
      </c>
      <c r="N5504" s="285">
        <v>46245.0</v>
      </c>
      <c r="O5504" s="148" t="s">
        <v>67</v>
      </c>
      <c r="P5504" s="148" t="s">
        <v>68</v>
      </c>
      <c r="Q5504" s="103"/>
      <c r="R5504" s="103"/>
      <c r="S5504" s="103"/>
      <c r="T5504" s="103"/>
      <c r="U5504" s="148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1">
        <f t="shared" si="1"/>
        <v>5499</v>
      </c>
      <c r="B5505" s="97" t="s">
        <v>9131</v>
      </c>
      <c r="C5505" s="82" t="str">
        <f>VLOOKUP($B$7:$B$5000,SUM!$L$6:$L$500,1,FALSE)</f>
        <v>#VALUE!</v>
      </c>
      <c r="D5505" s="292" t="s">
        <v>9113</v>
      </c>
      <c r="E5505" s="191" t="s">
        <v>58</v>
      </c>
      <c r="F5505" s="199" t="s">
        <v>8479</v>
      </c>
      <c r="G5505" s="191" t="s">
        <v>5443</v>
      </c>
      <c r="H5505" s="199" t="s">
        <v>9132</v>
      </c>
      <c r="I5505" s="197" t="s">
        <v>8607</v>
      </c>
      <c r="J5505" s="148" t="s">
        <v>63</v>
      </c>
      <c r="K5505" s="148" t="s">
        <v>64</v>
      </c>
      <c r="L5505" s="148" t="s">
        <v>65</v>
      </c>
      <c r="M5505" s="148" t="s">
        <v>66</v>
      </c>
      <c r="N5505" s="285">
        <v>46245.0</v>
      </c>
      <c r="O5505" s="148" t="s">
        <v>67</v>
      </c>
      <c r="P5505" s="148" t="s">
        <v>68</v>
      </c>
      <c r="Q5505" s="103"/>
      <c r="R5505" s="103"/>
      <c r="S5505" s="103"/>
      <c r="T5505" s="103"/>
      <c r="U5505" s="148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1">
        <f t="shared" si="1"/>
        <v>5500</v>
      </c>
      <c r="B5506" s="97" t="s">
        <v>9133</v>
      </c>
      <c r="C5506" s="82" t="str">
        <f>VLOOKUP($B$7:$B$5000,SUM!$L$6:$L$500,1,FALSE)</f>
        <v>#VALUE!</v>
      </c>
      <c r="D5506" s="292" t="s">
        <v>9113</v>
      </c>
      <c r="E5506" s="191" t="s">
        <v>58</v>
      </c>
      <c r="F5506" s="199" t="s">
        <v>8479</v>
      </c>
      <c r="G5506" s="191" t="s">
        <v>5443</v>
      </c>
      <c r="H5506" s="199" t="s">
        <v>9134</v>
      </c>
      <c r="I5506" s="197" t="s">
        <v>8607</v>
      </c>
      <c r="J5506" s="148" t="s">
        <v>63</v>
      </c>
      <c r="K5506" s="148" t="s">
        <v>64</v>
      </c>
      <c r="L5506" s="148" t="s">
        <v>65</v>
      </c>
      <c r="M5506" s="148" t="s">
        <v>66</v>
      </c>
      <c r="N5506" s="285">
        <v>46245.0</v>
      </c>
      <c r="O5506" s="148" t="s">
        <v>67</v>
      </c>
      <c r="P5506" s="148" t="s">
        <v>68</v>
      </c>
      <c r="Q5506" s="103"/>
      <c r="R5506" s="103"/>
      <c r="S5506" s="103"/>
      <c r="T5506" s="103"/>
      <c r="U5506" s="148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1">
        <f t="shared" si="1"/>
        <v>5501</v>
      </c>
      <c r="B5507" s="97" t="s">
        <v>9135</v>
      </c>
      <c r="C5507" s="82" t="str">
        <f>VLOOKUP($B$7:$B$5000,SUM!$L$6:$L$500,1,FALSE)</f>
        <v>#VALUE!</v>
      </c>
      <c r="D5507" s="292" t="s">
        <v>9113</v>
      </c>
      <c r="E5507" s="191" t="s">
        <v>58</v>
      </c>
      <c r="F5507" s="199" t="s">
        <v>8479</v>
      </c>
      <c r="G5507" s="191" t="s">
        <v>5443</v>
      </c>
      <c r="H5507" s="199" t="s">
        <v>9136</v>
      </c>
      <c r="I5507" s="197" t="s">
        <v>8607</v>
      </c>
      <c r="J5507" s="148" t="s">
        <v>63</v>
      </c>
      <c r="K5507" s="148" t="s">
        <v>64</v>
      </c>
      <c r="L5507" s="148" t="s">
        <v>65</v>
      </c>
      <c r="M5507" s="148" t="s">
        <v>66</v>
      </c>
      <c r="N5507" s="285">
        <v>46245.0</v>
      </c>
      <c r="O5507" s="148" t="s">
        <v>67</v>
      </c>
      <c r="P5507" s="148" t="s">
        <v>68</v>
      </c>
      <c r="Q5507" s="103"/>
      <c r="R5507" s="103"/>
      <c r="S5507" s="103"/>
      <c r="T5507" s="103"/>
      <c r="U5507" s="148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1">
        <f t="shared" si="1"/>
        <v>5502</v>
      </c>
      <c r="B5508" s="97" t="s">
        <v>9137</v>
      </c>
      <c r="C5508" s="82" t="str">
        <f>VLOOKUP($B$7:$B$5000,SUM!$L$6:$L$500,1,FALSE)</f>
        <v>#VALUE!</v>
      </c>
      <c r="D5508" s="292" t="s">
        <v>9113</v>
      </c>
      <c r="E5508" s="191" t="s">
        <v>58</v>
      </c>
      <c r="F5508" s="199" t="s">
        <v>8479</v>
      </c>
      <c r="G5508" s="191" t="s">
        <v>5443</v>
      </c>
      <c r="H5508" s="199" t="s">
        <v>9138</v>
      </c>
      <c r="I5508" s="197" t="s">
        <v>8607</v>
      </c>
      <c r="J5508" s="148" t="s">
        <v>63</v>
      </c>
      <c r="K5508" s="148" t="s">
        <v>64</v>
      </c>
      <c r="L5508" s="148" t="s">
        <v>65</v>
      </c>
      <c r="M5508" s="148" t="s">
        <v>66</v>
      </c>
      <c r="N5508" s="285">
        <v>46245.0</v>
      </c>
      <c r="O5508" s="148" t="s">
        <v>67</v>
      </c>
      <c r="P5508" s="148" t="s">
        <v>68</v>
      </c>
      <c r="Q5508" s="103"/>
      <c r="R5508" s="103"/>
      <c r="S5508" s="103"/>
      <c r="T5508" s="103"/>
      <c r="U5508" s="148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1">
        <f t="shared" si="1"/>
        <v>5503</v>
      </c>
      <c r="B5509" s="97" t="s">
        <v>9139</v>
      </c>
      <c r="C5509" s="82" t="str">
        <f>VLOOKUP($B$7:$B$5000,SUM!$L$6:$L$500,1,FALSE)</f>
        <v>#VALUE!</v>
      </c>
      <c r="D5509" s="292" t="s">
        <v>9113</v>
      </c>
      <c r="E5509" s="191" t="s">
        <v>58</v>
      </c>
      <c r="F5509" s="199" t="s">
        <v>8479</v>
      </c>
      <c r="G5509" s="191" t="s">
        <v>5443</v>
      </c>
      <c r="H5509" s="199" t="s">
        <v>9140</v>
      </c>
      <c r="I5509" s="197" t="s">
        <v>8607</v>
      </c>
      <c r="J5509" s="148" t="s">
        <v>63</v>
      </c>
      <c r="K5509" s="148" t="s">
        <v>64</v>
      </c>
      <c r="L5509" s="148" t="s">
        <v>65</v>
      </c>
      <c r="M5509" s="148" t="s">
        <v>66</v>
      </c>
      <c r="N5509" s="285">
        <v>46245.0</v>
      </c>
      <c r="O5509" s="148" t="s">
        <v>67</v>
      </c>
      <c r="P5509" s="148" t="s">
        <v>68</v>
      </c>
      <c r="Q5509" s="103"/>
      <c r="R5509" s="103"/>
      <c r="S5509" s="103"/>
      <c r="T5509" s="103"/>
      <c r="U5509" s="148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1">
        <f t="shared" si="1"/>
        <v>5504</v>
      </c>
      <c r="B5510" s="97" t="s">
        <v>9141</v>
      </c>
      <c r="C5510" s="82" t="str">
        <f>VLOOKUP($B$7:$B$5000,SUM!$L$6:$L$500,1,FALSE)</f>
        <v>#VALUE!</v>
      </c>
      <c r="D5510" s="292" t="s">
        <v>9113</v>
      </c>
      <c r="E5510" s="191" t="s">
        <v>58</v>
      </c>
      <c r="F5510" s="199" t="s">
        <v>8479</v>
      </c>
      <c r="G5510" s="191" t="s">
        <v>5443</v>
      </c>
      <c r="H5510" s="199" t="s">
        <v>9142</v>
      </c>
      <c r="I5510" s="197" t="s">
        <v>8607</v>
      </c>
      <c r="J5510" s="148" t="s">
        <v>63</v>
      </c>
      <c r="K5510" s="148" t="s">
        <v>64</v>
      </c>
      <c r="L5510" s="148" t="s">
        <v>65</v>
      </c>
      <c r="M5510" s="148" t="s">
        <v>66</v>
      </c>
      <c r="N5510" s="285">
        <v>46245.0</v>
      </c>
      <c r="O5510" s="148" t="s">
        <v>67</v>
      </c>
      <c r="P5510" s="148" t="s">
        <v>68</v>
      </c>
      <c r="Q5510" s="103"/>
      <c r="R5510" s="103"/>
      <c r="S5510" s="103"/>
      <c r="T5510" s="103"/>
      <c r="U5510" s="148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1">
        <f t="shared" si="1"/>
        <v>5505</v>
      </c>
      <c r="B5511" s="97" t="s">
        <v>9143</v>
      </c>
      <c r="C5511" s="82" t="str">
        <f>VLOOKUP($B$7:$B$5000,SUM!$L$6:$L$500,1,FALSE)</f>
        <v>#VALUE!</v>
      </c>
      <c r="D5511" s="292" t="s">
        <v>9113</v>
      </c>
      <c r="E5511" s="191" t="s">
        <v>58</v>
      </c>
      <c r="F5511" s="199" t="s">
        <v>8479</v>
      </c>
      <c r="G5511" s="191" t="s">
        <v>5443</v>
      </c>
      <c r="H5511" s="199" t="s">
        <v>9144</v>
      </c>
      <c r="I5511" s="197" t="s">
        <v>8607</v>
      </c>
      <c r="J5511" s="148" t="s">
        <v>63</v>
      </c>
      <c r="K5511" s="148" t="s">
        <v>64</v>
      </c>
      <c r="L5511" s="148" t="s">
        <v>65</v>
      </c>
      <c r="M5511" s="148" t="s">
        <v>66</v>
      </c>
      <c r="N5511" s="285">
        <v>46245.0</v>
      </c>
      <c r="O5511" s="148" t="s">
        <v>67</v>
      </c>
      <c r="P5511" s="148" t="s">
        <v>68</v>
      </c>
      <c r="Q5511" s="103"/>
      <c r="R5511" s="103"/>
      <c r="S5511" s="103"/>
      <c r="T5511" s="103"/>
      <c r="U5511" s="148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1">
        <f t="shared" si="1"/>
        <v>5506</v>
      </c>
      <c r="B5512" s="97" t="s">
        <v>9145</v>
      </c>
      <c r="C5512" s="82" t="str">
        <f>VLOOKUP($B$7:$B$5000,SUM!$L$6:$L$500,1,FALSE)</f>
        <v>#VALUE!</v>
      </c>
      <c r="D5512" s="292" t="s">
        <v>9113</v>
      </c>
      <c r="E5512" s="191" t="s">
        <v>58</v>
      </c>
      <c r="F5512" s="199" t="s">
        <v>8479</v>
      </c>
      <c r="G5512" s="191" t="s">
        <v>5443</v>
      </c>
      <c r="H5512" s="199" t="s">
        <v>9146</v>
      </c>
      <c r="I5512" s="197" t="s">
        <v>8607</v>
      </c>
      <c r="J5512" s="148" t="s">
        <v>63</v>
      </c>
      <c r="K5512" s="148" t="s">
        <v>64</v>
      </c>
      <c r="L5512" s="148" t="s">
        <v>65</v>
      </c>
      <c r="M5512" s="148" t="s">
        <v>66</v>
      </c>
      <c r="N5512" s="285">
        <v>46245.0</v>
      </c>
      <c r="O5512" s="148" t="s">
        <v>67</v>
      </c>
      <c r="P5512" s="148" t="s">
        <v>68</v>
      </c>
      <c r="Q5512" s="103"/>
      <c r="R5512" s="103"/>
      <c r="S5512" s="103"/>
      <c r="T5512" s="103"/>
      <c r="U5512" s="148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1">
        <f t="shared" si="1"/>
        <v>5507</v>
      </c>
      <c r="B5513" s="97" t="s">
        <v>9147</v>
      </c>
      <c r="C5513" s="82" t="str">
        <f>VLOOKUP($B$7:$B$5000,SUM!$L$6:$L$500,1,FALSE)</f>
        <v>#VALUE!</v>
      </c>
      <c r="D5513" s="292" t="s">
        <v>9113</v>
      </c>
      <c r="E5513" s="191" t="s">
        <v>58</v>
      </c>
      <c r="F5513" s="199" t="s">
        <v>8479</v>
      </c>
      <c r="G5513" s="191" t="s">
        <v>5443</v>
      </c>
      <c r="H5513" s="199" t="s">
        <v>9148</v>
      </c>
      <c r="I5513" s="197" t="s">
        <v>8607</v>
      </c>
      <c r="J5513" s="148" t="s">
        <v>63</v>
      </c>
      <c r="K5513" s="148" t="s">
        <v>64</v>
      </c>
      <c r="L5513" s="148" t="s">
        <v>65</v>
      </c>
      <c r="M5513" s="148" t="s">
        <v>66</v>
      </c>
      <c r="N5513" s="285">
        <v>46245.0</v>
      </c>
      <c r="O5513" s="148" t="s">
        <v>67</v>
      </c>
      <c r="P5513" s="148" t="s">
        <v>68</v>
      </c>
      <c r="Q5513" s="103"/>
      <c r="R5513" s="103"/>
      <c r="S5513" s="103"/>
      <c r="T5513" s="103"/>
      <c r="U5513" s="148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1">
        <f t="shared" si="1"/>
        <v>5508</v>
      </c>
      <c r="B5514" s="97" t="s">
        <v>9149</v>
      </c>
      <c r="C5514" s="82" t="str">
        <f>VLOOKUP($B$7:$B$5000,SUM!$L$6:$L$500,1,FALSE)</f>
        <v>#VALUE!</v>
      </c>
      <c r="D5514" s="216" t="s">
        <v>9150</v>
      </c>
      <c r="E5514" s="191" t="s">
        <v>58</v>
      </c>
      <c r="F5514" s="191" t="s">
        <v>8823</v>
      </c>
      <c r="G5514" s="191" t="s">
        <v>8666</v>
      </c>
      <c r="H5514" s="282" t="s">
        <v>9151</v>
      </c>
      <c r="I5514" s="197" t="s">
        <v>8366</v>
      </c>
      <c r="J5514" s="148" t="s">
        <v>63</v>
      </c>
      <c r="K5514" s="148" t="s">
        <v>2780</v>
      </c>
      <c r="L5514" s="148" t="s">
        <v>65</v>
      </c>
      <c r="M5514" s="148" t="s">
        <v>66</v>
      </c>
      <c r="N5514" s="285">
        <v>46245.0</v>
      </c>
      <c r="O5514" s="148" t="s">
        <v>67</v>
      </c>
      <c r="P5514" s="148" t="s">
        <v>68</v>
      </c>
      <c r="Q5514" s="103"/>
      <c r="R5514" s="103"/>
      <c r="S5514" s="103"/>
      <c r="T5514" s="103"/>
      <c r="U5514" s="148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1">
        <f t="shared" si="1"/>
        <v>5509</v>
      </c>
      <c r="B5515" s="97" t="s">
        <v>9152</v>
      </c>
      <c r="C5515" s="82" t="str">
        <f>VLOOKUP($B$7:$B$5000,SUM!$L$6:$L$500,1,FALSE)</f>
        <v>#VALUE!</v>
      </c>
      <c r="D5515" s="216" t="s">
        <v>9150</v>
      </c>
      <c r="E5515" s="191" t="s">
        <v>58</v>
      </c>
      <c r="F5515" s="191" t="s">
        <v>8823</v>
      </c>
      <c r="G5515" s="191" t="s">
        <v>8666</v>
      </c>
      <c r="H5515" s="282" t="s">
        <v>9153</v>
      </c>
      <c r="I5515" s="197" t="s">
        <v>8366</v>
      </c>
      <c r="J5515" s="148" t="s">
        <v>63</v>
      </c>
      <c r="K5515" s="148" t="s">
        <v>2780</v>
      </c>
      <c r="L5515" s="148" t="s">
        <v>65</v>
      </c>
      <c r="M5515" s="148" t="s">
        <v>66</v>
      </c>
      <c r="N5515" s="285">
        <v>46245.0</v>
      </c>
      <c r="O5515" s="148" t="s">
        <v>67</v>
      </c>
      <c r="P5515" s="148" t="s">
        <v>68</v>
      </c>
      <c r="Q5515" s="103"/>
      <c r="R5515" s="103"/>
      <c r="S5515" s="103"/>
      <c r="T5515" s="103"/>
      <c r="U5515" s="148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1">
        <f t="shared" si="1"/>
        <v>5510</v>
      </c>
      <c r="B5516" s="97" t="s">
        <v>9154</v>
      </c>
      <c r="C5516" s="82" t="str">
        <f>VLOOKUP($B$7:$B$5000,SUM!$L$6:$L$500,1,FALSE)</f>
        <v>#VALUE!</v>
      </c>
      <c r="D5516" s="216" t="s">
        <v>9150</v>
      </c>
      <c r="E5516" s="191" t="s">
        <v>58</v>
      </c>
      <c r="F5516" s="191" t="s">
        <v>8823</v>
      </c>
      <c r="G5516" s="191" t="s">
        <v>8666</v>
      </c>
      <c r="H5516" s="282" t="s">
        <v>9155</v>
      </c>
      <c r="I5516" s="197" t="s">
        <v>8366</v>
      </c>
      <c r="J5516" s="148" t="s">
        <v>63</v>
      </c>
      <c r="K5516" s="148" t="s">
        <v>2780</v>
      </c>
      <c r="L5516" s="148" t="s">
        <v>65</v>
      </c>
      <c r="M5516" s="148" t="s">
        <v>66</v>
      </c>
      <c r="N5516" s="285">
        <v>46245.0</v>
      </c>
      <c r="O5516" s="148" t="s">
        <v>67</v>
      </c>
      <c r="P5516" s="148" t="s">
        <v>68</v>
      </c>
      <c r="Q5516" s="103"/>
      <c r="R5516" s="103"/>
      <c r="S5516" s="103"/>
      <c r="T5516" s="103"/>
      <c r="U5516" s="148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1">
        <f t="shared" si="1"/>
        <v>5511</v>
      </c>
      <c r="B5517" s="97" t="s">
        <v>9156</v>
      </c>
      <c r="C5517" s="82" t="str">
        <f>VLOOKUP($B$7:$B$5000,SUM!$L$6:$L$500,1,FALSE)</f>
        <v>#VALUE!</v>
      </c>
      <c r="D5517" s="216" t="s">
        <v>9150</v>
      </c>
      <c r="E5517" s="191" t="s">
        <v>58</v>
      </c>
      <c r="F5517" s="191" t="s">
        <v>8823</v>
      </c>
      <c r="G5517" s="189" t="s">
        <v>8666</v>
      </c>
      <c r="H5517" s="282" t="s">
        <v>9157</v>
      </c>
      <c r="I5517" s="197" t="s">
        <v>8366</v>
      </c>
      <c r="J5517" s="148" t="s">
        <v>63</v>
      </c>
      <c r="K5517" s="148" t="s">
        <v>2780</v>
      </c>
      <c r="L5517" s="148" t="s">
        <v>65</v>
      </c>
      <c r="M5517" s="148" t="s">
        <v>66</v>
      </c>
      <c r="N5517" s="285">
        <v>46245.0</v>
      </c>
      <c r="O5517" s="148" t="s">
        <v>67</v>
      </c>
      <c r="P5517" s="148" t="s">
        <v>68</v>
      </c>
      <c r="Q5517" s="103"/>
      <c r="R5517" s="103"/>
      <c r="S5517" s="103"/>
      <c r="T5517" s="103"/>
      <c r="U5517" s="148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1">
        <f t="shared" si="1"/>
        <v>5512</v>
      </c>
      <c r="B5518" s="97" t="s">
        <v>9158</v>
      </c>
      <c r="C5518" s="82" t="str">
        <f>VLOOKUP($B$7:$B$5000,SUM!$L$6:$L$500,1,FALSE)</f>
        <v>#VALUE!</v>
      </c>
      <c r="D5518" s="216" t="s">
        <v>9159</v>
      </c>
      <c r="E5518" s="191" t="s">
        <v>58</v>
      </c>
      <c r="F5518" s="189" t="s">
        <v>9160</v>
      </c>
      <c r="G5518" s="189" t="s">
        <v>9161</v>
      </c>
      <c r="H5518" s="148" t="s">
        <v>9162</v>
      </c>
      <c r="I5518" s="197" t="s">
        <v>8929</v>
      </c>
      <c r="J5518" s="148" t="s">
        <v>63</v>
      </c>
      <c r="K5518" s="148" t="s">
        <v>2780</v>
      </c>
      <c r="L5518" s="148" t="s">
        <v>65</v>
      </c>
      <c r="M5518" s="148" t="s">
        <v>66</v>
      </c>
      <c r="N5518" s="285">
        <v>46246.0</v>
      </c>
      <c r="O5518" s="148" t="s">
        <v>67</v>
      </c>
      <c r="P5518" s="148" t="s">
        <v>68</v>
      </c>
      <c r="Q5518" s="103"/>
      <c r="R5518" s="103"/>
      <c r="S5518" s="103"/>
      <c r="T5518" s="103"/>
      <c r="U5518" s="148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1">
        <f t="shared" si="1"/>
        <v>5513</v>
      </c>
      <c r="B5519" s="97" t="s">
        <v>9163</v>
      </c>
      <c r="C5519" s="82" t="str">
        <f>VLOOKUP($B$7:$B$5000,SUM!$L$6:$L$500,1,FALSE)</f>
        <v>#VALUE!</v>
      </c>
      <c r="D5519" s="216" t="s">
        <v>9159</v>
      </c>
      <c r="E5519" s="191" t="s">
        <v>58</v>
      </c>
      <c r="F5519" s="189" t="s">
        <v>9160</v>
      </c>
      <c r="G5519" s="189" t="s">
        <v>9161</v>
      </c>
      <c r="H5519" s="148" t="s">
        <v>9164</v>
      </c>
      <c r="I5519" s="197" t="s">
        <v>8929</v>
      </c>
      <c r="J5519" s="148" t="s">
        <v>63</v>
      </c>
      <c r="K5519" s="148" t="s">
        <v>2780</v>
      </c>
      <c r="L5519" s="148" t="s">
        <v>65</v>
      </c>
      <c r="M5519" s="148" t="s">
        <v>66</v>
      </c>
      <c r="N5519" s="285">
        <v>46246.0</v>
      </c>
      <c r="O5519" s="148" t="s">
        <v>67</v>
      </c>
      <c r="P5519" s="148" t="s">
        <v>68</v>
      </c>
      <c r="Q5519" s="103"/>
      <c r="R5519" s="103"/>
      <c r="S5519" s="103"/>
      <c r="T5519" s="103"/>
      <c r="U5519" s="148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1">
        <f t="shared" si="1"/>
        <v>5514</v>
      </c>
      <c r="B5520" s="97" t="s">
        <v>9165</v>
      </c>
      <c r="C5520" s="82" t="str">
        <f>VLOOKUP($B$7:$B$5000,SUM!$L$6:$L$500,1,FALSE)</f>
        <v>#VALUE!</v>
      </c>
      <c r="D5520" s="216" t="s">
        <v>9159</v>
      </c>
      <c r="E5520" s="191" t="s">
        <v>58</v>
      </c>
      <c r="F5520" s="189" t="s">
        <v>9160</v>
      </c>
      <c r="G5520" s="189" t="s">
        <v>9161</v>
      </c>
      <c r="H5520" s="148" t="s">
        <v>9166</v>
      </c>
      <c r="I5520" s="270" t="s">
        <v>8929</v>
      </c>
      <c r="J5520" s="148" t="s">
        <v>63</v>
      </c>
      <c r="K5520" s="148" t="s">
        <v>2780</v>
      </c>
      <c r="L5520" s="148" t="s">
        <v>65</v>
      </c>
      <c r="M5520" s="148" t="s">
        <v>66</v>
      </c>
      <c r="N5520" s="285">
        <v>46246.0</v>
      </c>
      <c r="O5520" s="148" t="s">
        <v>67</v>
      </c>
      <c r="P5520" s="148" t="s">
        <v>68</v>
      </c>
      <c r="Q5520" s="103"/>
      <c r="R5520" s="103"/>
      <c r="S5520" s="103"/>
      <c r="T5520" s="103"/>
      <c r="U5520" s="148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1">
        <f t="shared" si="1"/>
        <v>5515</v>
      </c>
      <c r="B5521" s="97" t="s">
        <v>9167</v>
      </c>
      <c r="C5521" s="82" t="str">
        <f>VLOOKUP($B$7:$B$5000,SUM!$L$6:$L$500,1,FALSE)</f>
        <v>#VALUE!</v>
      </c>
      <c r="D5521" s="216" t="s">
        <v>9159</v>
      </c>
      <c r="E5521" s="191" t="s">
        <v>58</v>
      </c>
      <c r="F5521" s="189" t="s">
        <v>9160</v>
      </c>
      <c r="G5521" s="189" t="s">
        <v>9161</v>
      </c>
      <c r="H5521" s="148" t="s">
        <v>9168</v>
      </c>
      <c r="I5521" s="197" t="s">
        <v>8929</v>
      </c>
      <c r="J5521" s="148" t="s">
        <v>63</v>
      </c>
      <c r="K5521" s="148" t="s">
        <v>2780</v>
      </c>
      <c r="L5521" s="148" t="s">
        <v>65</v>
      </c>
      <c r="M5521" s="148" t="s">
        <v>66</v>
      </c>
      <c r="N5521" s="285">
        <v>46246.0</v>
      </c>
      <c r="O5521" s="148" t="s">
        <v>67</v>
      </c>
      <c r="P5521" s="148" t="s">
        <v>68</v>
      </c>
      <c r="Q5521" s="103"/>
      <c r="R5521" s="103"/>
      <c r="S5521" s="103"/>
      <c r="T5521" s="103"/>
      <c r="U5521" s="148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1">
        <f t="shared" si="1"/>
        <v>5516</v>
      </c>
      <c r="B5522" s="97" t="s">
        <v>9169</v>
      </c>
      <c r="C5522" s="82" t="str">
        <f>VLOOKUP($B$7:$B$5000,SUM!$L$6:$L$500,1,FALSE)</f>
        <v>#VALUE!</v>
      </c>
      <c r="D5522" s="216" t="s">
        <v>9170</v>
      </c>
      <c r="E5522" s="191" t="s">
        <v>58</v>
      </c>
      <c r="F5522" s="189" t="s">
        <v>9171</v>
      </c>
      <c r="G5522" s="189" t="s">
        <v>9172</v>
      </c>
      <c r="H5522" s="148" t="s">
        <v>9162</v>
      </c>
      <c r="I5522" s="270" t="s">
        <v>9040</v>
      </c>
      <c r="J5522" s="148" t="s">
        <v>63</v>
      </c>
      <c r="K5522" s="148" t="s">
        <v>2780</v>
      </c>
      <c r="L5522" s="148" t="s">
        <v>65</v>
      </c>
      <c r="M5522" s="148" t="s">
        <v>66</v>
      </c>
      <c r="N5522" s="285">
        <v>46246.0</v>
      </c>
      <c r="O5522" s="148" t="s">
        <v>67</v>
      </c>
      <c r="P5522" s="148" t="s">
        <v>68</v>
      </c>
      <c r="Q5522" s="103"/>
      <c r="R5522" s="103"/>
      <c r="S5522" s="103"/>
      <c r="T5522" s="103"/>
      <c r="U5522" s="148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1">
        <f t="shared" si="1"/>
        <v>5517</v>
      </c>
      <c r="B5523" s="97" t="s">
        <v>9173</v>
      </c>
      <c r="C5523" s="82" t="str">
        <f>VLOOKUP($B$7:$B$5000,SUM!$L$6:$L$500,1,FALSE)</f>
        <v>#VALUE!</v>
      </c>
      <c r="D5523" s="216" t="s">
        <v>9170</v>
      </c>
      <c r="E5523" s="191" t="s">
        <v>58</v>
      </c>
      <c r="F5523" s="148" t="s">
        <v>9171</v>
      </c>
      <c r="G5523" s="189" t="s">
        <v>9172</v>
      </c>
      <c r="H5523" s="148" t="s">
        <v>9164</v>
      </c>
      <c r="I5523" s="270" t="s">
        <v>9174</v>
      </c>
      <c r="J5523" s="148" t="s">
        <v>63</v>
      </c>
      <c r="K5523" s="148" t="s">
        <v>2780</v>
      </c>
      <c r="L5523" s="148" t="s">
        <v>65</v>
      </c>
      <c r="M5523" s="148" t="s">
        <v>66</v>
      </c>
      <c r="N5523" s="285">
        <v>46246.0</v>
      </c>
      <c r="O5523" s="148" t="s">
        <v>67</v>
      </c>
      <c r="P5523" s="148" t="s">
        <v>68</v>
      </c>
      <c r="Q5523" s="103"/>
      <c r="R5523" s="103"/>
      <c r="S5523" s="103"/>
      <c r="T5523" s="103"/>
      <c r="U5523" s="148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1">
        <f t="shared" si="1"/>
        <v>5518</v>
      </c>
      <c r="B5524" s="97" t="s">
        <v>9175</v>
      </c>
      <c r="C5524" s="82" t="str">
        <f>VLOOKUP($B$7:$B$5000,SUM!$L$6:$L$500,1,FALSE)</f>
        <v>#VALUE!</v>
      </c>
      <c r="D5524" s="216" t="s">
        <v>9170</v>
      </c>
      <c r="E5524" s="191" t="s">
        <v>58</v>
      </c>
      <c r="F5524" s="148" t="s">
        <v>9171</v>
      </c>
      <c r="G5524" s="189" t="s">
        <v>9172</v>
      </c>
      <c r="H5524" s="148" t="s">
        <v>9166</v>
      </c>
      <c r="I5524" s="270" t="s">
        <v>9040</v>
      </c>
      <c r="J5524" s="148" t="s">
        <v>63</v>
      </c>
      <c r="K5524" s="148" t="s">
        <v>2780</v>
      </c>
      <c r="L5524" s="148" t="s">
        <v>65</v>
      </c>
      <c r="M5524" s="148" t="s">
        <v>66</v>
      </c>
      <c r="N5524" s="285">
        <v>46246.0</v>
      </c>
      <c r="O5524" s="148" t="s">
        <v>67</v>
      </c>
      <c r="P5524" s="148" t="s">
        <v>68</v>
      </c>
      <c r="Q5524" s="103"/>
      <c r="R5524" s="103"/>
      <c r="S5524" s="103"/>
      <c r="T5524" s="103"/>
      <c r="U5524" s="148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1">
        <f t="shared" si="1"/>
        <v>5519</v>
      </c>
      <c r="B5525" s="97" t="s">
        <v>9176</v>
      </c>
      <c r="C5525" s="97" t="s">
        <v>9177</v>
      </c>
      <c r="D5525" s="216" t="s">
        <v>9170</v>
      </c>
      <c r="E5525" s="191" t="s">
        <v>58</v>
      </c>
      <c r="F5525" s="148" t="s">
        <v>9171</v>
      </c>
      <c r="G5525" s="189" t="s">
        <v>9172</v>
      </c>
      <c r="H5525" s="148" t="s">
        <v>9168</v>
      </c>
      <c r="I5525" s="270" t="s">
        <v>9174</v>
      </c>
      <c r="J5525" s="148" t="s">
        <v>63</v>
      </c>
      <c r="K5525" s="148" t="s">
        <v>2780</v>
      </c>
      <c r="L5525" s="148" t="s">
        <v>65</v>
      </c>
      <c r="M5525" s="148" t="s">
        <v>66</v>
      </c>
      <c r="N5525" s="285">
        <v>46246.0</v>
      </c>
      <c r="O5525" s="148" t="s">
        <v>67</v>
      </c>
      <c r="P5525" s="148" t="s">
        <v>68</v>
      </c>
      <c r="Q5525" s="103"/>
      <c r="R5525" s="103"/>
      <c r="S5525" s="103"/>
      <c r="T5525" s="103"/>
      <c r="U5525" s="148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1">
        <f t="shared" si="1"/>
        <v>5520</v>
      </c>
      <c r="B5526" s="97" t="s">
        <v>9178</v>
      </c>
      <c r="C5526" s="82" t="str">
        <f>VLOOKUP($B$7:$B$5000,SUM!$L$6:$L$500,1,FALSE)</f>
        <v>#VALUE!</v>
      </c>
      <c r="D5526" s="190" t="s">
        <v>9179</v>
      </c>
      <c r="E5526" s="191" t="s">
        <v>58</v>
      </c>
      <c r="F5526" s="199" t="s">
        <v>8732</v>
      </c>
      <c r="G5526" s="199" t="s">
        <v>8733</v>
      </c>
      <c r="H5526" s="216" t="s">
        <v>6383</v>
      </c>
      <c r="I5526" s="197" t="s">
        <v>8759</v>
      </c>
      <c r="J5526" s="148" t="s">
        <v>63</v>
      </c>
      <c r="K5526" s="148" t="s">
        <v>7063</v>
      </c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1">
        <f t="shared" si="1"/>
        <v>5521</v>
      </c>
      <c r="B5527" s="97" t="s">
        <v>9177</v>
      </c>
      <c r="C5527" s="82" t="str">
        <f>VLOOKUP($B$7:$B$5000,SUM!$L$6:$L$500,1,FALSE)</f>
        <v>#VALUE!</v>
      </c>
      <c r="D5527" s="190" t="s">
        <v>9179</v>
      </c>
      <c r="E5527" s="191" t="s">
        <v>58</v>
      </c>
      <c r="F5527" s="199" t="s">
        <v>8732</v>
      </c>
      <c r="G5527" s="199" t="s">
        <v>8733</v>
      </c>
      <c r="H5527" s="216" t="s">
        <v>6387</v>
      </c>
      <c r="I5527" s="197" t="s">
        <v>8759</v>
      </c>
      <c r="J5527" s="148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1">
        <f t="shared" si="1"/>
        <v>5522</v>
      </c>
      <c r="B5528" s="97" t="s">
        <v>9180</v>
      </c>
      <c r="C5528" s="82" t="str">
        <f>VLOOKUP($B$7:$B$5000,SUM!$L$6:$L$500,1,FALSE)</f>
        <v>#VALUE!</v>
      </c>
      <c r="D5528" s="190" t="s">
        <v>9179</v>
      </c>
      <c r="E5528" s="191" t="s">
        <v>58</v>
      </c>
      <c r="F5528" s="199" t="s">
        <v>8732</v>
      </c>
      <c r="G5528" s="199" t="s">
        <v>8733</v>
      </c>
      <c r="H5528" s="216" t="s">
        <v>9181</v>
      </c>
      <c r="I5528" s="197" t="s">
        <v>8759</v>
      </c>
      <c r="J5528" s="148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1">
        <f t="shared" si="1"/>
        <v>5523</v>
      </c>
      <c r="B5529" s="97" t="s">
        <v>9182</v>
      </c>
      <c r="C5529" s="82" t="str">
        <f>VLOOKUP($B$7:$B$5000,SUM!$L$6:$L$500,1,FALSE)</f>
        <v>#VALUE!</v>
      </c>
      <c r="D5529" s="190" t="s">
        <v>9179</v>
      </c>
      <c r="E5529" s="191" t="s">
        <v>58</v>
      </c>
      <c r="F5529" s="199" t="s">
        <v>8732</v>
      </c>
      <c r="G5529" s="199" t="s">
        <v>8733</v>
      </c>
      <c r="H5529" s="216" t="s">
        <v>9181</v>
      </c>
      <c r="I5529" s="197" t="s">
        <v>8759</v>
      </c>
      <c r="J5529" s="148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1">
        <f t="shared" si="1"/>
        <v>5524</v>
      </c>
      <c r="B5530" s="97" t="s">
        <v>9183</v>
      </c>
      <c r="C5530" s="82" t="str">
        <f>VLOOKUP($B$7:$B$5000,SUM!$L$6:$L$500,1,FALSE)</f>
        <v>#VALUE!</v>
      </c>
      <c r="D5530" s="190" t="s">
        <v>9179</v>
      </c>
      <c r="E5530" s="191" t="s">
        <v>58</v>
      </c>
      <c r="F5530" s="199" t="s">
        <v>8732</v>
      </c>
      <c r="G5530" s="199" t="s">
        <v>8733</v>
      </c>
      <c r="H5530" s="216" t="s">
        <v>6006</v>
      </c>
      <c r="I5530" s="197" t="s">
        <v>8759</v>
      </c>
      <c r="J5530" s="148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1">
        <f t="shared" si="1"/>
        <v>5525</v>
      </c>
      <c r="B5531" s="97" t="s">
        <v>9184</v>
      </c>
      <c r="C5531" s="82" t="str">
        <f>VLOOKUP($B$7:$B$5000,SUM!$L$6:$L$500,1,FALSE)</f>
        <v>#VALUE!</v>
      </c>
      <c r="D5531" s="190" t="s">
        <v>9179</v>
      </c>
      <c r="E5531" s="191" t="s">
        <v>58</v>
      </c>
      <c r="F5531" s="199" t="s">
        <v>8732</v>
      </c>
      <c r="G5531" s="199" t="s">
        <v>8733</v>
      </c>
      <c r="H5531" s="216" t="s">
        <v>6776</v>
      </c>
      <c r="I5531" s="197" t="s">
        <v>8759</v>
      </c>
      <c r="J5531" s="148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1">
        <f t="shared" si="1"/>
        <v>5526</v>
      </c>
      <c r="B5532" s="97" t="s">
        <v>9185</v>
      </c>
      <c r="C5532" s="82" t="str">
        <f>VLOOKUP($B$7:$B$5000,SUM!$L$6:$L$500,1,FALSE)</f>
        <v>#VALUE!</v>
      </c>
      <c r="D5532" s="190" t="s">
        <v>9179</v>
      </c>
      <c r="E5532" s="191" t="s">
        <v>58</v>
      </c>
      <c r="F5532" s="199" t="s">
        <v>8732</v>
      </c>
      <c r="G5532" s="199" t="s">
        <v>8733</v>
      </c>
      <c r="H5532" s="216" t="s">
        <v>6315</v>
      </c>
      <c r="I5532" s="197" t="s">
        <v>8759</v>
      </c>
      <c r="J5532" s="148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1">
        <f t="shared" si="1"/>
        <v>5527</v>
      </c>
      <c r="B5533" s="97" t="s">
        <v>9186</v>
      </c>
      <c r="C5533" s="82" t="str">
        <f>VLOOKUP($B$7:$B$5000,SUM!$L$6:$L$500,1,FALSE)</f>
        <v>#VALUE!</v>
      </c>
      <c r="D5533" s="190" t="s">
        <v>9179</v>
      </c>
      <c r="E5533" s="191" t="s">
        <v>58</v>
      </c>
      <c r="F5533" s="199" t="s">
        <v>8732</v>
      </c>
      <c r="G5533" s="199" t="s">
        <v>8733</v>
      </c>
      <c r="H5533" s="216" t="s">
        <v>6788</v>
      </c>
      <c r="I5533" s="197" t="s">
        <v>8759</v>
      </c>
      <c r="J5533" s="148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1">
        <f t="shared" si="1"/>
        <v>5528</v>
      </c>
      <c r="B5534" s="97" t="s">
        <v>9187</v>
      </c>
      <c r="C5534" s="82" t="str">
        <f>VLOOKUP($B$7:$B$5000,SUM!$L$6:$L$500,1,FALSE)</f>
        <v>#VALUE!</v>
      </c>
      <c r="D5534" s="190" t="s">
        <v>9179</v>
      </c>
      <c r="E5534" s="191" t="s">
        <v>58</v>
      </c>
      <c r="F5534" s="199" t="s">
        <v>8732</v>
      </c>
      <c r="G5534" s="199" t="s">
        <v>8733</v>
      </c>
      <c r="H5534" s="216" t="s">
        <v>6327</v>
      </c>
      <c r="I5534" s="197" t="s">
        <v>8759</v>
      </c>
      <c r="J5534" s="148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1">
        <f t="shared" si="1"/>
        <v>5529</v>
      </c>
      <c r="B5535" s="97" t="s">
        <v>9188</v>
      </c>
      <c r="C5535" s="82" t="str">
        <f>VLOOKUP($B$7:$B$5000,SUM!$L$6:$L$500,1,FALSE)</f>
        <v>#VALUE!</v>
      </c>
      <c r="D5535" s="190" t="s">
        <v>9179</v>
      </c>
      <c r="E5535" s="191" t="s">
        <v>58</v>
      </c>
      <c r="F5535" s="199" t="s">
        <v>8732</v>
      </c>
      <c r="G5535" s="199" t="s">
        <v>8733</v>
      </c>
      <c r="H5535" s="293" t="s">
        <v>6800</v>
      </c>
      <c r="I5535" s="197" t="s">
        <v>8759</v>
      </c>
      <c r="J5535" s="148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1">
        <f t="shared" si="1"/>
        <v>5530</v>
      </c>
      <c r="B5536" s="97" t="s">
        <v>9189</v>
      </c>
      <c r="C5536" s="82" t="str">
        <f>VLOOKUP($B$7:$B$5000,SUM!$L$6:$L$500,1,FALSE)</f>
        <v>#VALUE!</v>
      </c>
      <c r="D5536" s="190" t="s">
        <v>9179</v>
      </c>
      <c r="E5536" s="191" t="s">
        <v>58</v>
      </c>
      <c r="F5536" s="199" t="s">
        <v>8732</v>
      </c>
      <c r="G5536" s="199" t="s">
        <v>8733</v>
      </c>
      <c r="H5536" s="216" t="s">
        <v>6806</v>
      </c>
      <c r="I5536" s="197" t="s">
        <v>8759</v>
      </c>
      <c r="J5536" s="148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1">
        <f t="shared" si="1"/>
        <v>5531</v>
      </c>
      <c r="B5537" s="97" t="s">
        <v>9190</v>
      </c>
      <c r="C5537" s="82" t="str">
        <f>VLOOKUP($B$7:$B$5000,SUM!$L$6:$L$500,1,FALSE)</f>
        <v>#VALUE!</v>
      </c>
      <c r="D5537" s="190" t="s">
        <v>9179</v>
      </c>
      <c r="E5537" s="191" t="s">
        <v>58</v>
      </c>
      <c r="F5537" s="199" t="s">
        <v>8732</v>
      </c>
      <c r="G5537" s="199" t="s">
        <v>8838</v>
      </c>
      <c r="H5537" s="216" t="s">
        <v>9181</v>
      </c>
      <c r="I5537" s="197" t="s">
        <v>9191</v>
      </c>
      <c r="J5537" s="148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1">
        <f t="shared" si="1"/>
        <v>5532</v>
      </c>
      <c r="B5538" s="97" t="s">
        <v>9192</v>
      </c>
      <c r="C5538" s="82" t="str">
        <f>VLOOKUP($B$7:$B$5000,SUM!$L$6:$L$500,1,FALSE)</f>
        <v>#VALUE!</v>
      </c>
      <c r="D5538" s="190" t="s">
        <v>9179</v>
      </c>
      <c r="E5538" s="191" t="s">
        <v>58</v>
      </c>
      <c r="F5538" s="199" t="s">
        <v>8732</v>
      </c>
      <c r="G5538" s="199" t="s">
        <v>8838</v>
      </c>
      <c r="H5538" s="216" t="s">
        <v>7371</v>
      </c>
      <c r="I5538" s="197" t="s">
        <v>9191</v>
      </c>
      <c r="J5538" s="148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1">
        <f t="shared" si="1"/>
        <v>5533</v>
      </c>
      <c r="B5539" s="97" t="s">
        <v>9193</v>
      </c>
      <c r="C5539" s="82" t="str">
        <f>VLOOKUP($B$7:$B$5000,SUM!$L$6:$L$500,1,FALSE)</f>
        <v>#VALUE!</v>
      </c>
      <c r="D5539" s="190" t="s">
        <v>9179</v>
      </c>
      <c r="E5539" s="191" t="s">
        <v>58</v>
      </c>
      <c r="F5539" s="199" t="s">
        <v>8732</v>
      </c>
      <c r="G5539" s="199" t="s">
        <v>8733</v>
      </c>
      <c r="H5539" s="216" t="s">
        <v>6383</v>
      </c>
      <c r="I5539" s="197" t="s">
        <v>8891</v>
      </c>
      <c r="J5539" s="148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1">
        <f t="shared" si="1"/>
        <v>5534</v>
      </c>
      <c r="B5540" s="97" t="s">
        <v>9194</v>
      </c>
      <c r="C5540" s="82" t="str">
        <f>VLOOKUP($B$7:$B$5000,SUM!$L$6:$L$500,1,FALSE)</f>
        <v>#VALUE!</v>
      </c>
      <c r="D5540" s="190" t="s">
        <v>9179</v>
      </c>
      <c r="E5540" s="191" t="s">
        <v>58</v>
      </c>
      <c r="F5540" s="199" t="s">
        <v>8732</v>
      </c>
      <c r="G5540" s="199" t="s">
        <v>8733</v>
      </c>
      <c r="H5540" s="216" t="s">
        <v>6387</v>
      </c>
      <c r="I5540" s="197" t="s">
        <v>8891</v>
      </c>
      <c r="J5540" s="148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1">
        <f t="shared" si="1"/>
        <v>5535</v>
      </c>
      <c r="B5541" s="97" t="s">
        <v>9195</v>
      </c>
      <c r="C5541" s="82" t="str">
        <f>VLOOKUP($B$7:$B$5000,SUM!$L$6:$L$500,1,FALSE)</f>
        <v>#VALUE!</v>
      </c>
      <c r="D5541" s="190" t="s">
        <v>9179</v>
      </c>
      <c r="E5541" s="191" t="s">
        <v>58</v>
      </c>
      <c r="F5541" s="199" t="s">
        <v>8732</v>
      </c>
      <c r="G5541" s="199" t="s">
        <v>8733</v>
      </c>
      <c r="H5541" s="216" t="s">
        <v>9181</v>
      </c>
      <c r="I5541" s="197" t="s">
        <v>8891</v>
      </c>
      <c r="J5541" s="148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1">
        <f t="shared" si="1"/>
        <v>5536</v>
      </c>
      <c r="B5542" s="97" t="s">
        <v>9196</v>
      </c>
      <c r="C5542" s="82" t="str">
        <f>VLOOKUP($B$7:$B$5000,SUM!$L$6:$L$500,1,FALSE)</f>
        <v>#VALUE!</v>
      </c>
      <c r="D5542" s="190" t="s">
        <v>9179</v>
      </c>
      <c r="E5542" s="191" t="s">
        <v>58</v>
      </c>
      <c r="F5542" s="199" t="s">
        <v>8732</v>
      </c>
      <c r="G5542" s="199" t="s">
        <v>8733</v>
      </c>
      <c r="H5542" s="216" t="s">
        <v>9181</v>
      </c>
      <c r="I5542" s="197" t="s">
        <v>8891</v>
      </c>
      <c r="J5542" s="148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1">
        <f t="shared" si="1"/>
        <v>5537</v>
      </c>
      <c r="B5543" s="97" t="s">
        <v>9197</v>
      </c>
      <c r="C5543" s="82" t="str">
        <f>VLOOKUP($B$7:$B$5000,SUM!$L$6:$L$500,1,FALSE)</f>
        <v>#VALUE!</v>
      </c>
      <c r="D5543" s="190" t="s">
        <v>9179</v>
      </c>
      <c r="E5543" s="191" t="s">
        <v>58</v>
      </c>
      <c r="F5543" s="199" t="s">
        <v>8732</v>
      </c>
      <c r="G5543" s="199" t="s">
        <v>8733</v>
      </c>
      <c r="H5543" s="216" t="s">
        <v>6006</v>
      </c>
      <c r="I5543" s="197" t="s">
        <v>8891</v>
      </c>
      <c r="J5543" s="148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1">
        <f t="shared" si="1"/>
        <v>5538</v>
      </c>
      <c r="B5544" s="97" t="s">
        <v>9198</v>
      </c>
      <c r="C5544" s="82" t="str">
        <f>VLOOKUP($B$7:$B$5000,SUM!$L$6:$L$500,1,FALSE)</f>
        <v>#VALUE!</v>
      </c>
      <c r="D5544" s="190" t="s">
        <v>9179</v>
      </c>
      <c r="E5544" s="191" t="s">
        <v>58</v>
      </c>
      <c r="F5544" s="199" t="s">
        <v>8732</v>
      </c>
      <c r="G5544" s="199" t="s">
        <v>8733</v>
      </c>
      <c r="H5544" s="216" t="s">
        <v>6776</v>
      </c>
      <c r="I5544" s="197" t="s">
        <v>8891</v>
      </c>
      <c r="J5544" s="148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1">
        <f t="shared" si="1"/>
        <v>5539</v>
      </c>
      <c r="B5545" s="97" t="s">
        <v>9199</v>
      </c>
      <c r="C5545" s="82" t="str">
        <f>VLOOKUP($B$7:$B$5000,SUM!$L$6:$L$500,1,FALSE)</f>
        <v>#VALUE!</v>
      </c>
      <c r="D5545" s="190" t="s">
        <v>9179</v>
      </c>
      <c r="E5545" s="191" t="s">
        <v>58</v>
      </c>
      <c r="F5545" s="199" t="s">
        <v>8732</v>
      </c>
      <c r="G5545" s="199" t="s">
        <v>8733</v>
      </c>
      <c r="H5545" s="216" t="s">
        <v>6315</v>
      </c>
      <c r="I5545" s="197" t="s">
        <v>8891</v>
      </c>
      <c r="J5545" s="148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1">
        <f t="shared" si="1"/>
        <v>5540</v>
      </c>
      <c r="B5546" s="97" t="s">
        <v>9200</v>
      </c>
      <c r="C5546" s="82" t="str">
        <f>VLOOKUP($B$7:$B$5000,SUM!$L$6:$L$500,1,FALSE)</f>
        <v>#VALUE!</v>
      </c>
      <c r="D5546" s="190" t="s">
        <v>9179</v>
      </c>
      <c r="E5546" s="191" t="s">
        <v>58</v>
      </c>
      <c r="F5546" s="199" t="s">
        <v>8732</v>
      </c>
      <c r="G5546" s="199" t="s">
        <v>8733</v>
      </c>
      <c r="H5546" s="216" t="s">
        <v>6788</v>
      </c>
      <c r="I5546" s="197" t="s">
        <v>8891</v>
      </c>
      <c r="J5546" s="148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1">
        <f t="shared" si="1"/>
        <v>5541</v>
      </c>
      <c r="B5547" s="97" t="s">
        <v>9201</v>
      </c>
      <c r="C5547" s="82" t="str">
        <f>VLOOKUP($B$7:$B$5000,SUM!$L$6:$L$500,1,FALSE)</f>
        <v>#VALUE!</v>
      </c>
      <c r="D5547" s="190" t="s">
        <v>9179</v>
      </c>
      <c r="E5547" s="191" t="s">
        <v>58</v>
      </c>
      <c r="F5547" s="199" t="s">
        <v>8732</v>
      </c>
      <c r="G5547" s="199" t="s">
        <v>8733</v>
      </c>
      <c r="H5547" s="216" t="s">
        <v>6327</v>
      </c>
      <c r="I5547" s="197" t="s">
        <v>8891</v>
      </c>
      <c r="J5547" s="148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1">
        <f t="shared" si="1"/>
        <v>5542</v>
      </c>
      <c r="B5548" s="97" t="s">
        <v>9202</v>
      </c>
      <c r="C5548" s="82" t="str">
        <f>VLOOKUP($B$7:$B$5000,SUM!$L$6:$L$500,1,FALSE)</f>
        <v>#VALUE!</v>
      </c>
      <c r="D5548" s="190" t="s">
        <v>9179</v>
      </c>
      <c r="E5548" s="191" t="s">
        <v>58</v>
      </c>
      <c r="F5548" s="199" t="s">
        <v>8732</v>
      </c>
      <c r="G5548" s="199" t="s">
        <v>8733</v>
      </c>
      <c r="H5548" s="293" t="s">
        <v>6800</v>
      </c>
      <c r="I5548" s="197" t="s">
        <v>8891</v>
      </c>
      <c r="J5548" s="148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1">
        <f t="shared" si="1"/>
        <v>5543</v>
      </c>
      <c r="B5549" s="97" t="s">
        <v>9203</v>
      </c>
      <c r="C5549" s="82" t="str">
        <f>VLOOKUP($B$7:$B$5000,SUM!$L$6:$L$500,1,FALSE)</f>
        <v>#VALUE!</v>
      </c>
      <c r="D5549" s="190" t="s">
        <v>9179</v>
      </c>
      <c r="E5549" s="191" t="s">
        <v>58</v>
      </c>
      <c r="F5549" s="199" t="s">
        <v>8732</v>
      </c>
      <c r="G5549" s="148" t="s">
        <v>8733</v>
      </c>
      <c r="H5549" s="216" t="s">
        <v>6806</v>
      </c>
      <c r="I5549" s="197" t="s">
        <v>8891</v>
      </c>
      <c r="J5549" s="148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1">
        <f t="shared" si="1"/>
        <v>5544</v>
      </c>
      <c r="B5550" s="97" t="s">
        <v>9204</v>
      </c>
      <c r="C5550" s="82" t="str">
        <f>VLOOKUP($B$7:$B$5000,SUM!$L$6:$L$500,1,FALSE)</f>
        <v>#VALUE!</v>
      </c>
      <c r="D5550" s="190" t="s">
        <v>9179</v>
      </c>
      <c r="E5550" s="191" t="s">
        <v>58</v>
      </c>
      <c r="F5550" s="199" t="s">
        <v>8732</v>
      </c>
      <c r="G5550" s="199" t="s">
        <v>9205</v>
      </c>
      <c r="H5550" s="283" t="s">
        <v>6788</v>
      </c>
      <c r="I5550" s="240" t="s">
        <v>9206</v>
      </c>
      <c r="J5550" s="148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1">
        <f t="shared" si="1"/>
        <v>5545</v>
      </c>
      <c r="B5551" s="97" t="s">
        <v>9207</v>
      </c>
      <c r="C5551" s="82" t="str">
        <f>VLOOKUP($B$7:$B$5000,SUM!$L$6:$L$500,1,FALSE)</f>
        <v>#VALUE!</v>
      </c>
      <c r="D5551" s="190" t="s">
        <v>9179</v>
      </c>
      <c r="E5551" s="191" t="s">
        <v>58</v>
      </c>
      <c r="F5551" s="199" t="s">
        <v>8732</v>
      </c>
      <c r="G5551" s="199" t="s">
        <v>9205</v>
      </c>
      <c r="H5551" s="294" t="s">
        <v>6327</v>
      </c>
      <c r="I5551" s="240" t="s">
        <v>9208</v>
      </c>
      <c r="J5551" s="148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1">
        <f t="shared" si="1"/>
        <v>5546</v>
      </c>
      <c r="B5552" s="97" t="s">
        <v>9209</v>
      </c>
      <c r="C5552" s="82" t="str">
        <f>VLOOKUP($B$7:$B$5000,SUM!$L$6:$L$500,1,FALSE)</f>
        <v>#VALUE!</v>
      </c>
      <c r="D5552" s="190" t="s">
        <v>9210</v>
      </c>
      <c r="E5552" s="191" t="s">
        <v>58</v>
      </c>
      <c r="F5552" s="199" t="s">
        <v>9211</v>
      </c>
      <c r="G5552" s="191" t="s">
        <v>8605</v>
      </c>
      <c r="H5552" s="199" t="s">
        <v>9212</v>
      </c>
      <c r="I5552" s="197" t="s">
        <v>9213</v>
      </c>
      <c r="J5552" s="148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1">
        <f t="shared" si="1"/>
        <v>5547</v>
      </c>
      <c r="B5553" s="97" t="s">
        <v>9214</v>
      </c>
      <c r="C5553" s="82" t="str">
        <f>VLOOKUP($B$7:$B$5000,SUM!$L$6:$L$500,1,FALSE)</f>
        <v>#VALUE!</v>
      </c>
      <c r="D5553" s="190" t="s">
        <v>9210</v>
      </c>
      <c r="E5553" s="191" t="s">
        <v>58</v>
      </c>
      <c r="F5553" s="199" t="s">
        <v>9211</v>
      </c>
      <c r="G5553" s="191" t="s">
        <v>8605</v>
      </c>
      <c r="H5553" s="199" t="s">
        <v>9215</v>
      </c>
      <c r="I5553" s="197" t="s">
        <v>9213</v>
      </c>
      <c r="J5553" s="148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1">
        <f t="shared" si="1"/>
        <v>5548</v>
      </c>
      <c r="B5554" s="97" t="s">
        <v>9216</v>
      </c>
      <c r="C5554" s="82" t="str">
        <f>VLOOKUP($B$7:$B$5000,SUM!$L$6:$L$500,1,FALSE)</f>
        <v>#VALUE!</v>
      </c>
      <c r="D5554" s="190" t="s">
        <v>9210</v>
      </c>
      <c r="E5554" s="191" t="s">
        <v>58</v>
      </c>
      <c r="F5554" s="199" t="s">
        <v>9211</v>
      </c>
      <c r="G5554" s="191" t="s">
        <v>8605</v>
      </c>
      <c r="H5554" s="199" t="s">
        <v>9217</v>
      </c>
      <c r="I5554" s="197" t="s">
        <v>9213</v>
      </c>
      <c r="J5554" s="148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1">
        <f t="shared" si="1"/>
        <v>5549</v>
      </c>
      <c r="B5555" s="97" t="s">
        <v>9218</v>
      </c>
      <c r="C5555" s="82" t="str">
        <f>VLOOKUP($B$7:$B$5000,SUM!$L$6:$L$500,1,FALSE)</f>
        <v>#VALUE!</v>
      </c>
      <c r="D5555" s="190" t="s">
        <v>9210</v>
      </c>
      <c r="E5555" s="191" t="s">
        <v>58</v>
      </c>
      <c r="F5555" s="199" t="s">
        <v>9211</v>
      </c>
      <c r="G5555" s="191" t="s">
        <v>8605</v>
      </c>
      <c r="H5555" s="199" t="s">
        <v>9219</v>
      </c>
      <c r="I5555" s="197" t="s">
        <v>9213</v>
      </c>
      <c r="J5555" s="148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1">
        <f t="shared" si="1"/>
        <v>5550</v>
      </c>
      <c r="B5556" s="97" t="s">
        <v>9220</v>
      </c>
      <c r="C5556" s="82" t="str">
        <f>VLOOKUP($B$7:$B$5000,SUM!$L$6:$L$500,1,FALSE)</f>
        <v>#VALUE!</v>
      </c>
      <c r="D5556" s="190" t="s">
        <v>9210</v>
      </c>
      <c r="E5556" s="191" t="s">
        <v>58</v>
      </c>
      <c r="F5556" s="199" t="s">
        <v>9211</v>
      </c>
      <c r="G5556" s="191" t="s">
        <v>8605</v>
      </c>
      <c r="H5556" s="199" t="s">
        <v>9221</v>
      </c>
      <c r="I5556" s="197" t="s">
        <v>9213</v>
      </c>
      <c r="J5556" s="148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1">
        <f t="shared" si="1"/>
        <v>5551</v>
      </c>
      <c r="B5557" s="97" t="s">
        <v>9222</v>
      </c>
      <c r="C5557" s="82" t="str">
        <f>VLOOKUP($B$7:$B$5000,SUM!$L$6:$L$500,1,FALSE)</f>
        <v>#VALUE!</v>
      </c>
      <c r="D5557" s="190" t="s">
        <v>9210</v>
      </c>
      <c r="E5557" s="191" t="s">
        <v>58</v>
      </c>
      <c r="F5557" s="199" t="s">
        <v>9211</v>
      </c>
      <c r="G5557" s="191" t="s">
        <v>8605</v>
      </c>
      <c r="H5557" s="199" t="s">
        <v>9223</v>
      </c>
      <c r="I5557" s="197" t="s">
        <v>9213</v>
      </c>
      <c r="J5557" s="148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1">
        <f t="shared" si="1"/>
        <v>5552</v>
      </c>
      <c r="B5558" s="97" t="s">
        <v>9224</v>
      </c>
      <c r="C5558" s="82" t="str">
        <f>VLOOKUP($B$7:$B$5000,SUM!$L$6:$L$500,1,FALSE)</f>
        <v>#VALUE!</v>
      </c>
      <c r="D5558" s="190" t="s">
        <v>9210</v>
      </c>
      <c r="E5558" s="191" t="s">
        <v>58</v>
      </c>
      <c r="F5558" s="199" t="s">
        <v>9211</v>
      </c>
      <c r="G5558" s="191" t="s">
        <v>8605</v>
      </c>
      <c r="H5558" s="199" t="s">
        <v>9225</v>
      </c>
      <c r="I5558" s="197" t="s">
        <v>9213</v>
      </c>
      <c r="J5558" s="148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1">
        <f t="shared" si="1"/>
        <v>5553</v>
      </c>
      <c r="B5559" s="97" t="s">
        <v>9226</v>
      </c>
      <c r="C5559" s="82" t="str">
        <f>VLOOKUP($B$7:$B$5000,SUM!$L$6:$L$500,1,FALSE)</f>
        <v>#VALUE!</v>
      </c>
      <c r="D5559" s="190" t="s">
        <v>9210</v>
      </c>
      <c r="E5559" s="191" t="s">
        <v>58</v>
      </c>
      <c r="F5559" s="199" t="s">
        <v>9211</v>
      </c>
      <c r="G5559" s="191" t="s">
        <v>8605</v>
      </c>
      <c r="H5559" s="199" t="s">
        <v>9227</v>
      </c>
      <c r="I5559" s="197" t="s">
        <v>9213</v>
      </c>
      <c r="J5559" s="148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1">
        <f t="shared" si="1"/>
        <v>5554</v>
      </c>
      <c r="B5560" s="97" t="s">
        <v>9228</v>
      </c>
      <c r="C5560" s="82" t="str">
        <f>VLOOKUP($B$7:$B$5000,SUM!$L$6:$L$500,1,FALSE)</f>
        <v>#VALUE!</v>
      </c>
      <c r="D5560" s="190" t="s">
        <v>9210</v>
      </c>
      <c r="E5560" s="191" t="s">
        <v>58</v>
      </c>
      <c r="F5560" s="199" t="s">
        <v>9211</v>
      </c>
      <c r="G5560" s="191" t="s">
        <v>8605</v>
      </c>
      <c r="H5560" s="199" t="s">
        <v>9229</v>
      </c>
      <c r="I5560" s="197" t="s">
        <v>9213</v>
      </c>
      <c r="J5560" s="148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1">
        <f t="shared" si="1"/>
        <v>5555</v>
      </c>
      <c r="B5561" s="97" t="s">
        <v>9230</v>
      </c>
      <c r="C5561" s="82" t="str">
        <f>VLOOKUP($B$7:$B$5000,SUM!$L$6:$L$500,1,FALSE)</f>
        <v>#VALUE!</v>
      </c>
      <c r="D5561" s="190" t="s">
        <v>9210</v>
      </c>
      <c r="E5561" s="191" t="s">
        <v>58</v>
      </c>
      <c r="F5561" s="199" t="s">
        <v>9211</v>
      </c>
      <c r="G5561" s="191" t="s">
        <v>8605</v>
      </c>
      <c r="H5561" s="199" t="s">
        <v>9231</v>
      </c>
      <c r="I5561" s="197" t="s">
        <v>9213</v>
      </c>
      <c r="J5561" s="148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1">
        <f t="shared" si="1"/>
        <v>5556</v>
      </c>
      <c r="B5562" s="97" t="s">
        <v>9232</v>
      </c>
      <c r="C5562" s="82" t="str">
        <f>VLOOKUP($B$7:$B$5000,SUM!$L$6:$L$500,1,FALSE)</f>
        <v>#VALUE!</v>
      </c>
      <c r="D5562" s="190" t="s">
        <v>9233</v>
      </c>
      <c r="E5562" s="191" t="s">
        <v>58</v>
      </c>
      <c r="F5562" s="199" t="s">
        <v>9211</v>
      </c>
      <c r="G5562" s="191" t="s">
        <v>8605</v>
      </c>
      <c r="H5562" s="199" t="s">
        <v>9212</v>
      </c>
      <c r="I5562" s="270" t="s">
        <v>7158</v>
      </c>
      <c r="J5562" s="148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1">
        <f t="shared" si="1"/>
        <v>5557</v>
      </c>
      <c r="B5563" s="97" t="s">
        <v>9234</v>
      </c>
      <c r="C5563" s="82" t="str">
        <f>VLOOKUP($B$7:$B$5000,SUM!$L$6:$L$500,1,FALSE)</f>
        <v>#VALUE!</v>
      </c>
      <c r="D5563" s="190" t="s">
        <v>9233</v>
      </c>
      <c r="E5563" s="191" t="s">
        <v>58</v>
      </c>
      <c r="F5563" s="199" t="s">
        <v>9211</v>
      </c>
      <c r="G5563" s="191" t="s">
        <v>8605</v>
      </c>
      <c r="H5563" s="199" t="s">
        <v>9215</v>
      </c>
      <c r="I5563" s="197" t="s">
        <v>7158</v>
      </c>
      <c r="J5563" s="148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1">
        <f t="shared" si="1"/>
        <v>5558</v>
      </c>
      <c r="B5564" s="97" t="s">
        <v>9235</v>
      </c>
      <c r="C5564" s="82" t="str">
        <f>VLOOKUP($B$7:$B$5000,SUM!$L$6:$L$500,1,FALSE)</f>
        <v>#VALUE!</v>
      </c>
      <c r="D5564" s="190" t="s">
        <v>9233</v>
      </c>
      <c r="E5564" s="191" t="s">
        <v>58</v>
      </c>
      <c r="F5564" s="199" t="s">
        <v>9211</v>
      </c>
      <c r="G5564" s="191" t="s">
        <v>8605</v>
      </c>
      <c r="H5564" s="199" t="s">
        <v>9217</v>
      </c>
      <c r="I5564" s="197" t="s">
        <v>7158</v>
      </c>
      <c r="J5564" s="148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1">
        <f t="shared" si="1"/>
        <v>5559</v>
      </c>
      <c r="B5565" s="97" t="s">
        <v>9236</v>
      </c>
      <c r="C5565" s="82" t="str">
        <f>VLOOKUP($B$7:$B$5000,SUM!$L$6:$L$500,1,FALSE)</f>
        <v>#VALUE!</v>
      </c>
      <c r="D5565" s="190" t="s">
        <v>9233</v>
      </c>
      <c r="E5565" s="191" t="s">
        <v>58</v>
      </c>
      <c r="F5565" s="199" t="s">
        <v>9211</v>
      </c>
      <c r="G5565" s="191" t="s">
        <v>8605</v>
      </c>
      <c r="H5565" s="199" t="s">
        <v>9219</v>
      </c>
      <c r="I5565" s="197" t="s">
        <v>7158</v>
      </c>
      <c r="J5565" s="148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1">
        <f t="shared" si="1"/>
        <v>5560</v>
      </c>
      <c r="B5566" s="97" t="s">
        <v>9237</v>
      </c>
      <c r="C5566" s="82" t="str">
        <f>VLOOKUP($B$7:$B$5000,SUM!$L$6:$L$500,1,FALSE)</f>
        <v>#VALUE!</v>
      </c>
      <c r="D5566" s="190" t="s">
        <v>9233</v>
      </c>
      <c r="E5566" s="191" t="s">
        <v>58</v>
      </c>
      <c r="F5566" s="199" t="s">
        <v>9211</v>
      </c>
      <c r="G5566" s="191" t="s">
        <v>8605</v>
      </c>
      <c r="H5566" s="199" t="s">
        <v>9221</v>
      </c>
      <c r="I5566" s="197" t="s">
        <v>7158</v>
      </c>
      <c r="J5566" s="148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1">
        <f t="shared" si="1"/>
        <v>5561</v>
      </c>
      <c r="B5567" s="97" t="s">
        <v>9238</v>
      </c>
      <c r="C5567" s="82" t="str">
        <f>VLOOKUP($B$7:$B$5000,SUM!$L$6:$L$500,1,FALSE)</f>
        <v>#VALUE!</v>
      </c>
      <c r="D5567" s="190" t="s">
        <v>9233</v>
      </c>
      <c r="E5567" s="191" t="s">
        <v>58</v>
      </c>
      <c r="F5567" s="199" t="s">
        <v>9211</v>
      </c>
      <c r="G5567" s="191" t="s">
        <v>8605</v>
      </c>
      <c r="H5567" s="199" t="s">
        <v>9223</v>
      </c>
      <c r="I5567" s="197" t="s">
        <v>7158</v>
      </c>
      <c r="J5567" s="148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1">
        <f t="shared" si="1"/>
        <v>5562</v>
      </c>
      <c r="B5568" s="97" t="s">
        <v>9239</v>
      </c>
      <c r="C5568" s="82" t="str">
        <f>VLOOKUP($B$7:$B$5000,SUM!$L$6:$L$500,1,FALSE)</f>
        <v>#VALUE!</v>
      </c>
      <c r="D5568" s="190" t="s">
        <v>9233</v>
      </c>
      <c r="E5568" s="191" t="s">
        <v>58</v>
      </c>
      <c r="F5568" s="199" t="s">
        <v>9211</v>
      </c>
      <c r="G5568" s="191" t="s">
        <v>8605</v>
      </c>
      <c r="H5568" s="199" t="s">
        <v>9225</v>
      </c>
      <c r="I5568" s="197" t="s">
        <v>7158</v>
      </c>
      <c r="J5568" s="148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1">
        <f t="shared" si="1"/>
        <v>5563</v>
      </c>
      <c r="B5569" s="97" t="s">
        <v>9240</v>
      </c>
      <c r="C5569" s="82" t="str">
        <f>VLOOKUP($B$7:$B$5000,SUM!$L$6:$L$500,1,FALSE)</f>
        <v>#VALUE!</v>
      </c>
      <c r="D5569" s="190" t="s">
        <v>9233</v>
      </c>
      <c r="E5569" s="191" t="s">
        <v>58</v>
      </c>
      <c r="F5569" s="199" t="s">
        <v>9211</v>
      </c>
      <c r="G5569" s="191" t="s">
        <v>8605</v>
      </c>
      <c r="H5569" s="199" t="s">
        <v>9227</v>
      </c>
      <c r="I5569" s="197" t="s">
        <v>7158</v>
      </c>
      <c r="J5569" s="148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1">
        <f t="shared" si="1"/>
        <v>5564</v>
      </c>
      <c r="B5570" s="97" t="s">
        <v>9241</v>
      </c>
      <c r="C5570" s="82" t="str">
        <f>VLOOKUP($B$7:$B$5000,SUM!$L$6:$L$500,1,FALSE)</f>
        <v>#VALUE!</v>
      </c>
      <c r="D5570" s="190" t="s">
        <v>9233</v>
      </c>
      <c r="E5570" s="191" t="s">
        <v>58</v>
      </c>
      <c r="F5570" s="199" t="s">
        <v>9211</v>
      </c>
      <c r="G5570" s="191" t="s">
        <v>8605</v>
      </c>
      <c r="H5570" s="199" t="s">
        <v>9229</v>
      </c>
      <c r="I5570" s="197" t="s">
        <v>7158</v>
      </c>
      <c r="J5570" s="148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1">
        <f t="shared" si="1"/>
        <v>5565</v>
      </c>
      <c r="B5571" s="97" t="s">
        <v>9242</v>
      </c>
      <c r="C5571" s="82" t="str">
        <f>VLOOKUP($B$7:$B$5000,SUM!$L$6:$L$500,1,FALSE)</f>
        <v>#VALUE!</v>
      </c>
      <c r="D5571" s="190" t="s">
        <v>9233</v>
      </c>
      <c r="E5571" s="191" t="s">
        <v>58</v>
      </c>
      <c r="F5571" s="199" t="s">
        <v>9211</v>
      </c>
      <c r="G5571" s="191" t="s">
        <v>8605</v>
      </c>
      <c r="H5571" s="199" t="s">
        <v>9231</v>
      </c>
      <c r="I5571" s="197" t="s">
        <v>7158</v>
      </c>
      <c r="J5571" s="148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1">
        <f t="shared" si="1"/>
        <v>5566</v>
      </c>
      <c r="B5572" s="97" t="s">
        <v>9243</v>
      </c>
      <c r="C5572" s="82" t="str">
        <f>VLOOKUP($B$7:$B$5000,SUM!$L$6:$L$500,1,FALSE)</f>
        <v>#VALUE!</v>
      </c>
      <c r="D5572" s="190" t="s">
        <v>9244</v>
      </c>
      <c r="E5572" s="191" t="s">
        <v>58</v>
      </c>
      <c r="F5572" s="199" t="s">
        <v>9211</v>
      </c>
      <c r="G5572" s="191" t="s">
        <v>8605</v>
      </c>
      <c r="H5572" s="295" t="s">
        <v>9245</v>
      </c>
      <c r="I5572" s="197" t="s">
        <v>9246</v>
      </c>
      <c r="J5572" s="148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1">
        <f t="shared" si="1"/>
        <v>5567</v>
      </c>
      <c r="B5573" s="97" t="s">
        <v>9247</v>
      </c>
      <c r="C5573" s="82" t="str">
        <f>VLOOKUP($B$7:$B$5000,SUM!$L$6:$L$500,1,FALSE)</f>
        <v>#VALUE!</v>
      </c>
      <c r="D5573" s="190" t="s">
        <v>9244</v>
      </c>
      <c r="E5573" s="191" t="s">
        <v>58</v>
      </c>
      <c r="F5573" s="199" t="s">
        <v>9211</v>
      </c>
      <c r="G5573" s="191" t="s">
        <v>8605</v>
      </c>
      <c r="H5573" s="295" t="s">
        <v>9248</v>
      </c>
      <c r="I5573" s="197" t="s">
        <v>8962</v>
      </c>
      <c r="J5573" s="148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1">
        <f t="shared" si="1"/>
        <v>5568</v>
      </c>
      <c r="B5574" s="97" t="s">
        <v>9249</v>
      </c>
      <c r="C5574" s="82" t="str">
        <f>VLOOKUP($B$7:$B$5000,SUM!$L$6:$L$500,1,FALSE)</f>
        <v>#VALUE!</v>
      </c>
      <c r="D5574" s="190" t="s">
        <v>9244</v>
      </c>
      <c r="E5574" s="191" t="s">
        <v>58</v>
      </c>
      <c r="F5574" s="199" t="s">
        <v>9211</v>
      </c>
      <c r="G5574" s="191" t="s">
        <v>8605</v>
      </c>
      <c r="H5574" s="295" t="s">
        <v>9250</v>
      </c>
      <c r="I5574" s="197" t="s">
        <v>9246</v>
      </c>
      <c r="J5574" s="148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1">
        <f t="shared" si="1"/>
        <v>5569</v>
      </c>
      <c r="B5575" s="97" t="s">
        <v>9251</v>
      </c>
      <c r="C5575" s="82" t="str">
        <f>VLOOKUP($B$7:$B$5000,SUM!$L$6:$L$500,1,FALSE)</f>
        <v>#VALUE!</v>
      </c>
      <c r="D5575" s="190" t="s">
        <v>9244</v>
      </c>
      <c r="E5575" s="191" t="s">
        <v>58</v>
      </c>
      <c r="F5575" s="199" t="s">
        <v>9211</v>
      </c>
      <c r="G5575" s="191" t="s">
        <v>8605</v>
      </c>
      <c r="H5575" s="295" t="s">
        <v>9252</v>
      </c>
      <c r="I5575" s="197" t="s">
        <v>9253</v>
      </c>
      <c r="J5575" s="148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1">
        <f t="shared" si="1"/>
        <v>5570</v>
      </c>
      <c r="B5576" s="97" t="s">
        <v>9254</v>
      </c>
      <c r="C5576" s="82" t="str">
        <f>VLOOKUP($B$7:$B$5000,SUM!$L$6:$L$500,1,FALSE)</f>
        <v>#VALUE!</v>
      </c>
      <c r="D5576" s="190" t="s">
        <v>9244</v>
      </c>
      <c r="E5576" s="191" t="s">
        <v>58</v>
      </c>
      <c r="F5576" s="199" t="s">
        <v>9211</v>
      </c>
      <c r="G5576" s="191" t="s">
        <v>8605</v>
      </c>
      <c r="H5576" s="295" t="s">
        <v>7461</v>
      </c>
      <c r="I5576" s="197" t="s">
        <v>9255</v>
      </c>
      <c r="J5576" s="148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1">
        <f t="shared" si="1"/>
        <v>5571</v>
      </c>
      <c r="B5577" s="97" t="s">
        <v>9256</v>
      </c>
      <c r="C5577" s="82" t="str">
        <f>VLOOKUP($B$7:$B$5000,SUM!$L$6:$L$500,1,FALSE)</f>
        <v>#VALUE!</v>
      </c>
      <c r="D5577" s="271" t="s">
        <v>9257</v>
      </c>
      <c r="E5577" s="189" t="s">
        <v>58</v>
      </c>
      <c r="F5577" s="148" t="s">
        <v>9258</v>
      </c>
      <c r="G5577" s="189" t="s">
        <v>8733</v>
      </c>
      <c r="H5577" s="148" t="s">
        <v>9259</v>
      </c>
      <c r="I5577" s="270" t="s">
        <v>8919</v>
      </c>
      <c r="J5577" s="148" t="s">
        <v>63</v>
      </c>
      <c r="K5577" s="148" t="s">
        <v>9083</v>
      </c>
      <c r="L5577" s="148" t="s">
        <v>65</v>
      </c>
      <c r="M5577" s="148" t="s">
        <v>66</v>
      </c>
      <c r="N5577" s="285">
        <v>46253.0</v>
      </c>
      <c r="O5577" s="148" t="s">
        <v>67</v>
      </c>
      <c r="P5577" s="148" t="s">
        <v>68</v>
      </c>
      <c r="Q5577" s="103"/>
      <c r="R5577" s="103"/>
      <c r="S5577" s="103"/>
      <c r="T5577" s="103"/>
      <c r="U5577" s="148" t="s">
        <v>28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1">
        <f t="shared" si="1"/>
        <v>5572</v>
      </c>
      <c r="B5578" s="97" t="s">
        <v>9260</v>
      </c>
      <c r="C5578" s="82" t="str">
        <f>VLOOKUP($B$7:$B$5000,SUM!$L$6:$L$500,1,FALSE)</f>
        <v>#VALUE!</v>
      </c>
      <c r="D5578" s="271" t="s">
        <v>9257</v>
      </c>
      <c r="E5578" s="189" t="s">
        <v>58</v>
      </c>
      <c r="F5578" s="148" t="s">
        <v>9258</v>
      </c>
      <c r="G5578" s="189" t="s">
        <v>8733</v>
      </c>
      <c r="H5578" s="148" t="s">
        <v>9261</v>
      </c>
      <c r="I5578" s="270" t="s">
        <v>8919</v>
      </c>
      <c r="J5578" s="148" t="s">
        <v>63</v>
      </c>
      <c r="K5578" s="148" t="s">
        <v>9083</v>
      </c>
      <c r="L5578" s="148" t="s">
        <v>65</v>
      </c>
      <c r="M5578" s="148" t="s">
        <v>66</v>
      </c>
      <c r="N5578" s="285">
        <v>46253.0</v>
      </c>
      <c r="O5578" s="148" t="s">
        <v>67</v>
      </c>
      <c r="P5578" s="148" t="s">
        <v>68</v>
      </c>
      <c r="Q5578" s="103"/>
      <c r="R5578" s="103"/>
      <c r="S5578" s="103"/>
      <c r="T5578" s="103"/>
      <c r="U5578" s="148" t="s">
        <v>28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1">
        <f t="shared" si="1"/>
        <v>5573</v>
      </c>
      <c r="B5579" s="97" t="s">
        <v>9262</v>
      </c>
      <c r="C5579" s="82" t="str">
        <f>VLOOKUP($B$7:$B$5000,SUM!$L$6:$L$500,1,FALSE)</f>
        <v>#VALUE!</v>
      </c>
      <c r="D5579" s="271" t="s">
        <v>9257</v>
      </c>
      <c r="E5579" s="189" t="s">
        <v>58</v>
      </c>
      <c r="F5579" s="148" t="s">
        <v>9258</v>
      </c>
      <c r="G5579" s="189" t="s">
        <v>8733</v>
      </c>
      <c r="H5579" s="148" t="s">
        <v>845</v>
      </c>
      <c r="I5579" s="270" t="s">
        <v>8919</v>
      </c>
      <c r="J5579" s="148" t="s">
        <v>63</v>
      </c>
      <c r="K5579" s="148" t="s">
        <v>9083</v>
      </c>
      <c r="L5579" s="148" t="s">
        <v>65</v>
      </c>
      <c r="M5579" s="148" t="s">
        <v>66</v>
      </c>
      <c r="N5579" s="285">
        <v>46253.0</v>
      </c>
      <c r="O5579" s="148" t="s">
        <v>67</v>
      </c>
      <c r="P5579" s="148" t="s">
        <v>68</v>
      </c>
      <c r="Q5579" s="103"/>
      <c r="R5579" s="103"/>
      <c r="S5579" s="103"/>
      <c r="T5579" s="103"/>
      <c r="U5579" s="148" t="s">
        <v>28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1">
        <f t="shared" si="1"/>
        <v>5574</v>
      </c>
      <c r="B5580" s="97" t="s">
        <v>9263</v>
      </c>
      <c r="C5580" s="82" t="str">
        <f>VLOOKUP($B$7:$B$5000,SUM!$L$6:$L$500,1,FALSE)</f>
        <v>#VALUE!</v>
      </c>
      <c r="D5580" s="271" t="s">
        <v>9264</v>
      </c>
      <c r="E5580" s="189" t="s">
        <v>58</v>
      </c>
      <c r="F5580" s="148" t="s">
        <v>8912</v>
      </c>
      <c r="G5580" s="189" t="s">
        <v>8733</v>
      </c>
      <c r="H5580" s="148" t="s">
        <v>9259</v>
      </c>
      <c r="I5580" s="270" t="s">
        <v>8929</v>
      </c>
      <c r="J5580" s="148" t="s">
        <v>63</v>
      </c>
      <c r="K5580" s="148" t="s">
        <v>9083</v>
      </c>
      <c r="L5580" s="148" t="s">
        <v>65</v>
      </c>
      <c r="M5580" s="148" t="s">
        <v>66</v>
      </c>
      <c r="N5580" s="285">
        <v>46253.0</v>
      </c>
      <c r="O5580" s="148" t="s">
        <v>67</v>
      </c>
      <c r="P5580" s="148" t="s">
        <v>68</v>
      </c>
      <c r="Q5580" s="103"/>
      <c r="R5580" s="103"/>
      <c r="S5580" s="103"/>
      <c r="T5580" s="103"/>
      <c r="U5580" s="148" t="s">
        <v>28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1">
        <f t="shared" si="1"/>
        <v>5575</v>
      </c>
      <c r="B5581" s="97" t="s">
        <v>9265</v>
      </c>
      <c r="C5581" s="82" t="str">
        <f>VLOOKUP($B$7:$B$5000,SUM!$L$6:$L$500,1,FALSE)</f>
        <v>#VALUE!</v>
      </c>
      <c r="D5581" s="271" t="s">
        <v>9264</v>
      </c>
      <c r="E5581" s="189" t="s">
        <v>58</v>
      </c>
      <c r="F5581" s="148" t="s">
        <v>8912</v>
      </c>
      <c r="G5581" s="189" t="s">
        <v>8733</v>
      </c>
      <c r="H5581" s="148" t="s">
        <v>9261</v>
      </c>
      <c r="I5581" s="270" t="s">
        <v>8929</v>
      </c>
      <c r="J5581" s="148" t="s">
        <v>63</v>
      </c>
      <c r="K5581" s="148" t="s">
        <v>9083</v>
      </c>
      <c r="L5581" s="148" t="s">
        <v>65</v>
      </c>
      <c r="M5581" s="148" t="s">
        <v>66</v>
      </c>
      <c r="N5581" s="285">
        <v>46253.0</v>
      </c>
      <c r="O5581" s="148" t="s">
        <v>67</v>
      </c>
      <c r="P5581" s="148" t="s">
        <v>68</v>
      </c>
      <c r="Q5581" s="103"/>
      <c r="R5581" s="103"/>
      <c r="S5581" s="103"/>
      <c r="T5581" s="103"/>
      <c r="U5581" s="148" t="s">
        <v>28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1">
        <f t="shared" si="1"/>
        <v>5576</v>
      </c>
      <c r="B5582" s="97" t="s">
        <v>9266</v>
      </c>
      <c r="C5582" s="82" t="str">
        <f>VLOOKUP($B$7:$B$5000,SUM!$L$6:$L$500,1,FALSE)</f>
        <v>#VALUE!</v>
      </c>
      <c r="D5582" s="271" t="s">
        <v>9264</v>
      </c>
      <c r="E5582" s="189" t="s">
        <v>58</v>
      </c>
      <c r="F5582" s="148" t="s">
        <v>8912</v>
      </c>
      <c r="G5582" s="189" t="s">
        <v>8733</v>
      </c>
      <c r="H5582" s="148" t="s">
        <v>845</v>
      </c>
      <c r="I5582" s="270" t="s">
        <v>8929</v>
      </c>
      <c r="J5582" s="148" t="s">
        <v>63</v>
      </c>
      <c r="K5582" s="148" t="s">
        <v>9083</v>
      </c>
      <c r="L5582" s="148" t="s">
        <v>65</v>
      </c>
      <c r="M5582" s="148" t="s">
        <v>66</v>
      </c>
      <c r="N5582" s="285">
        <v>46253.0</v>
      </c>
      <c r="O5582" s="148" t="s">
        <v>67</v>
      </c>
      <c r="P5582" s="148" t="s">
        <v>68</v>
      </c>
      <c r="Q5582" s="103"/>
      <c r="R5582" s="103"/>
      <c r="S5582" s="103"/>
      <c r="T5582" s="103"/>
      <c r="U5582" s="148" t="s">
        <v>28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1">
        <f t="shared" si="1"/>
        <v>5577</v>
      </c>
      <c r="B5583" s="97" t="s">
        <v>9267</v>
      </c>
      <c r="C5583" s="82" t="str">
        <f>VLOOKUP($B$7:$B$5000,SUM!$L$6:$L$500,1,FALSE)</f>
        <v>#VALUE!</v>
      </c>
      <c r="D5583" s="271" t="s">
        <v>9268</v>
      </c>
      <c r="E5583" s="189" t="s">
        <v>58</v>
      </c>
      <c r="F5583" s="148" t="s">
        <v>9269</v>
      </c>
      <c r="G5583" s="191" t="s">
        <v>9270</v>
      </c>
      <c r="H5583" s="275" t="s">
        <v>595</v>
      </c>
      <c r="I5583" s="197" t="s">
        <v>9271</v>
      </c>
      <c r="J5583" s="148" t="s">
        <v>63</v>
      </c>
      <c r="K5583" s="148" t="s">
        <v>9083</v>
      </c>
      <c r="L5583" s="148" t="s">
        <v>65</v>
      </c>
      <c r="M5583" s="148" t="s">
        <v>66</v>
      </c>
      <c r="N5583" s="285">
        <v>46248.0</v>
      </c>
      <c r="O5583" s="148" t="s">
        <v>67</v>
      </c>
      <c r="P5583" s="148" t="s">
        <v>68</v>
      </c>
      <c r="Q5583" s="103"/>
      <c r="R5583" s="103"/>
      <c r="S5583" s="103"/>
      <c r="T5583" s="103"/>
      <c r="U5583" s="148" t="s">
        <v>28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1">
        <f t="shared" si="1"/>
        <v>5578</v>
      </c>
      <c r="B5584" s="97" t="s">
        <v>9272</v>
      </c>
      <c r="C5584" s="82" t="str">
        <f>VLOOKUP($B$7:$B$5000,SUM!$L$6:$L$500,1,FALSE)</f>
        <v>#VALUE!</v>
      </c>
      <c r="D5584" s="271" t="s">
        <v>9268</v>
      </c>
      <c r="E5584" s="189" t="s">
        <v>58</v>
      </c>
      <c r="F5584" s="148" t="s">
        <v>9269</v>
      </c>
      <c r="G5584" s="191" t="s">
        <v>9270</v>
      </c>
      <c r="H5584" s="275" t="s">
        <v>2779</v>
      </c>
      <c r="I5584" s="197" t="s">
        <v>9271</v>
      </c>
      <c r="J5584" s="148" t="s">
        <v>63</v>
      </c>
      <c r="K5584" s="148" t="s">
        <v>9083</v>
      </c>
      <c r="L5584" s="148" t="s">
        <v>65</v>
      </c>
      <c r="M5584" s="148" t="s">
        <v>66</v>
      </c>
      <c r="N5584" s="285">
        <v>46248.0</v>
      </c>
      <c r="O5584" s="148" t="s">
        <v>67</v>
      </c>
      <c r="P5584" s="148" t="s">
        <v>68</v>
      </c>
      <c r="Q5584" s="103"/>
      <c r="R5584" s="103"/>
      <c r="S5584" s="103"/>
      <c r="T5584" s="103"/>
      <c r="U5584" s="148" t="s">
        <v>28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1">
        <f t="shared" si="1"/>
        <v>5579</v>
      </c>
      <c r="B5585" s="97" t="s">
        <v>9273</v>
      </c>
      <c r="C5585" s="82" t="str">
        <f>VLOOKUP($B$7:$B$5000,SUM!$L$6:$L$500,1,FALSE)</f>
        <v>#VALUE!</v>
      </c>
      <c r="D5585" s="271" t="s">
        <v>9268</v>
      </c>
      <c r="E5585" s="189" t="s">
        <v>58</v>
      </c>
      <c r="F5585" s="148" t="s">
        <v>9269</v>
      </c>
      <c r="G5585" s="191" t="s">
        <v>3272</v>
      </c>
      <c r="H5585" s="275" t="s">
        <v>639</v>
      </c>
      <c r="I5585" s="197" t="s">
        <v>9271</v>
      </c>
      <c r="J5585" s="148" t="s">
        <v>63</v>
      </c>
      <c r="K5585" s="148" t="s">
        <v>9083</v>
      </c>
      <c r="L5585" s="148" t="s">
        <v>65</v>
      </c>
      <c r="M5585" s="148" t="s">
        <v>66</v>
      </c>
      <c r="N5585" s="285">
        <v>46248.0</v>
      </c>
      <c r="O5585" s="148" t="s">
        <v>67</v>
      </c>
      <c r="P5585" s="148" t="s">
        <v>68</v>
      </c>
      <c r="Q5585" s="103"/>
      <c r="R5585" s="103"/>
      <c r="S5585" s="103"/>
      <c r="T5585" s="103"/>
      <c r="U5585" s="148" t="s">
        <v>28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1">
        <f t="shared" si="1"/>
        <v>5580</v>
      </c>
      <c r="B5586" s="97" t="s">
        <v>9274</v>
      </c>
      <c r="C5586" s="82" t="str">
        <f>VLOOKUP($B$7:$B$5000,SUM!$L$6:$L$500,1,FALSE)</f>
        <v>#VALUE!</v>
      </c>
      <c r="D5586" s="271" t="s">
        <v>9268</v>
      </c>
      <c r="E5586" s="189" t="s">
        <v>58</v>
      </c>
      <c r="F5586" s="148" t="s">
        <v>9269</v>
      </c>
      <c r="G5586" s="191" t="s">
        <v>3272</v>
      </c>
      <c r="H5586" s="275" t="s">
        <v>2782</v>
      </c>
      <c r="I5586" s="197" t="s">
        <v>9271</v>
      </c>
      <c r="J5586" s="148" t="s">
        <v>63</v>
      </c>
      <c r="K5586" s="148" t="s">
        <v>9083</v>
      </c>
      <c r="L5586" s="148" t="s">
        <v>65</v>
      </c>
      <c r="M5586" s="148" t="s">
        <v>66</v>
      </c>
      <c r="N5586" s="285">
        <v>46248.0</v>
      </c>
      <c r="O5586" s="148" t="s">
        <v>67</v>
      </c>
      <c r="P5586" s="148" t="s">
        <v>68</v>
      </c>
      <c r="Q5586" s="103"/>
      <c r="R5586" s="103"/>
      <c r="S5586" s="103"/>
      <c r="T5586" s="103"/>
      <c r="U5586" s="148" t="s">
        <v>28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1">
        <f t="shared" si="1"/>
        <v>5581</v>
      </c>
      <c r="B5587" s="97" t="s">
        <v>9275</v>
      </c>
      <c r="C5587" s="82" t="str">
        <f>VLOOKUP($B$7:$B$5000,SUM!$L$6:$L$500,1,FALSE)</f>
        <v>#VALUE!</v>
      </c>
      <c r="D5587" s="271" t="s">
        <v>9268</v>
      </c>
      <c r="E5587" s="189" t="s">
        <v>58</v>
      </c>
      <c r="F5587" s="148" t="s">
        <v>9269</v>
      </c>
      <c r="G5587" s="191" t="s">
        <v>3272</v>
      </c>
      <c r="H5587" s="275" t="s">
        <v>605</v>
      </c>
      <c r="I5587" s="197" t="s">
        <v>9271</v>
      </c>
      <c r="J5587" s="148" t="s">
        <v>63</v>
      </c>
      <c r="K5587" s="148" t="s">
        <v>9083</v>
      </c>
      <c r="L5587" s="148" t="s">
        <v>65</v>
      </c>
      <c r="M5587" s="148" t="s">
        <v>66</v>
      </c>
      <c r="N5587" s="285">
        <v>46248.0</v>
      </c>
      <c r="O5587" s="148" t="s">
        <v>67</v>
      </c>
      <c r="P5587" s="148" t="s">
        <v>68</v>
      </c>
      <c r="Q5587" s="103"/>
      <c r="R5587" s="103"/>
      <c r="S5587" s="103"/>
      <c r="T5587" s="103"/>
      <c r="U5587" s="148" t="s">
        <v>28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1">
        <f t="shared" si="1"/>
        <v>5582</v>
      </c>
      <c r="B5588" s="97" t="s">
        <v>9276</v>
      </c>
      <c r="C5588" s="82" t="str">
        <f>VLOOKUP($B$7:$B$5000,SUM!$L$6:$L$500,1,FALSE)</f>
        <v>#VALUE!</v>
      </c>
      <c r="D5588" s="271" t="s">
        <v>9268</v>
      </c>
      <c r="E5588" s="189" t="s">
        <v>2678</v>
      </c>
      <c r="F5588" s="148" t="s">
        <v>9269</v>
      </c>
      <c r="G5588" s="191" t="s">
        <v>3272</v>
      </c>
      <c r="H5588" s="275" t="s">
        <v>2788</v>
      </c>
      <c r="I5588" s="197" t="s">
        <v>9271</v>
      </c>
      <c r="J5588" s="148" t="s">
        <v>63</v>
      </c>
      <c r="K5588" s="148" t="s">
        <v>9083</v>
      </c>
      <c r="L5588" s="148" t="s">
        <v>65</v>
      </c>
      <c r="M5588" s="148" t="s">
        <v>66</v>
      </c>
      <c r="N5588" s="285">
        <v>46248.0</v>
      </c>
      <c r="O5588" s="148" t="s">
        <v>67</v>
      </c>
      <c r="P5588" s="148" t="s">
        <v>68</v>
      </c>
      <c r="Q5588" s="103"/>
      <c r="R5588" s="103"/>
      <c r="S5588" s="103"/>
      <c r="T5588" s="103"/>
      <c r="U5588" s="148" t="s">
        <v>28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1">
        <f t="shared" si="1"/>
        <v>5583</v>
      </c>
      <c r="B5589" s="97" t="s">
        <v>9277</v>
      </c>
      <c r="C5589" s="82" t="str">
        <f>VLOOKUP($B$7:$B$5000,SUM!$L$6:$L$500,1,FALSE)</f>
        <v>#VALUE!</v>
      </c>
      <c r="D5589" s="271" t="s">
        <v>9268</v>
      </c>
      <c r="E5589" s="189" t="s">
        <v>6909</v>
      </c>
      <c r="F5589" s="148" t="s">
        <v>9269</v>
      </c>
      <c r="G5589" s="191" t="s">
        <v>9270</v>
      </c>
      <c r="H5589" s="275" t="s">
        <v>627</v>
      </c>
      <c r="I5589" s="197" t="s">
        <v>9271</v>
      </c>
      <c r="J5589" s="148" t="s">
        <v>63</v>
      </c>
      <c r="K5589" s="148" t="s">
        <v>9083</v>
      </c>
      <c r="L5589" s="148" t="s">
        <v>65</v>
      </c>
      <c r="M5589" s="148" t="s">
        <v>66</v>
      </c>
      <c r="N5589" s="285">
        <v>46248.0</v>
      </c>
      <c r="O5589" s="148" t="s">
        <v>67</v>
      </c>
      <c r="P5589" s="148" t="s">
        <v>68</v>
      </c>
      <c r="Q5589" s="103"/>
      <c r="R5589" s="103"/>
      <c r="S5589" s="103"/>
      <c r="T5589" s="103"/>
      <c r="U5589" s="148" t="s">
        <v>28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1">
        <f t="shared" si="1"/>
        <v>5584</v>
      </c>
      <c r="B5590" s="97" t="s">
        <v>9278</v>
      </c>
      <c r="C5590" s="82" t="str">
        <f>VLOOKUP($B$7:$B$5000,SUM!$L$6:$L$500,1,FALSE)</f>
        <v>#VALUE!</v>
      </c>
      <c r="D5590" s="271" t="s">
        <v>9268</v>
      </c>
      <c r="E5590" s="189" t="s">
        <v>6912</v>
      </c>
      <c r="F5590" s="148" t="s">
        <v>9269</v>
      </c>
      <c r="G5590" s="191" t="s">
        <v>9279</v>
      </c>
      <c r="H5590" s="275" t="s">
        <v>9280</v>
      </c>
      <c r="I5590" s="270" t="s">
        <v>8279</v>
      </c>
      <c r="J5590" s="148" t="s">
        <v>63</v>
      </c>
      <c r="K5590" s="148" t="s">
        <v>9083</v>
      </c>
      <c r="L5590" s="148" t="s">
        <v>65</v>
      </c>
      <c r="M5590" s="148" t="s">
        <v>66</v>
      </c>
      <c r="N5590" s="285">
        <v>46248.0</v>
      </c>
      <c r="O5590" s="148" t="s">
        <v>67</v>
      </c>
      <c r="P5590" s="148" t="s">
        <v>68</v>
      </c>
      <c r="Q5590" s="103"/>
      <c r="R5590" s="103"/>
      <c r="S5590" s="103"/>
      <c r="T5590" s="103"/>
      <c r="U5590" s="148" t="s">
        <v>28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1">
        <f t="shared" si="1"/>
        <v>5585</v>
      </c>
      <c r="B5591" s="97" t="s">
        <v>9281</v>
      </c>
      <c r="C5591" s="82" t="str">
        <f>VLOOKUP($B$7:$B$5000,SUM!$L$6:$L$500,1,FALSE)</f>
        <v>#VALUE!</v>
      </c>
      <c r="D5591" s="271" t="s">
        <v>9268</v>
      </c>
      <c r="E5591" s="189" t="s">
        <v>9282</v>
      </c>
      <c r="F5591" s="148" t="s">
        <v>9269</v>
      </c>
      <c r="G5591" s="191" t="s">
        <v>9270</v>
      </c>
      <c r="H5591" s="199" t="s">
        <v>595</v>
      </c>
      <c r="I5591" s="197" t="s">
        <v>9283</v>
      </c>
      <c r="J5591" s="148" t="s">
        <v>63</v>
      </c>
      <c r="K5591" s="148" t="s">
        <v>9083</v>
      </c>
      <c r="L5591" s="148" t="s">
        <v>65</v>
      </c>
      <c r="M5591" s="148" t="s">
        <v>66</v>
      </c>
      <c r="N5591" s="285">
        <v>46248.0</v>
      </c>
      <c r="O5591" s="148" t="s">
        <v>67</v>
      </c>
      <c r="P5591" s="148" t="s">
        <v>68</v>
      </c>
      <c r="Q5591" s="103"/>
      <c r="R5591" s="103"/>
      <c r="S5591" s="103"/>
      <c r="T5591" s="103"/>
      <c r="U5591" s="148" t="s">
        <v>28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1">
        <f t="shared" si="1"/>
        <v>5586</v>
      </c>
      <c r="B5592" s="97" t="s">
        <v>9284</v>
      </c>
      <c r="C5592" s="82" t="str">
        <f>VLOOKUP($B$7:$B$5000,SUM!$L$6:$L$500,1,FALSE)</f>
        <v>#VALUE!</v>
      </c>
      <c r="D5592" s="271" t="s">
        <v>9268</v>
      </c>
      <c r="E5592" s="189" t="s">
        <v>58</v>
      </c>
      <c r="F5592" s="148" t="s">
        <v>9269</v>
      </c>
      <c r="G5592" s="191" t="s">
        <v>9270</v>
      </c>
      <c r="H5592" s="199" t="s">
        <v>2779</v>
      </c>
      <c r="I5592" s="270" t="s">
        <v>9283</v>
      </c>
      <c r="J5592" s="148" t="s">
        <v>63</v>
      </c>
      <c r="K5592" s="148" t="s">
        <v>9083</v>
      </c>
      <c r="L5592" s="148" t="s">
        <v>65</v>
      </c>
      <c r="M5592" s="148" t="s">
        <v>66</v>
      </c>
      <c r="N5592" s="285">
        <v>46248.0</v>
      </c>
      <c r="O5592" s="148" t="s">
        <v>67</v>
      </c>
      <c r="P5592" s="148" t="s">
        <v>68</v>
      </c>
      <c r="Q5592" s="103"/>
      <c r="R5592" s="103"/>
      <c r="S5592" s="103"/>
      <c r="T5592" s="103"/>
      <c r="U5592" s="148" t="s">
        <v>28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1">
        <f t="shared" si="1"/>
        <v>5587</v>
      </c>
      <c r="B5593" s="97" t="s">
        <v>9285</v>
      </c>
      <c r="C5593" s="82" t="str">
        <f>VLOOKUP($B$7:$B$5000,SUM!$L$6:$L$500,1,FALSE)</f>
        <v>#VALUE!</v>
      </c>
      <c r="D5593" s="271" t="s">
        <v>9268</v>
      </c>
      <c r="E5593" s="189" t="s">
        <v>58</v>
      </c>
      <c r="F5593" s="148" t="s">
        <v>9269</v>
      </c>
      <c r="G5593" s="191" t="s">
        <v>3272</v>
      </c>
      <c r="H5593" s="199" t="s">
        <v>639</v>
      </c>
      <c r="I5593" s="270" t="s">
        <v>9283</v>
      </c>
      <c r="J5593" s="148" t="s">
        <v>63</v>
      </c>
      <c r="K5593" s="148" t="s">
        <v>9083</v>
      </c>
      <c r="L5593" s="148" t="s">
        <v>65</v>
      </c>
      <c r="M5593" s="148" t="s">
        <v>66</v>
      </c>
      <c r="N5593" s="285">
        <v>46248.0</v>
      </c>
      <c r="O5593" s="148" t="s">
        <v>67</v>
      </c>
      <c r="P5593" s="148" t="s">
        <v>68</v>
      </c>
      <c r="Q5593" s="103"/>
      <c r="R5593" s="103"/>
      <c r="S5593" s="103"/>
      <c r="T5593" s="103"/>
      <c r="U5593" s="148" t="s">
        <v>28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1">
        <f t="shared" si="1"/>
        <v>5588</v>
      </c>
      <c r="B5594" s="97" t="s">
        <v>9286</v>
      </c>
      <c r="C5594" s="82" t="str">
        <f>VLOOKUP($B$7:$B$5000,SUM!$L$6:$L$500,1,FALSE)</f>
        <v>#VALUE!</v>
      </c>
      <c r="D5594" s="271" t="s">
        <v>9268</v>
      </c>
      <c r="E5594" s="189" t="s">
        <v>58</v>
      </c>
      <c r="F5594" s="148" t="s">
        <v>9269</v>
      </c>
      <c r="G5594" s="191" t="s">
        <v>3272</v>
      </c>
      <c r="H5594" s="199" t="s">
        <v>2782</v>
      </c>
      <c r="I5594" s="197" t="s">
        <v>9283</v>
      </c>
      <c r="J5594" s="148" t="s">
        <v>63</v>
      </c>
      <c r="K5594" s="148" t="s">
        <v>9083</v>
      </c>
      <c r="L5594" s="148" t="s">
        <v>65</v>
      </c>
      <c r="M5594" s="148" t="s">
        <v>66</v>
      </c>
      <c r="N5594" s="285">
        <v>46248.0</v>
      </c>
      <c r="O5594" s="148" t="s">
        <v>67</v>
      </c>
      <c r="P5594" s="148" t="s">
        <v>68</v>
      </c>
      <c r="Q5594" s="103"/>
      <c r="R5594" s="103"/>
      <c r="S5594" s="103"/>
      <c r="T5594" s="103"/>
      <c r="U5594" s="148" t="s">
        <v>28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1">
        <f t="shared" si="1"/>
        <v>5589</v>
      </c>
      <c r="B5595" s="97" t="s">
        <v>9287</v>
      </c>
      <c r="C5595" s="82" t="str">
        <f>VLOOKUP($B$7:$B$5000,SUM!$L$6:$L$500,1,FALSE)</f>
        <v>#VALUE!</v>
      </c>
      <c r="D5595" s="271" t="s">
        <v>9268</v>
      </c>
      <c r="E5595" s="189" t="s">
        <v>58</v>
      </c>
      <c r="F5595" s="148" t="s">
        <v>9269</v>
      </c>
      <c r="G5595" s="191" t="s">
        <v>3272</v>
      </c>
      <c r="H5595" s="199" t="s">
        <v>605</v>
      </c>
      <c r="I5595" s="197" t="s">
        <v>9283</v>
      </c>
      <c r="J5595" s="148" t="s">
        <v>63</v>
      </c>
      <c r="K5595" s="148" t="s">
        <v>9083</v>
      </c>
      <c r="L5595" s="148" t="s">
        <v>65</v>
      </c>
      <c r="M5595" s="148" t="s">
        <v>66</v>
      </c>
      <c r="N5595" s="285">
        <v>46248.0</v>
      </c>
      <c r="O5595" s="148" t="s">
        <v>67</v>
      </c>
      <c r="P5595" s="148" t="s">
        <v>68</v>
      </c>
      <c r="Q5595" s="103"/>
      <c r="R5595" s="103"/>
      <c r="S5595" s="103"/>
      <c r="T5595" s="103"/>
      <c r="U5595" s="148" t="s">
        <v>28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1">
        <f t="shared" si="1"/>
        <v>5590</v>
      </c>
      <c r="B5596" s="97" t="s">
        <v>9288</v>
      </c>
      <c r="C5596" s="82" t="str">
        <f>VLOOKUP($B$7:$B$5000,SUM!$L$6:$L$500,1,FALSE)</f>
        <v>#VALUE!</v>
      </c>
      <c r="D5596" s="271" t="s">
        <v>9268</v>
      </c>
      <c r="E5596" s="189" t="s">
        <v>58</v>
      </c>
      <c r="F5596" s="148" t="s">
        <v>9269</v>
      </c>
      <c r="G5596" s="191" t="s">
        <v>3272</v>
      </c>
      <c r="H5596" s="199" t="s">
        <v>2788</v>
      </c>
      <c r="I5596" s="197" t="s">
        <v>9283</v>
      </c>
      <c r="J5596" s="148" t="s">
        <v>63</v>
      </c>
      <c r="K5596" s="148" t="s">
        <v>9083</v>
      </c>
      <c r="L5596" s="148" t="s">
        <v>65</v>
      </c>
      <c r="M5596" s="148" t="s">
        <v>66</v>
      </c>
      <c r="N5596" s="285">
        <v>46248.0</v>
      </c>
      <c r="O5596" s="148" t="s">
        <v>67</v>
      </c>
      <c r="P5596" s="148" t="s">
        <v>68</v>
      </c>
      <c r="Q5596" s="103"/>
      <c r="R5596" s="103"/>
      <c r="S5596" s="103"/>
      <c r="T5596" s="103"/>
      <c r="U5596" s="148" t="s">
        <v>28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1">
        <f t="shared" si="1"/>
        <v>5591</v>
      </c>
      <c r="B5597" s="97" t="s">
        <v>9289</v>
      </c>
      <c r="C5597" s="82" t="str">
        <f>VLOOKUP($B$7:$B$5000,SUM!$L$6:$L$500,1,FALSE)</f>
        <v>#VALUE!</v>
      </c>
      <c r="D5597" s="271" t="s">
        <v>9268</v>
      </c>
      <c r="E5597" s="189" t="s">
        <v>58</v>
      </c>
      <c r="F5597" s="148" t="s">
        <v>9269</v>
      </c>
      <c r="G5597" s="191" t="s">
        <v>9270</v>
      </c>
      <c r="H5597" s="199" t="s">
        <v>627</v>
      </c>
      <c r="I5597" s="197" t="s">
        <v>9283</v>
      </c>
      <c r="J5597" s="148" t="s">
        <v>63</v>
      </c>
      <c r="K5597" s="148" t="s">
        <v>9083</v>
      </c>
      <c r="L5597" s="148" t="s">
        <v>65</v>
      </c>
      <c r="M5597" s="148" t="s">
        <v>66</v>
      </c>
      <c r="N5597" s="285">
        <v>46248.0</v>
      </c>
      <c r="O5597" s="148" t="s">
        <v>67</v>
      </c>
      <c r="P5597" s="148" t="s">
        <v>68</v>
      </c>
      <c r="Q5597" s="103"/>
      <c r="R5597" s="103"/>
      <c r="S5597" s="103"/>
      <c r="T5597" s="103"/>
      <c r="U5597" s="148" t="s">
        <v>28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1">
        <f t="shared" si="1"/>
        <v>5592</v>
      </c>
      <c r="B5598" s="97" t="s">
        <v>9290</v>
      </c>
      <c r="C5598" s="82" t="str">
        <f>VLOOKUP($B$7:$B$5000,SUM!$L$6:$L$500,1,FALSE)</f>
        <v>#VALUE!</v>
      </c>
      <c r="D5598" s="271" t="s">
        <v>9291</v>
      </c>
      <c r="E5598" s="189" t="s">
        <v>58</v>
      </c>
      <c r="F5598" s="148" t="s">
        <v>9269</v>
      </c>
      <c r="G5598" s="189" t="s">
        <v>9292</v>
      </c>
      <c r="H5598" s="148" t="s">
        <v>9293</v>
      </c>
      <c r="I5598" s="197" t="s">
        <v>9283</v>
      </c>
      <c r="J5598" s="148" t="s">
        <v>63</v>
      </c>
      <c r="K5598" s="148" t="s">
        <v>9083</v>
      </c>
      <c r="L5598" s="148" t="s">
        <v>65</v>
      </c>
      <c r="M5598" s="148" t="s">
        <v>66</v>
      </c>
      <c r="N5598" s="285">
        <v>46249.0</v>
      </c>
      <c r="O5598" s="148" t="s">
        <v>67</v>
      </c>
      <c r="P5598" s="148" t="s">
        <v>68</v>
      </c>
      <c r="Q5598" s="103"/>
      <c r="R5598" s="103"/>
      <c r="S5598" s="103"/>
      <c r="T5598" s="103"/>
      <c r="U5598" s="148" t="s">
        <v>28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1">
        <f t="shared" si="1"/>
        <v>5593</v>
      </c>
      <c r="B5599" s="97" t="s">
        <v>9294</v>
      </c>
      <c r="C5599" s="82" t="str">
        <f>VLOOKUP($B$7:$B$5000,SUM!$L$6:$L$500,1,FALSE)</f>
        <v>#VALUE!</v>
      </c>
      <c r="D5599" s="271" t="s">
        <v>9291</v>
      </c>
      <c r="E5599" s="189" t="s">
        <v>58</v>
      </c>
      <c r="F5599" s="148" t="s">
        <v>9269</v>
      </c>
      <c r="G5599" s="189" t="s">
        <v>9292</v>
      </c>
      <c r="H5599" s="148" t="s">
        <v>9295</v>
      </c>
      <c r="I5599" s="197" t="s">
        <v>9283</v>
      </c>
      <c r="J5599" s="148" t="s">
        <v>63</v>
      </c>
      <c r="K5599" s="148" t="s">
        <v>9083</v>
      </c>
      <c r="L5599" s="148" t="s">
        <v>65</v>
      </c>
      <c r="M5599" s="148" t="s">
        <v>66</v>
      </c>
      <c r="N5599" s="285">
        <v>46249.0</v>
      </c>
      <c r="O5599" s="148" t="s">
        <v>67</v>
      </c>
      <c r="P5599" s="148" t="s">
        <v>68</v>
      </c>
      <c r="Q5599" s="103"/>
      <c r="R5599" s="103"/>
      <c r="S5599" s="103"/>
      <c r="T5599" s="103"/>
      <c r="U5599" s="148" t="s">
        <v>28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1">
        <f t="shared" si="1"/>
        <v>5594</v>
      </c>
      <c r="B5600" s="97" t="s">
        <v>9296</v>
      </c>
      <c r="C5600" s="82" t="str">
        <f>VLOOKUP($B$7:$B$5000,SUM!$L$6:$L$500,1,FALSE)</f>
        <v>#VALUE!</v>
      </c>
      <c r="D5600" s="271" t="s">
        <v>9291</v>
      </c>
      <c r="E5600" s="189" t="s">
        <v>58</v>
      </c>
      <c r="F5600" s="148" t="s">
        <v>9269</v>
      </c>
      <c r="G5600" s="189" t="s">
        <v>9292</v>
      </c>
      <c r="H5600" s="199" t="s">
        <v>9297</v>
      </c>
      <c r="I5600" s="197" t="s">
        <v>9283</v>
      </c>
      <c r="J5600" s="148" t="s">
        <v>63</v>
      </c>
      <c r="K5600" s="148" t="s">
        <v>9083</v>
      </c>
      <c r="L5600" s="148" t="s">
        <v>65</v>
      </c>
      <c r="M5600" s="148" t="s">
        <v>66</v>
      </c>
      <c r="N5600" s="285">
        <v>46249.0</v>
      </c>
      <c r="O5600" s="148" t="s">
        <v>67</v>
      </c>
      <c r="P5600" s="148" t="s">
        <v>68</v>
      </c>
      <c r="Q5600" s="103"/>
      <c r="R5600" s="103"/>
      <c r="S5600" s="103"/>
      <c r="T5600" s="103"/>
      <c r="U5600" s="148" t="s">
        <v>28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1">
        <f t="shared" si="1"/>
        <v>5595</v>
      </c>
      <c r="B5601" s="97" t="s">
        <v>9298</v>
      </c>
      <c r="C5601" s="82" t="str">
        <f>VLOOKUP($B$7:$B$5000,SUM!$L$6:$L$500,1,FALSE)</f>
        <v>#VALUE!</v>
      </c>
      <c r="D5601" s="271" t="s">
        <v>9291</v>
      </c>
      <c r="E5601" s="189" t="s">
        <v>58</v>
      </c>
      <c r="F5601" s="148" t="s">
        <v>9269</v>
      </c>
      <c r="G5601" s="189" t="s">
        <v>9292</v>
      </c>
      <c r="H5601" s="199" t="s">
        <v>9299</v>
      </c>
      <c r="I5601" s="197" t="s">
        <v>9283</v>
      </c>
      <c r="J5601" s="148" t="s">
        <v>63</v>
      </c>
      <c r="K5601" s="148" t="s">
        <v>9083</v>
      </c>
      <c r="L5601" s="148" t="s">
        <v>65</v>
      </c>
      <c r="M5601" s="148" t="s">
        <v>66</v>
      </c>
      <c r="N5601" s="285">
        <v>46249.0</v>
      </c>
      <c r="O5601" s="148" t="s">
        <v>67</v>
      </c>
      <c r="P5601" s="148" t="s">
        <v>68</v>
      </c>
      <c r="Q5601" s="103"/>
      <c r="R5601" s="103"/>
      <c r="S5601" s="103"/>
      <c r="T5601" s="103"/>
      <c r="U5601" s="148" t="s">
        <v>28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1">
        <f t="shared" si="1"/>
        <v>5596</v>
      </c>
      <c r="B5602" s="97" t="s">
        <v>9300</v>
      </c>
      <c r="C5602" s="82" t="str">
        <f>VLOOKUP($B$7:$B$5000,SUM!$L$6:$L$500,1,FALSE)</f>
        <v>#VALUE!</v>
      </c>
      <c r="D5602" s="271" t="s">
        <v>9291</v>
      </c>
      <c r="E5602" s="189" t="s">
        <v>58</v>
      </c>
      <c r="F5602" s="148" t="s">
        <v>9269</v>
      </c>
      <c r="G5602" s="189" t="s">
        <v>9292</v>
      </c>
      <c r="H5602" s="199" t="s">
        <v>9301</v>
      </c>
      <c r="I5602" s="197" t="s">
        <v>9283</v>
      </c>
      <c r="J5602" s="148" t="s">
        <v>63</v>
      </c>
      <c r="K5602" s="148" t="s">
        <v>9083</v>
      </c>
      <c r="L5602" s="148" t="s">
        <v>65</v>
      </c>
      <c r="M5602" s="148" t="s">
        <v>66</v>
      </c>
      <c r="N5602" s="285">
        <v>46249.0</v>
      </c>
      <c r="O5602" s="148" t="s">
        <v>67</v>
      </c>
      <c r="P5602" s="148" t="s">
        <v>68</v>
      </c>
      <c r="Q5602" s="103"/>
      <c r="R5602" s="103"/>
      <c r="S5602" s="103"/>
      <c r="T5602" s="103"/>
      <c r="U5602" s="148" t="s">
        <v>28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1">
        <f t="shared" si="1"/>
        <v>5597</v>
      </c>
      <c r="B5603" s="97" t="s">
        <v>9302</v>
      </c>
      <c r="C5603" s="82" t="str">
        <f>VLOOKUP($B$7:$B$5000,SUM!$L$6:$L$500,1,FALSE)</f>
        <v>#VALUE!</v>
      </c>
      <c r="D5603" s="271" t="s">
        <v>9291</v>
      </c>
      <c r="E5603" s="189" t="s">
        <v>58</v>
      </c>
      <c r="F5603" s="148" t="s">
        <v>9269</v>
      </c>
      <c r="G5603" s="189" t="s">
        <v>9292</v>
      </c>
      <c r="H5603" s="148" t="s">
        <v>9303</v>
      </c>
      <c r="I5603" s="197" t="s">
        <v>9283</v>
      </c>
      <c r="J5603" s="148" t="s">
        <v>63</v>
      </c>
      <c r="K5603" s="148" t="s">
        <v>9083</v>
      </c>
      <c r="L5603" s="148" t="s">
        <v>65</v>
      </c>
      <c r="M5603" s="148" t="s">
        <v>66</v>
      </c>
      <c r="N5603" s="285">
        <v>46249.0</v>
      </c>
      <c r="O5603" s="148" t="s">
        <v>67</v>
      </c>
      <c r="P5603" s="148" t="s">
        <v>68</v>
      </c>
      <c r="Q5603" s="103"/>
      <c r="R5603" s="103"/>
      <c r="S5603" s="103"/>
      <c r="T5603" s="103"/>
      <c r="U5603" s="148" t="s">
        <v>28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1">
        <f t="shared" si="1"/>
        <v>5598</v>
      </c>
      <c r="B5604" s="97" t="s">
        <v>9304</v>
      </c>
      <c r="C5604" s="82" t="str">
        <f>VLOOKUP($B$7:$B$5000,SUM!$L$6:$L$500,1,FALSE)</f>
        <v>#VALUE!</v>
      </c>
      <c r="D5604" s="271" t="s">
        <v>9291</v>
      </c>
      <c r="E5604" s="189" t="s">
        <v>58</v>
      </c>
      <c r="F5604" s="148" t="s">
        <v>9269</v>
      </c>
      <c r="G5604" s="189" t="s">
        <v>9292</v>
      </c>
      <c r="H5604" s="199" t="s">
        <v>9305</v>
      </c>
      <c r="I5604" s="197" t="s">
        <v>9283</v>
      </c>
      <c r="J5604" s="148" t="s">
        <v>63</v>
      </c>
      <c r="K5604" s="148" t="s">
        <v>9083</v>
      </c>
      <c r="L5604" s="148" t="s">
        <v>65</v>
      </c>
      <c r="M5604" s="148" t="s">
        <v>66</v>
      </c>
      <c r="N5604" s="285">
        <v>46249.0</v>
      </c>
      <c r="O5604" s="148" t="s">
        <v>67</v>
      </c>
      <c r="P5604" s="148" t="s">
        <v>68</v>
      </c>
      <c r="Q5604" s="103"/>
      <c r="R5604" s="103"/>
      <c r="S5604" s="103"/>
      <c r="T5604" s="103"/>
      <c r="U5604" s="148" t="s">
        <v>28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1">
        <f t="shared" si="1"/>
        <v>5599</v>
      </c>
      <c r="B5605" s="97" t="s">
        <v>9306</v>
      </c>
      <c r="C5605" s="82" t="str">
        <f>VLOOKUP($B$7:$B$5000,SUM!$L$6:$L$500,1,FALSE)</f>
        <v>#VALUE!</v>
      </c>
      <c r="D5605" s="271" t="s">
        <v>9291</v>
      </c>
      <c r="E5605" s="189" t="s">
        <v>58</v>
      </c>
      <c r="F5605" s="148" t="s">
        <v>9269</v>
      </c>
      <c r="G5605" s="189" t="s">
        <v>9292</v>
      </c>
      <c r="H5605" s="148" t="s">
        <v>9295</v>
      </c>
      <c r="I5605" s="270" t="s">
        <v>9307</v>
      </c>
      <c r="J5605" s="148" t="s">
        <v>63</v>
      </c>
      <c r="K5605" s="148" t="s">
        <v>9083</v>
      </c>
      <c r="L5605" s="148" t="s">
        <v>65</v>
      </c>
      <c r="M5605" s="148" t="s">
        <v>66</v>
      </c>
      <c r="N5605" s="285">
        <v>46249.0</v>
      </c>
      <c r="O5605" s="148" t="s">
        <v>67</v>
      </c>
      <c r="P5605" s="148" t="s">
        <v>68</v>
      </c>
      <c r="Q5605" s="103"/>
      <c r="R5605" s="103"/>
      <c r="S5605" s="103"/>
      <c r="T5605" s="103"/>
      <c r="U5605" s="148" t="s">
        <v>28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1">
        <f t="shared" si="1"/>
        <v>5600</v>
      </c>
      <c r="B5606" s="97" t="s">
        <v>9308</v>
      </c>
      <c r="C5606" s="82" t="str">
        <f>VLOOKUP($B$7:$B$5000,SUM!$L$6:$L$500,1,FALSE)</f>
        <v>#VALUE!</v>
      </c>
      <c r="D5606" s="271" t="s">
        <v>9291</v>
      </c>
      <c r="E5606" s="189" t="s">
        <v>58</v>
      </c>
      <c r="F5606" s="148" t="s">
        <v>9269</v>
      </c>
      <c r="G5606" s="189" t="s">
        <v>9292</v>
      </c>
      <c r="H5606" s="148" t="s">
        <v>9303</v>
      </c>
      <c r="I5606" s="270" t="s">
        <v>9309</v>
      </c>
      <c r="J5606" s="148" t="s">
        <v>63</v>
      </c>
      <c r="K5606" s="148" t="s">
        <v>9083</v>
      </c>
      <c r="L5606" s="148" t="s">
        <v>65</v>
      </c>
      <c r="M5606" s="148" t="s">
        <v>66</v>
      </c>
      <c r="N5606" s="285">
        <v>46249.0</v>
      </c>
      <c r="O5606" s="148" t="s">
        <v>67</v>
      </c>
      <c r="P5606" s="148" t="s">
        <v>68</v>
      </c>
      <c r="Q5606" s="103"/>
      <c r="R5606" s="103"/>
      <c r="S5606" s="103"/>
      <c r="T5606" s="103"/>
      <c r="U5606" s="148" t="s">
        <v>28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1">
        <f t="shared" si="1"/>
        <v>5601</v>
      </c>
      <c r="B5607" s="97" t="s">
        <v>9310</v>
      </c>
      <c r="C5607" s="82" t="str">
        <f>VLOOKUP($B$7:$B$5000,SUM!$L$6:$L$500,1,FALSE)</f>
        <v>#VALUE!</v>
      </c>
      <c r="D5607" s="271" t="s">
        <v>9291</v>
      </c>
      <c r="E5607" s="189" t="s">
        <v>58</v>
      </c>
      <c r="F5607" s="148" t="s">
        <v>9269</v>
      </c>
      <c r="G5607" s="189" t="s">
        <v>9292</v>
      </c>
      <c r="H5607" s="148" t="s">
        <v>9293</v>
      </c>
      <c r="I5607" s="270" t="s">
        <v>9311</v>
      </c>
      <c r="J5607" s="148" t="s">
        <v>63</v>
      </c>
      <c r="K5607" s="148" t="s">
        <v>9083</v>
      </c>
      <c r="L5607" s="148" t="s">
        <v>65</v>
      </c>
      <c r="M5607" s="148" t="s">
        <v>66</v>
      </c>
      <c r="N5607" s="285">
        <v>46249.0</v>
      </c>
      <c r="O5607" s="148" t="s">
        <v>67</v>
      </c>
      <c r="P5607" s="148" t="s">
        <v>68</v>
      </c>
      <c r="Q5607" s="103"/>
      <c r="R5607" s="103"/>
      <c r="S5607" s="103"/>
      <c r="T5607" s="103"/>
      <c r="U5607" s="148" t="s">
        <v>28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1">
        <f t="shared" si="1"/>
        <v>5602</v>
      </c>
      <c r="B5608" s="97" t="s">
        <v>9312</v>
      </c>
      <c r="C5608" s="82" t="str">
        <f>VLOOKUP($B$7:$B$5000,SUM!$L$6:$L$500,1,FALSE)</f>
        <v>#VALUE!</v>
      </c>
      <c r="D5608" s="271" t="s">
        <v>9313</v>
      </c>
      <c r="E5608" s="189" t="s">
        <v>58</v>
      </c>
      <c r="F5608" s="148" t="s">
        <v>9314</v>
      </c>
      <c r="G5608" s="189" t="s">
        <v>9292</v>
      </c>
      <c r="H5608" s="199" t="s">
        <v>9297</v>
      </c>
      <c r="I5608" s="270" t="s">
        <v>9315</v>
      </c>
      <c r="J5608" s="148" t="s">
        <v>63</v>
      </c>
      <c r="K5608" s="148" t="s">
        <v>9083</v>
      </c>
      <c r="L5608" s="148" t="s">
        <v>65</v>
      </c>
      <c r="M5608" s="148" t="s">
        <v>66</v>
      </c>
      <c r="N5608" s="285">
        <v>46249.0</v>
      </c>
      <c r="O5608" s="148" t="s">
        <v>67</v>
      </c>
      <c r="P5608" s="148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1">
        <f t="shared" si="1"/>
        <v>5603</v>
      </c>
      <c r="B5609" s="97" t="s">
        <v>9316</v>
      </c>
      <c r="C5609" s="82" t="str">
        <f>VLOOKUP($B$7:$B$5000,SUM!$L$6:$L$500,1,FALSE)</f>
        <v>#VALUE!</v>
      </c>
      <c r="D5609" s="271" t="s">
        <v>9313</v>
      </c>
      <c r="E5609" s="189" t="s">
        <v>58</v>
      </c>
      <c r="F5609" s="148" t="s">
        <v>9314</v>
      </c>
      <c r="G5609" s="189" t="s">
        <v>9292</v>
      </c>
      <c r="H5609" s="199" t="s">
        <v>9299</v>
      </c>
      <c r="I5609" s="270" t="s">
        <v>9315</v>
      </c>
      <c r="J5609" s="148" t="s">
        <v>63</v>
      </c>
      <c r="K5609" s="148" t="s">
        <v>9083</v>
      </c>
      <c r="L5609" s="148" t="s">
        <v>65</v>
      </c>
      <c r="M5609" s="148" t="s">
        <v>66</v>
      </c>
      <c r="N5609" s="285">
        <v>46249.0</v>
      </c>
      <c r="O5609" s="148" t="s">
        <v>67</v>
      </c>
      <c r="P5609" s="148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1">
        <f t="shared" si="1"/>
        <v>5604</v>
      </c>
      <c r="B5610" s="97" t="s">
        <v>9317</v>
      </c>
      <c r="C5610" s="82" t="str">
        <f>VLOOKUP($B$7:$B$5000,SUM!$L$6:$L$500,1,FALSE)</f>
        <v>#VALUE!</v>
      </c>
      <c r="D5610" s="271" t="s">
        <v>9313</v>
      </c>
      <c r="E5610" s="189" t="s">
        <v>58</v>
      </c>
      <c r="F5610" s="148" t="s">
        <v>9314</v>
      </c>
      <c r="G5610" s="189" t="s">
        <v>9292</v>
      </c>
      <c r="H5610" s="148" t="s">
        <v>9301</v>
      </c>
      <c r="I5610" s="270" t="s">
        <v>9315</v>
      </c>
      <c r="J5610" s="148" t="s">
        <v>63</v>
      </c>
      <c r="K5610" s="148" t="s">
        <v>9083</v>
      </c>
      <c r="L5610" s="148" t="s">
        <v>65</v>
      </c>
      <c r="M5610" s="148" t="s">
        <v>66</v>
      </c>
      <c r="N5610" s="285">
        <v>46249.0</v>
      </c>
      <c r="O5610" s="148" t="s">
        <v>67</v>
      </c>
      <c r="P5610" s="148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1">
        <f t="shared" si="1"/>
        <v>5605</v>
      </c>
      <c r="B5611" s="97" t="s">
        <v>9318</v>
      </c>
      <c r="C5611" s="82" t="str">
        <f>VLOOKUP($B$7:$B$5000,SUM!$L$6:$L$500,1,FALSE)</f>
        <v>#VALUE!</v>
      </c>
      <c r="D5611" s="190" t="s">
        <v>9319</v>
      </c>
      <c r="E5611" s="189" t="s">
        <v>58</v>
      </c>
      <c r="F5611" s="148" t="s">
        <v>9269</v>
      </c>
      <c r="G5611" s="191" t="s">
        <v>9320</v>
      </c>
      <c r="H5611" s="199" t="s">
        <v>9321</v>
      </c>
      <c r="I5611" s="270" t="s">
        <v>9322</v>
      </c>
      <c r="J5611" s="148" t="s">
        <v>63</v>
      </c>
      <c r="K5611" s="148" t="s">
        <v>9083</v>
      </c>
      <c r="L5611" s="148" t="s">
        <v>65</v>
      </c>
      <c r="M5611" s="148" t="s">
        <v>66</v>
      </c>
      <c r="N5611" s="285">
        <v>46249.0</v>
      </c>
      <c r="O5611" s="148" t="s">
        <v>67</v>
      </c>
      <c r="P5611" s="148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1">
        <f t="shared" si="1"/>
        <v>5606</v>
      </c>
      <c r="B5612" s="97" t="s">
        <v>9323</v>
      </c>
      <c r="C5612" s="82" t="str">
        <f>VLOOKUP($B$7:$B$5000,SUM!$L$6:$L$500,1,FALSE)</f>
        <v>#VALUE!</v>
      </c>
      <c r="D5612" s="296" t="s">
        <v>9324</v>
      </c>
      <c r="E5612" s="125"/>
      <c r="F5612" s="148" t="s">
        <v>9269</v>
      </c>
      <c r="G5612" s="191" t="s">
        <v>9325</v>
      </c>
      <c r="H5612" s="297" t="s">
        <v>599</v>
      </c>
      <c r="I5612" s="197" t="s">
        <v>9326</v>
      </c>
      <c r="J5612" s="148" t="s">
        <v>63</v>
      </c>
      <c r="K5612" s="148" t="s">
        <v>9327</v>
      </c>
      <c r="L5612" s="148" t="s">
        <v>65</v>
      </c>
      <c r="M5612" s="148" t="s">
        <v>66</v>
      </c>
      <c r="N5612" s="285">
        <v>46250.0</v>
      </c>
      <c r="O5612" s="148" t="s">
        <v>9328</v>
      </c>
      <c r="P5612" s="148" t="s">
        <v>68</v>
      </c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1">
        <f t="shared" si="1"/>
        <v>5607</v>
      </c>
      <c r="B5613" s="97" t="s">
        <v>9329</v>
      </c>
      <c r="C5613" s="82" t="str">
        <f>VLOOKUP($B$7:$B$5000,SUM!$L$6:$L$500,1,FALSE)</f>
        <v>#VALUE!</v>
      </c>
      <c r="D5613" s="296" t="s">
        <v>9324</v>
      </c>
      <c r="E5613" s="125"/>
      <c r="F5613" s="148" t="s">
        <v>9269</v>
      </c>
      <c r="G5613" s="191" t="s">
        <v>9325</v>
      </c>
      <c r="H5613" s="297" t="s">
        <v>601</v>
      </c>
      <c r="I5613" s="197" t="s">
        <v>9326</v>
      </c>
      <c r="J5613" s="148" t="s">
        <v>63</v>
      </c>
      <c r="K5613" s="148" t="s">
        <v>9327</v>
      </c>
      <c r="L5613" s="148" t="s">
        <v>65</v>
      </c>
      <c r="M5613" s="148" t="s">
        <v>66</v>
      </c>
      <c r="N5613" s="285">
        <v>46250.0</v>
      </c>
      <c r="O5613" s="148" t="s">
        <v>9328</v>
      </c>
      <c r="P5613" s="148" t="s">
        <v>68</v>
      </c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1">
        <f t="shared" si="1"/>
        <v>5608</v>
      </c>
      <c r="B5614" s="97" t="s">
        <v>9330</v>
      </c>
      <c r="C5614" s="82" t="str">
        <f>VLOOKUP($B$7:$B$5000,SUM!$L$6:$L$500,1,FALSE)</f>
        <v>#VALUE!</v>
      </c>
      <c r="D5614" s="296" t="s">
        <v>9324</v>
      </c>
      <c r="E5614" s="125"/>
      <c r="F5614" s="148" t="s">
        <v>9269</v>
      </c>
      <c r="G5614" s="191" t="s">
        <v>9325</v>
      </c>
      <c r="H5614" s="297" t="s">
        <v>4839</v>
      </c>
      <c r="I5614" s="197" t="s">
        <v>9326</v>
      </c>
      <c r="J5614" s="148" t="s">
        <v>63</v>
      </c>
      <c r="K5614" s="148" t="s">
        <v>9327</v>
      </c>
      <c r="L5614" s="148" t="s">
        <v>65</v>
      </c>
      <c r="M5614" s="148" t="s">
        <v>66</v>
      </c>
      <c r="N5614" s="285">
        <v>46250.0</v>
      </c>
      <c r="O5614" s="148" t="s">
        <v>9328</v>
      </c>
      <c r="P5614" s="148" t="s">
        <v>68</v>
      </c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1">
        <f t="shared" si="1"/>
        <v>5609</v>
      </c>
      <c r="B5615" s="97" t="s">
        <v>9331</v>
      </c>
      <c r="C5615" s="82" t="str">
        <f>VLOOKUP($B$7:$B$5000,SUM!$L$6:$L$500,1,FALSE)</f>
        <v>#VALUE!</v>
      </c>
      <c r="D5615" s="296" t="s">
        <v>9324</v>
      </c>
      <c r="E5615" s="125"/>
      <c r="F5615" s="148" t="s">
        <v>9269</v>
      </c>
      <c r="G5615" s="191" t="s">
        <v>9325</v>
      </c>
      <c r="H5615" s="297" t="s">
        <v>603</v>
      </c>
      <c r="I5615" s="197" t="s">
        <v>9326</v>
      </c>
      <c r="J5615" s="148" t="s">
        <v>63</v>
      </c>
      <c r="K5615" s="148" t="s">
        <v>9327</v>
      </c>
      <c r="L5615" s="148" t="s">
        <v>65</v>
      </c>
      <c r="M5615" s="148" t="s">
        <v>66</v>
      </c>
      <c r="N5615" s="285">
        <v>46250.0</v>
      </c>
      <c r="O5615" s="148" t="s">
        <v>9328</v>
      </c>
      <c r="P5615" s="148" t="s">
        <v>68</v>
      </c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1">
        <f t="shared" si="1"/>
        <v>5610</v>
      </c>
      <c r="B5616" s="97" t="s">
        <v>9332</v>
      </c>
      <c r="C5616" s="82" t="str">
        <f>VLOOKUP($B$7:$B$5000,SUM!$L$6:$L$500,1,FALSE)</f>
        <v>#VALUE!</v>
      </c>
      <c r="D5616" s="296" t="s">
        <v>9324</v>
      </c>
      <c r="E5616" s="125"/>
      <c r="F5616" s="148" t="s">
        <v>9269</v>
      </c>
      <c r="G5616" s="191" t="s">
        <v>9325</v>
      </c>
      <c r="H5616" s="298" t="s">
        <v>4843</v>
      </c>
      <c r="I5616" s="197" t="s">
        <v>9326</v>
      </c>
      <c r="J5616" s="148" t="s">
        <v>63</v>
      </c>
      <c r="K5616" s="148" t="s">
        <v>9327</v>
      </c>
      <c r="L5616" s="148" t="s">
        <v>65</v>
      </c>
      <c r="M5616" s="148" t="s">
        <v>66</v>
      </c>
      <c r="N5616" s="285">
        <v>46250.0</v>
      </c>
      <c r="O5616" s="148" t="s">
        <v>9328</v>
      </c>
      <c r="P5616" s="148" t="s">
        <v>68</v>
      </c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1">
        <f t="shared" si="1"/>
        <v>5611</v>
      </c>
      <c r="B5617" s="97" t="s">
        <v>9333</v>
      </c>
      <c r="C5617" s="82" t="str">
        <f>VLOOKUP($B$7:$B$5000,SUM!$L$6:$L$500,1,FALSE)</f>
        <v>#VALUE!</v>
      </c>
      <c r="D5617" s="296" t="s">
        <v>9324</v>
      </c>
      <c r="E5617" s="125"/>
      <c r="F5617" s="148" t="s">
        <v>9269</v>
      </c>
      <c r="G5617" s="191" t="s">
        <v>9325</v>
      </c>
      <c r="H5617" s="299" t="s">
        <v>637</v>
      </c>
      <c r="I5617" s="197" t="s">
        <v>9326</v>
      </c>
      <c r="J5617" s="148" t="s">
        <v>63</v>
      </c>
      <c r="K5617" s="148" t="s">
        <v>9327</v>
      </c>
      <c r="L5617" s="148" t="s">
        <v>65</v>
      </c>
      <c r="M5617" s="148" t="s">
        <v>66</v>
      </c>
      <c r="N5617" s="285">
        <v>46250.0</v>
      </c>
      <c r="O5617" s="148" t="s">
        <v>9328</v>
      </c>
      <c r="P5617" s="148" t="s">
        <v>68</v>
      </c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1">
        <f t="shared" si="1"/>
        <v>5612</v>
      </c>
      <c r="B5618" s="97" t="s">
        <v>9334</v>
      </c>
      <c r="C5618" s="82" t="str">
        <f>VLOOKUP($B$7:$B$5000,SUM!$L$6:$L$500,1,FALSE)</f>
        <v>#VALUE!</v>
      </c>
      <c r="D5618" s="296" t="s">
        <v>9324</v>
      </c>
      <c r="E5618" s="125"/>
      <c r="F5618" s="148" t="s">
        <v>9269</v>
      </c>
      <c r="G5618" s="191" t="s">
        <v>9325</v>
      </c>
      <c r="H5618" s="299" t="s">
        <v>2792</v>
      </c>
      <c r="I5618" s="197" t="s">
        <v>9326</v>
      </c>
      <c r="J5618" s="148" t="s">
        <v>63</v>
      </c>
      <c r="K5618" s="148" t="s">
        <v>9327</v>
      </c>
      <c r="L5618" s="148" t="s">
        <v>65</v>
      </c>
      <c r="M5618" s="148" t="s">
        <v>66</v>
      </c>
      <c r="N5618" s="285">
        <v>46250.0</v>
      </c>
      <c r="O5618" s="148" t="s">
        <v>9328</v>
      </c>
      <c r="P5618" s="148" t="s">
        <v>68</v>
      </c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1">
        <f t="shared" si="1"/>
        <v>5613</v>
      </c>
      <c r="B5619" s="97" t="s">
        <v>9335</v>
      </c>
      <c r="C5619" s="82" t="str">
        <f>VLOOKUP($B$7:$B$5000,SUM!$L$6:$L$500,1,FALSE)</f>
        <v>#VALUE!</v>
      </c>
      <c r="D5619" s="296" t="s">
        <v>9324</v>
      </c>
      <c r="E5619" s="125"/>
      <c r="F5619" s="148" t="s">
        <v>9269</v>
      </c>
      <c r="G5619" s="191" t="s">
        <v>9325</v>
      </c>
      <c r="H5619" s="299" t="s">
        <v>647</v>
      </c>
      <c r="I5619" s="197" t="s">
        <v>9326</v>
      </c>
      <c r="J5619" s="148" t="s">
        <v>63</v>
      </c>
      <c r="K5619" s="148" t="s">
        <v>9327</v>
      </c>
      <c r="L5619" s="148" t="s">
        <v>65</v>
      </c>
      <c r="M5619" s="148" t="s">
        <v>66</v>
      </c>
      <c r="N5619" s="285">
        <v>46250.0</v>
      </c>
      <c r="O5619" s="148" t="s">
        <v>9328</v>
      </c>
      <c r="P5619" s="148" t="s">
        <v>68</v>
      </c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1">
        <f t="shared" si="1"/>
        <v>5614</v>
      </c>
      <c r="B5620" s="97" t="s">
        <v>9336</v>
      </c>
      <c r="C5620" s="82" t="str">
        <f>VLOOKUP($B$7:$B$5000,SUM!$L$6:$L$500,1,FALSE)</f>
        <v>#VALUE!</v>
      </c>
      <c r="D5620" s="296" t="s">
        <v>9324</v>
      </c>
      <c r="E5620" s="125"/>
      <c r="F5620" s="148" t="s">
        <v>9269</v>
      </c>
      <c r="G5620" s="191" t="s">
        <v>9325</v>
      </c>
      <c r="H5620" s="299" t="s">
        <v>611</v>
      </c>
      <c r="I5620" s="197" t="s">
        <v>9326</v>
      </c>
      <c r="J5620" s="148" t="s">
        <v>63</v>
      </c>
      <c r="K5620" s="148" t="s">
        <v>9327</v>
      </c>
      <c r="L5620" s="148" t="s">
        <v>65</v>
      </c>
      <c r="M5620" s="148" t="s">
        <v>66</v>
      </c>
      <c r="N5620" s="285">
        <v>46250.0</v>
      </c>
      <c r="O5620" s="148" t="s">
        <v>9328</v>
      </c>
      <c r="P5620" s="148" t="s">
        <v>68</v>
      </c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1">
        <f t="shared" si="1"/>
        <v>5615</v>
      </c>
      <c r="B5621" s="97" t="s">
        <v>9337</v>
      </c>
      <c r="C5621" s="82" t="str">
        <f>VLOOKUP($B$7:$B$5000,SUM!$L$6:$L$500,1,FALSE)</f>
        <v>#VALUE!</v>
      </c>
      <c r="D5621" s="296" t="s">
        <v>9324</v>
      </c>
      <c r="E5621" s="125"/>
      <c r="F5621" s="148" t="s">
        <v>9269</v>
      </c>
      <c r="G5621" s="191" t="s">
        <v>9325</v>
      </c>
      <c r="H5621" s="299" t="s">
        <v>617</v>
      </c>
      <c r="I5621" s="197" t="s">
        <v>9326</v>
      </c>
      <c r="J5621" s="148" t="s">
        <v>63</v>
      </c>
      <c r="K5621" s="148" t="s">
        <v>9327</v>
      </c>
      <c r="L5621" s="148" t="s">
        <v>65</v>
      </c>
      <c r="M5621" s="148" t="s">
        <v>66</v>
      </c>
      <c r="N5621" s="285">
        <v>46250.0</v>
      </c>
      <c r="O5621" s="148" t="s">
        <v>9328</v>
      </c>
      <c r="P5621" s="148" t="s">
        <v>68</v>
      </c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1">
        <f t="shared" si="1"/>
        <v>5616</v>
      </c>
      <c r="B5622" s="97" t="s">
        <v>9338</v>
      </c>
      <c r="C5622" s="82" t="str">
        <f>VLOOKUP($B$7:$B$5000,SUM!$L$6:$L$500,1,FALSE)</f>
        <v>#VALUE!</v>
      </c>
      <c r="D5622" s="296" t="s">
        <v>9324</v>
      </c>
      <c r="E5622" s="125"/>
      <c r="F5622" s="148" t="s">
        <v>9269</v>
      </c>
      <c r="G5622" s="191" t="s">
        <v>9325</v>
      </c>
      <c r="H5622" s="299" t="s">
        <v>619</v>
      </c>
      <c r="I5622" s="197" t="s">
        <v>9326</v>
      </c>
      <c r="J5622" s="148" t="s">
        <v>63</v>
      </c>
      <c r="K5622" s="148" t="s">
        <v>9327</v>
      </c>
      <c r="L5622" s="148" t="s">
        <v>65</v>
      </c>
      <c r="M5622" s="148" t="s">
        <v>66</v>
      </c>
      <c r="N5622" s="285">
        <v>46250.0</v>
      </c>
      <c r="O5622" s="148" t="s">
        <v>9328</v>
      </c>
      <c r="P5622" s="148" t="s">
        <v>68</v>
      </c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1">
        <f t="shared" si="1"/>
        <v>5617</v>
      </c>
      <c r="B5623" s="97" t="s">
        <v>9339</v>
      </c>
      <c r="C5623" s="82" t="str">
        <f>VLOOKUP($B$7:$B$5000,SUM!$L$6:$L$500,1,FALSE)</f>
        <v>#VALUE!</v>
      </c>
      <c r="D5623" s="296" t="s">
        <v>9324</v>
      </c>
      <c r="E5623" s="125"/>
      <c r="F5623" s="148" t="s">
        <v>9269</v>
      </c>
      <c r="G5623" s="191" t="s">
        <v>9325</v>
      </c>
      <c r="H5623" s="299" t="s">
        <v>623</v>
      </c>
      <c r="I5623" s="197" t="s">
        <v>9326</v>
      </c>
      <c r="J5623" s="148" t="s">
        <v>63</v>
      </c>
      <c r="K5623" s="148" t="s">
        <v>9327</v>
      </c>
      <c r="L5623" s="148" t="s">
        <v>65</v>
      </c>
      <c r="M5623" s="148" t="s">
        <v>66</v>
      </c>
      <c r="N5623" s="285">
        <v>46250.0</v>
      </c>
      <c r="O5623" s="148" t="s">
        <v>9328</v>
      </c>
      <c r="P5623" s="148" t="s">
        <v>68</v>
      </c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1">
        <f t="shared" si="1"/>
        <v>5618</v>
      </c>
      <c r="B5624" s="97" t="s">
        <v>9340</v>
      </c>
      <c r="C5624" s="82" t="str">
        <f>VLOOKUP($B$7:$B$5000,SUM!$L$6:$L$500,1,FALSE)</f>
        <v>#VALUE!</v>
      </c>
      <c r="D5624" s="296" t="s">
        <v>9324</v>
      </c>
      <c r="E5624" s="125"/>
      <c r="F5624" s="148" t="s">
        <v>9269</v>
      </c>
      <c r="G5624" s="191" t="s">
        <v>9325</v>
      </c>
      <c r="H5624" s="299" t="s">
        <v>653</v>
      </c>
      <c r="I5624" s="197" t="s">
        <v>9326</v>
      </c>
      <c r="J5624" s="148" t="s">
        <v>63</v>
      </c>
      <c r="K5624" s="148" t="s">
        <v>9327</v>
      </c>
      <c r="L5624" s="148" t="s">
        <v>65</v>
      </c>
      <c r="M5624" s="148" t="s">
        <v>66</v>
      </c>
      <c r="N5624" s="285">
        <v>46250.0</v>
      </c>
      <c r="O5624" s="148" t="s">
        <v>9328</v>
      </c>
      <c r="P5624" s="148" t="s">
        <v>68</v>
      </c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1">
        <f t="shared" si="1"/>
        <v>5619</v>
      </c>
      <c r="B5625" s="97" t="s">
        <v>9341</v>
      </c>
      <c r="C5625" s="82" t="str">
        <f>VLOOKUP($B$7:$B$5000,SUM!$L$6:$L$500,1,FALSE)</f>
        <v>#VALUE!</v>
      </c>
      <c r="D5625" s="296" t="s">
        <v>9324</v>
      </c>
      <c r="E5625" s="125"/>
      <c r="F5625" s="148" t="s">
        <v>9269</v>
      </c>
      <c r="G5625" s="191" t="s">
        <v>9325</v>
      </c>
      <c r="H5625" s="299" t="s">
        <v>625</v>
      </c>
      <c r="I5625" s="197" t="s">
        <v>9326</v>
      </c>
      <c r="J5625" s="148" t="s">
        <v>63</v>
      </c>
      <c r="K5625" s="148" t="s">
        <v>9327</v>
      </c>
      <c r="L5625" s="148" t="s">
        <v>65</v>
      </c>
      <c r="M5625" s="148" t="s">
        <v>66</v>
      </c>
      <c r="N5625" s="285">
        <v>46250.0</v>
      </c>
      <c r="O5625" s="148" t="s">
        <v>9328</v>
      </c>
      <c r="P5625" s="148" t="s">
        <v>68</v>
      </c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1">
        <f t="shared" si="1"/>
        <v>5620</v>
      </c>
      <c r="B5626" s="97" t="s">
        <v>9342</v>
      </c>
      <c r="C5626" s="82" t="str">
        <f>VLOOKUP($B$7:$B$5000,SUM!$L$6:$L$500,1,FALSE)</f>
        <v>#VALUE!</v>
      </c>
      <c r="D5626" s="296" t="s">
        <v>9324</v>
      </c>
      <c r="E5626" s="125"/>
      <c r="F5626" s="148" t="s">
        <v>9269</v>
      </c>
      <c r="G5626" s="191" t="s">
        <v>9325</v>
      </c>
      <c r="H5626" s="299" t="s">
        <v>629</v>
      </c>
      <c r="I5626" s="197" t="s">
        <v>9326</v>
      </c>
      <c r="J5626" s="148" t="s">
        <v>63</v>
      </c>
      <c r="K5626" s="148" t="s">
        <v>9327</v>
      </c>
      <c r="L5626" s="148" t="s">
        <v>65</v>
      </c>
      <c r="M5626" s="148" t="s">
        <v>66</v>
      </c>
      <c r="N5626" s="285">
        <v>46250.0</v>
      </c>
      <c r="O5626" s="148" t="s">
        <v>9328</v>
      </c>
      <c r="P5626" s="148" t="s">
        <v>68</v>
      </c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1">
        <f t="shared" si="1"/>
        <v>5621</v>
      </c>
      <c r="B5627" s="97" t="s">
        <v>9343</v>
      </c>
      <c r="C5627" s="82" t="str">
        <f>VLOOKUP($B$7:$B$5000,SUM!$L$6:$L$500,1,FALSE)</f>
        <v>#VALUE!</v>
      </c>
      <c r="D5627" s="296" t="s">
        <v>9324</v>
      </c>
      <c r="E5627" s="125"/>
      <c r="F5627" s="148" t="s">
        <v>9269</v>
      </c>
      <c r="G5627" s="191" t="s">
        <v>9325</v>
      </c>
      <c r="H5627" s="299" t="s">
        <v>655</v>
      </c>
      <c r="I5627" s="197" t="s">
        <v>9326</v>
      </c>
      <c r="J5627" s="148" t="s">
        <v>63</v>
      </c>
      <c r="K5627" s="148" t="s">
        <v>9327</v>
      </c>
      <c r="L5627" s="148" t="s">
        <v>65</v>
      </c>
      <c r="M5627" s="148" t="s">
        <v>66</v>
      </c>
      <c r="N5627" s="285">
        <v>46250.0</v>
      </c>
      <c r="O5627" s="148" t="s">
        <v>9328</v>
      </c>
      <c r="P5627" s="148" t="s">
        <v>68</v>
      </c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1">
        <f t="shared" si="1"/>
        <v>5622</v>
      </c>
      <c r="B5628" s="97" t="s">
        <v>9344</v>
      </c>
      <c r="C5628" s="82" t="str">
        <f>VLOOKUP($B$7:$B$5000,SUM!$L$6:$L$500,1,FALSE)</f>
        <v>#VALUE!</v>
      </c>
      <c r="D5628" s="296" t="s">
        <v>9324</v>
      </c>
      <c r="E5628" s="125"/>
      <c r="F5628" s="148" t="s">
        <v>9269</v>
      </c>
      <c r="G5628" s="191" t="s">
        <v>9325</v>
      </c>
      <c r="H5628" s="299" t="s">
        <v>633</v>
      </c>
      <c r="I5628" s="197" t="s">
        <v>9326</v>
      </c>
      <c r="J5628" s="148" t="s">
        <v>63</v>
      </c>
      <c r="K5628" s="148" t="s">
        <v>9327</v>
      </c>
      <c r="L5628" s="148" t="s">
        <v>65</v>
      </c>
      <c r="M5628" s="148" t="s">
        <v>66</v>
      </c>
      <c r="N5628" s="285">
        <v>46250.0</v>
      </c>
      <c r="O5628" s="148" t="s">
        <v>9328</v>
      </c>
      <c r="P5628" s="148" t="s">
        <v>68</v>
      </c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1">
        <f t="shared" si="1"/>
        <v>5623</v>
      </c>
      <c r="B5629" s="97" t="s">
        <v>9345</v>
      </c>
      <c r="C5629" s="82" t="str">
        <f>VLOOKUP($B$7:$B$5000,SUM!$L$6:$L$500,1,FALSE)</f>
        <v>#VALUE!</v>
      </c>
      <c r="D5629" s="296" t="s">
        <v>9324</v>
      </c>
      <c r="E5629" s="125"/>
      <c r="F5629" s="148" t="s">
        <v>9269</v>
      </c>
      <c r="G5629" s="191" t="s">
        <v>9325</v>
      </c>
      <c r="H5629" s="299" t="s">
        <v>657</v>
      </c>
      <c r="I5629" s="197" t="s">
        <v>9326</v>
      </c>
      <c r="J5629" s="148" t="s">
        <v>63</v>
      </c>
      <c r="K5629" s="148" t="s">
        <v>9327</v>
      </c>
      <c r="L5629" s="148" t="s">
        <v>65</v>
      </c>
      <c r="M5629" s="148" t="s">
        <v>66</v>
      </c>
      <c r="N5629" s="285">
        <v>46250.0</v>
      </c>
      <c r="O5629" s="148" t="s">
        <v>9328</v>
      </c>
      <c r="P5629" s="148" t="s">
        <v>68</v>
      </c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1">
        <f t="shared" si="1"/>
        <v>5624</v>
      </c>
      <c r="B5630" s="97" t="s">
        <v>9346</v>
      </c>
      <c r="C5630" s="82" t="str">
        <f>VLOOKUP($B$7:$B$5000,SUM!$L$6:$L$500,1,FALSE)</f>
        <v>#VALUE!</v>
      </c>
      <c r="D5630" s="296" t="s">
        <v>9324</v>
      </c>
      <c r="E5630" s="125"/>
      <c r="F5630" s="148" t="s">
        <v>9269</v>
      </c>
      <c r="G5630" s="191" t="s">
        <v>9325</v>
      </c>
      <c r="H5630" s="299" t="s">
        <v>2790</v>
      </c>
      <c r="I5630" s="197" t="s">
        <v>9326</v>
      </c>
      <c r="J5630" s="148" t="s">
        <v>63</v>
      </c>
      <c r="K5630" s="148" t="s">
        <v>9327</v>
      </c>
      <c r="L5630" s="148" t="s">
        <v>65</v>
      </c>
      <c r="M5630" s="148" t="s">
        <v>66</v>
      </c>
      <c r="N5630" s="285">
        <v>46250.0</v>
      </c>
      <c r="O5630" s="148" t="s">
        <v>9328</v>
      </c>
      <c r="P5630" s="148" t="s">
        <v>68</v>
      </c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1">
        <f t="shared" si="1"/>
        <v>5625</v>
      </c>
      <c r="B5631" s="97" t="s">
        <v>9347</v>
      </c>
      <c r="C5631" s="82" t="str">
        <f>VLOOKUP($B$7:$B$5000,SUM!$L$6:$L$500,1,FALSE)</f>
        <v>#VALUE!</v>
      </c>
      <c r="D5631" s="296" t="s">
        <v>9324</v>
      </c>
      <c r="E5631" s="125"/>
      <c r="F5631" s="148" t="s">
        <v>9269</v>
      </c>
      <c r="G5631" s="191" t="s">
        <v>9325</v>
      </c>
      <c r="H5631" s="299" t="s">
        <v>663</v>
      </c>
      <c r="I5631" s="197" t="s">
        <v>9326</v>
      </c>
      <c r="J5631" s="148" t="s">
        <v>63</v>
      </c>
      <c r="K5631" s="148" t="s">
        <v>9327</v>
      </c>
      <c r="L5631" s="148" t="s">
        <v>65</v>
      </c>
      <c r="M5631" s="148" t="s">
        <v>66</v>
      </c>
      <c r="N5631" s="285">
        <v>46250.0</v>
      </c>
      <c r="O5631" s="148" t="s">
        <v>9328</v>
      </c>
      <c r="P5631" s="148" t="s">
        <v>68</v>
      </c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1">
        <f t="shared" si="1"/>
        <v>5626</v>
      </c>
      <c r="B5632" s="97" t="s">
        <v>9348</v>
      </c>
      <c r="C5632" s="82" t="str">
        <f>VLOOKUP($B$7:$B$5000,SUM!$L$6:$L$500,1,FALSE)</f>
        <v>#VALUE!</v>
      </c>
      <c r="D5632" s="296" t="s">
        <v>9324</v>
      </c>
      <c r="E5632" s="125"/>
      <c r="F5632" s="148" t="s">
        <v>9269</v>
      </c>
      <c r="G5632" s="191" t="s">
        <v>9325</v>
      </c>
      <c r="H5632" s="299" t="s">
        <v>665</v>
      </c>
      <c r="I5632" s="197" t="s">
        <v>9326</v>
      </c>
      <c r="J5632" s="148" t="s">
        <v>63</v>
      </c>
      <c r="K5632" s="148" t="s">
        <v>9327</v>
      </c>
      <c r="L5632" s="148" t="s">
        <v>65</v>
      </c>
      <c r="M5632" s="148" t="s">
        <v>66</v>
      </c>
      <c r="N5632" s="285">
        <v>46250.0</v>
      </c>
      <c r="O5632" s="148" t="s">
        <v>9328</v>
      </c>
      <c r="P5632" s="148" t="s">
        <v>68</v>
      </c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1">
        <f t="shared" si="1"/>
        <v>5627</v>
      </c>
      <c r="B5633" s="97" t="s">
        <v>9349</v>
      </c>
      <c r="C5633" s="82" t="str">
        <f>VLOOKUP($B$7:$B$5000,SUM!$L$6:$L$500,1,FALSE)</f>
        <v>#VALUE!</v>
      </c>
      <c r="D5633" s="296" t="s">
        <v>9324</v>
      </c>
      <c r="E5633" s="125"/>
      <c r="F5633" s="148" t="s">
        <v>9269</v>
      </c>
      <c r="G5633" s="191" t="s">
        <v>9325</v>
      </c>
      <c r="H5633" s="299" t="s">
        <v>667</v>
      </c>
      <c r="I5633" s="197" t="s">
        <v>9326</v>
      </c>
      <c r="J5633" s="148" t="s">
        <v>63</v>
      </c>
      <c r="K5633" s="148" t="s">
        <v>9327</v>
      </c>
      <c r="L5633" s="148" t="s">
        <v>65</v>
      </c>
      <c r="M5633" s="148" t="s">
        <v>66</v>
      </c>
      <c r="N5633" s="285">
        <v>46250.0</v>
      </c>
      <c r="O5633" s="148" t="s">
        <v>9328</v>
      </c>
      <c r="P5633" s="148" t="s">
        <v>68</v>
      </c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1">
        <f t="shared" si="1"/>
        <v>5628</v>
      </c>
      <c r="B5634" s="97" t="s">
        <v>9350</v>
      </c>
      <c r="C5634" s="82" t="str">
        <f>VLOOKUP($B$7:$B$5000,SUM!$L$6:$L$500,1,FALSE)</f>
        <v>#VALUE!</v>
      </c>
      <c r="D5634" s="296" t="s">
        <v>9324</v>
      </c>
      <c r="E5634" s="125"/>
      <c r="F5634" s="148" t="s">
        <v>9269</v>
      </c>
      <c r="G5634" s="191" t="s">
        <v>9325</v>
      </c>
      <c r="H5634" s="299" t="s">
        <v>669</v>
      </c>
      <c r="I5634" s="197" t="s">
        <v>9326</v>
      </c>
      <c r="J5634" s="148" t="s">
        <v>63</v>
      </c>
      <c r="K5634" s="148" t="s">
        <v>9327</v>
      </c>
      <c r="L5634" s="148" t="s">
        <v>65</v>
      </c>
      <c r="M5634" s="148" t="s">
        <v>66</v>
      </c>
      <c r="N5634" s="285">
        <v>46250.0</v>
      </c>
      <c r="O5634" s="148" t="s">
        <v>9328</v>
      </c>
      <c r="P5634" s="148" t="s">
        <v>68</v>
      </c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1">
        <f t="shared" si="1"/>
        <v>5629</v>
      </c>
      <c r="B5635" s="97" t="s">
        <v>9351</v>
      </c>
      <c r="C5635" s="82" t="str">
        <f>VLOOKUP($B$7:$B$5000,SUM!$L$6:$L$500,1,FALSE)</f>
        <v>#VALUE!</v>
      </c>
      <c r="D5635" s="296" t="s">
        <v>9324</v>
      </c>
      <c r="E5635" s="125"/>
      <c r="F5635" s="148" t="s">
        <v>9269</v>
      </c>
      <c r="G5635" s="191" t="s">
        <v>9325</v>
      </c>
      <c r="H5635" s="299" t="s">
        <v>671</v>
      </c>
      <c r="I5635" s="197" t="s">
        <v>9326</v>
      </c>
      <c r="J5635" s="148" t="s">
        <v>63</v>
      </c>
      <c r="K5635" s="148" t="s">
        <v>9327</v>
      </c>
      <c r="L5635" s="148" t="s">
        <v>65</v>
      </c>
      <c r="M5635" s="148" t="s">
        <v>66</v>
      </c>
      <c r="N5635" s="285">
        <v>46250.0</v>
      </c>
      <c r="O5635" s="148" t="s">
        <v>9328</v>
      </c>
      <c r="P5635" s="148" t="s">
        <v>68</v>
      </c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1">
        <f t="shared" si="1"/>
        <v>5630</v>
      </c>
      <c r="B5636" s="97" t="s">
        <v>9352</v>
      </c>
      <c r="C5636" s="82" t="str">
        <f>VLOOKUP($B$7:$B$5000,SUM!$L$6:$L$500,1,FALSE)</f>
        <v>#VALUE!</v>
      </c>
      <c r="D5636" s="296" t="s">
        <v>9324</v>
      </c>
      <c r="E5636" s="125"/>
      <c r="F5636" s="148" t="s">
        <v>9269</v>
      </c>
      <c r="G5636" s="191" t="s">
        <v>9325</v>
      </c>
      <c r="H5636" s="299" t="s">
        <v>3037</v>
      </c>
      <c r="I5636" s="197" t="s">
        <v>9326</v>
      </c>
      <c r="J5636" s="148" t="s">
        <v>63</v>
      </c>
      <c r="K5636" s="148" t="s">
        <v>9327</v>
      </c>
      <c r="L5636" s="148" t="s">
        <v>65</v>
      </c>
      <c r="M5636" s="148" t="s">
        <v>66</v>
      </c>
      <c r="N5636" s="285">
        <v>46250.0</v>
      </c>
      <c r="O5636" s="148" t="s">
        <v>9328</v>
      </c>
      <c r="P5636" s="148" t="s">
        <v>68</v>
      </c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1">
        <f t="shared" si="1"/>
        <v>5631</v>
      </c>
      <c r="B5637" s="97" t="s">
        <v>9353</v>
      </c>
      <c r="C5637" s="82" t="str">
        <f>VLOOKUP($B$7:$B$5000,SUM!$L$6:$L$500,1,FALSE)</f>
        <v>#VALUE!</v>
      </c>
      <c r="D5637" s="296" t="s">
        <v>9324</v>
      </c>
      <c r="E5637" s="125"/>
      <c r="F5637" s="148" t="s">
        <v>9269</v>
      </c>
      <c r="G5637" s="191" t="s">
        <v>9325</v>
      </c>
      <c r="H5637" s="299" t="s">
        <v>3039</v>
      </c>
      <c r="I5637" s="197" t="s">
        <v>9326</v>
      </c>
      <c r="J5637" s="148" t="s">
        <v>63</v>
      </c>
      <c r="K5637" s="148" t="s">
        <v>9327</v>
      </c>
      <c r="L5637" s="148" t="s">
        <v>65</v>
      </c>
      <c r="M5637" s="148" t="s">
        <v>66</v>
      </c>
      <c r="N5637" s="285">
        <v>46250.0</v>
      </c>
      <c r="O5637" s="148" t="s">
        <v>9328</v>
      </c>
      <c r="P5637" s="148" t="s">
        <v>68</v>
      </c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1">
        <f t="shared" si="1"/>
        <v>5632</v>
      </c>
      <c r="B5638" s="97" t="s">
        <v>9354</v>
      </c>
      <c r="C5638" s="82" t="str">
        <f>VLOOKUP($B$7:$B$5000,SUM!$L$6:$L$500,1,FALSE)</f>
        <v>#VALUE!</v>
      </c>
      <c r="D5638" s="296" t="s">
        <v>9324</v>
      </c>
      <c r="E5638" s="125"/>
      <c r="F5638" s="148" t="s">
        <v>9269</v>
      </c>
      <c r="G5638" s="191" t="s">
        <v>9325</v>
      </c>
      <c r="H5638" s="299" t="s">
        <v>3041</v>
      </c>
      <c r="I5638" s="197" t="s">
        <v>9326</v>
      </c>
      <c r="J5638" s="148" t="s">
        <v>63</v>
      </c>
      <c r="K5638" s="148" t="s">
        <v>9327</v>
      </c>
      <c r="L5638" s="148" t="s">
        <v>65</v>
      </c>
      <c r="M5638" s="148" t="s">
        <v>66</v>
      </c>
      <c r="N5638" s="285">
        <v>46250.0</v>
      </c>
      <c r="O5638" s="148" t="s">
        <v>9328</v>
      </c>
      <c r="P5638" s="148" t="s">
        <v>68</v>
      </c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1">
        <f t="shared" si="1"/>
        <v>5633</v>
      </c>
      <c r="B5639" s="97" t="s">
        <v>9355</v>
      </c>
      <c r="C5639" s="82" t="str">
        <f>VLOOKUP($B$7:$B$5000,SUM!$L$6:$L$500,1,FALSE)</f>
        <v>#VALUE!</v>
      </c>
      <c r="D5639" s="296" t="s">
        <v>9324</v>
      </c>
      <c r="E5639" s="125"/>
      <c r="F5639" s="148" t="s">
        <v>9269</v>
      </c>
      <c r="G5639" s="191" t="s">
        <v>9325</v>
      </c>
      <c r="H5639" s="299" t="s">
        <v>3043</v>
      </c>
      <c r="I5639" s="197" t="s">
        <v>9326</v>
      </c>
      <c r="J5639" s="148" t="s">
        <v>63</v>
      </c>
      <c r="K5639" s="148" t="s">
        <v>9327</v>
      </c>
      <c r="L5639" s="148" t="s">
        <v>65</v>
      </c>
      <c r="M5639" s="148" t="s">
        <v>66</v>
      </c>
      <c r="N5639" s="285">
        <v>46250.0</v>
      </c>
      <c r="O5639" s="148" t="s">
        <v>9328</v>
      </c>
      <c r="P5639" s="148" t="s">
        <v>68</v>
      </c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1">
        <f t="shared" si="1"/>
        <v>5634</v>
      </c>
      <c r="B5640" s="97" t="s">
        <v>9356</v>
      </c>
      <c r="C5640" s="82" t="str">
        <f>VLOOKUP($B$7:$B$5000,SUM!$L$6:$L$500,1,FALSE)</f>
        <v>#VALUE!</v>
      </c>
      <c r="D5640" s="296" t="s">
        <v>9324</v>
      </c>
      <c r="E5640" s="125"/>
      <c r="F5640" s="148" t="s">
        <v>9269</v>
      </c>
      <c r="G5640" s="191" t="s">
        <v>9325</v>
      </c>
      <c r="H5640" s="299" t="s">
        <v>673</v>
      </c>
      <c r="I5640" s="197" t="s">
        <v>9326</v>
      </c>
      <c r="J5640" s="148" t="s">
        <v>63</v>
      </c>
      <c r="K5640" s="148" t="s">
        <v>9327</v>
      </c>
      <c r="L5640" s="148" t="s">
        <v>65</v>
      </c>
      <c r="M5640" s="148" t="s">
        <v>66</v>
      </c>
      <c r="N5640" s="285">
        <v>46250.0</v>
      </c>
      <c r="O5640" s="148" t="s">
        <v>9328</v>
      </c>
      <c r="P5640" s="148" t="s">
        <v>68</v>
      </c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1">
        <f t="shared" si="1"/>
        <v>5635</v>
      </c>
      <c r="B5641" s="97" t="s">
        <v>9357</v>
      </c>
      <c r="C5641" s="82" t="str">
        <f>VLOOKUP($B$7:$B$5000,SUM!$L$6:$L$500,1,FALSE)</f>
        <v>#VALUE!</v>
      </c>
      <c r="D5641" s="296" t="s">
        <v>9324</v>
      </c>
      <c r="E5641" s="125"/>
      <c r="F5641" s="148" t="s">
        <v>9269</v>
      </c>
      <c r="G5641" s="191" t="s">
        <v>9325</v>
      </c>
      <c r="H5641" s="299" t="s">
        <v>675</v>
      </c>
      <c r="I5641" s="197" t="s">
        <v>9326</v>
      </c>
      <c r="J5641" s="148" t="s">
        <v>63</v>
      </c>
      <c r="K5641" s="148" t="s">
        <v>9327</v>
      </c>
      <c r="L5641" s="148" t="s">
        <v>65</v>
      </c>
      <c r="M5641" s="148" t="s">
        <v>66</v>
      </c>
      <c r="N5641" s="285">
        <v>46250.0</v>
      </c>
      <c r="O5641" s="148" t="s">
        <v>9328</v>
      </c>
      <c r="P5641" s="148" t="s">
        <v>68</v>
      </c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1">
        <f t="shared" si="1"/>
        <v>5636</v>
      </c>
      <c r="B5642" s="97" t="s">
        <v>9358</v>
      </c>
      <c r="C5642" s="82" t="str">
        <f>VLOOKUP($B$7:$B$5000,SUM!$L$6:$L$500,1,FALSE)</f>
        <v>#VALUE!</v>
      </c>
      <c r="D5642" s="296" t="s">
        <v>9324</v>
      </c>
      <c r="E5642" s="125"/>
      <c r="F5642" s="148" t="s">
        <v>9269</v>
      </c>
      <c r="G5642" s="191" t="s">
        <v>9325</v>
      </c>
      <c r="H5642" s="299" t="s">
        <v>677</v>
      </c>
      <c r="I5642" s="197" t="s">
        <v>9326</v>
      </c>
      <c r="J5642" s="148" t="s">
        <v>63</v>
      </c>
      <c r="K5642" s="148" t="s">
        <v>9327</v>
      </c>
      <c r="L5642" s="148" t="s">
        <v>65</v>
      </c>
      <c r="M5642" s="148" t="s">
        <v>66</v>
      </c>
      <c r="N5642" s="285">
        <v>46250.0</v>
      </c>
      <c r="O5642" s="148" t="s">
        <v>9328</v>
      </c>
      <c r="P5642" s="148" t="s">
        <v>68</v>
      </c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1">
        <f t="shared" si="1"/>
        <v>5637</v>
      </c>
      <c r="B5643" s="97" t="s">
        <v>9359</v>
      </c>
      <c r="C5643" s="82" t="str">
        <f>VLOOKUP($B$7:$B$5000,SUM!$L$6:$L$500,1,FALSE)</f>
        <v>#VALUE!</v>
      </c>
      <c r="D5643" s="296" t="s">
        <v>9324</v>
      </c>
      <c r="E5643" s="125"/>
      <c r="F5643" s="148" t="s">
        <v>9269</v>
      </c>
      <c r="G5643" s="191" t="s">
        <v>9325</v>
      </c>
      <c r="H5643" s="299" t="s">
        <v>679</v>
      </c>
      <c r="I5643" s="197" t="s">
        <v>9326</v>
      </c>
      <c r="J5643" s="148" t="s">
        <v>63</v>
      </c>
      <c r="K5643" s="148" t="s">
        <v>9327</v>
      </c>
      <c r="L5643" s="148" t="s">
        <v>65</v>
      </c>
      <c r="M5643" s="148" t="s">
        <v>66</v>
      </c>
      <c r="N5643" s="285">
        <v>46250.0</v>
      </c>
      <c r="O5643" s="148" t="s">
        <v>9328</v>
      </c>
      <c r="P5643" s="148" t="s">
        <v>68</v>
      </c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1">
        <f t="shared" si="1"/>
        <v>5638</v>
      </c>
      <c r="B5644" s="97" t="s">
        <v>9360</v>
      </c>
      <c r="C5644" s="82" t="str">
        <f>VLOOKUP($B$7:$B$5000,SUM!$L$6:$L$500,1,FALSE)</f>
        <v>#VALUE!</v>
      </c>
      <c r="D5644" s="296" t="s">
        <v>9324</v>
      </c>
      <c r="E5644" s="125"/>
      <c r="F5644" s="148" t="s">
        <v>9269</v>
      </c>
      <c r="G5644" s="191" t="s">
        <v>9325</v>
      </c>
      <c r="H5644" s="299" t="s">
        <v>681</v>
      </c>
      <c r="I5644" s="197" t="s">
        <v>9326</v>
      </c>
      <c r="J5644" s="148" t="s">
        <v>63</v>
      </c>
      <c r="K5644" s="148" t="s">
        <v>9327</v>
      </c>
      <c r="L5644" s="148" t="s">
        <v>65</v>
      </c>
      <c r="M5644" s="148" t="s">
        <v>66</v>
      </c>
      <c r="N5644" s="285">
        <v>46250.0</v>
      </c>
      <c r="O5644" s="148" t="s">
        <v>9328</v>
      </c>
      <c r="P5644" s="148" t="s">
        <v>68</v>
      </c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1">
        <f t="shared" si="1"/>
        <v>5639</v>
      </c>
      <c r="B5645" s="97" t="s">
        <v>9361</v>
      </c>
      <c r="C5645" s="82" t="str">
        <f>VLOOKUP($B$7:$B$5000,SUM!$L$6:$L$500,1,FALSE)</f>
        <v>#VALUE!</v>
      </c>
      <c r="D5645" s="296" t="s">
        <v>9324</v>
      </c>
      <c r="E5645" s="125"/>
      <c r="F5645" s="148" t="s">
        <v>9269</v>
      </c>
      <c r="G5645" s="191" t="s">
        <v>9325</v>
      </c>
      <c r="H5645" s="299" t="s">
        <v>773</v>
      </c>
      <c r="I5645" s="197" t="s">
        <v>9326</v>
      </c>
      <c r="J5645" s="148" t="s">
        <v>63</v>
      </c>
      <c r="K5645" s="148" t="s">
        <v>9327</v>
      </c>
      <c r="L5645" s="148" t="s">
        <v>65</v>
      </c>
      <c r="M5645" s="148" t="s">
        <v>66</v>
      </c>
      <c r="N5645" s="285">
        <v>46250.0</v>
      </c>
      <c r="O5645" s="148" t="s">
        <v>9328</v>
      </c>
      <c r="P5645" s="148" t="s">
        <v>68</v>
      </c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1">
        <f t="shared" si="1"/>
        <v>5640</v>
      </c>
      <c r="B5646" s="97" t="s">
        <v>9362</v>
      </c>
      <c r="C5646" s="82" t="str">
        <f>VLOOKUP($B$7:$B$5000,SUM!$L$6:$L$500,1,FALSE)</f>
        <v>#VALUE!</v>
      </c>
      <c r="D5646" s="296" t="s">
        <v>7439</v>
      </c>
      <c r="E5646" s="125"/>
      <c r="F5646" s="148" t="s">
        <v>9269</v>
      </c>
      <c r="G5646" s="191" t="s">
        <v>9325</v>
      </c>
      <c r="H5646" s="199" t="s">
        <v>4829</v>
      </c>
      <c r="I5646" s="197" t="s">
        <v>9326</v>
      </c>
      <c r="J5646" s="148" t="s">
        <v>63</v>
      </c>
      <c r="K5646" s="148" t="s">
        <v>9327</v>
      </c>
      <c r="L5646" s="148" t="s">
        <v>65</v>
      </c>
      <c r="M5646" s="148" t="s">
        <v>66</v>
      </c>
      <c r="N5646" s="285">
        <v>46250.0</v>
      </c>
      <c r="O5646" s="148" t="s">
        <v>9328</v>
      </c>
      <c r="P5646" s="148" t="s">
        <v>68</v>
      </c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1">
        <f t="shared" si="1"/>
        <v>5641</v>
      </c>
      <c r="B5647" s="97" t="s">
        <v>9363</v>
      </c>
      <c r="C5647" s="82" t="str">
        <f>VLOOKUP($B$7:$B$5000,SUM!$L$6:$L$500,1,FALSE)</f>
        <v>#VALUE!</v>
      </c>
      <c r="D5647" s="296" t="s">
        <v>7439</v>
      </c>
      <c r="E5647" s="125"/>
      <c r="F5647" s="148" t="s">
        <v>9269</v>
      </c>
      <c r="G5647" s="191" t="s">
        <v>9325</v>
      </c>
      <c r="H5647" s="199" t="s">
        <v>4841</v>
      </c>
      <c r="I5647" s="197" t="s">
        <v>9326</v>
      </c>
      <c r="J5647" s="148" t="s">
        <v>63</v>
      </c>
      <c r="K5647" s="148" t="s">
        <v>9327</v>
      </c>
      <c r="L5647" s="148" t="s">
        <v>65</v>
      </c>
      <c r="M5647" s="148" t="s">
        <v>66</v>
      </c>
      <c r="N5647" s="285">
        <v>46250.0</v>
      </c>
      <c r="O5647" s="148" t="s">
        <v>9328</v>
      </c>
      <c r="P5647" s="148" t="s">
        <v>68</v>
      </c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1">
        <f t="shared" si="1"/>
        <v>5642</v>
      </c>
      <c r="B5648" s="97" t="s">
        <v>9364</v>
      </c>
      <c r="C5648" s="82" t="str">
        <f>VLOOKUP($B$7:$B$5000,SUM!$L$6:$L$500,1,FALSE)</f>
        <v>#VALUE!</v>
      </c>
      <c r="D5648" s="296" t="s">
        <v>7439</v>
      </c>
      <c r="E5648" s="125"/>
      <c r="F5648" s="148" t="s">
        <v>9269</v>
      </c>
      <c r="G5648" s="191" t="s">
        <v>9325</v>
      </c>
      <c r="H5648" s="199" t="s">
        <v>4851</v>
      </c>
      <c r="I5648" s="197" t="s">
        <v>9326</v>
      </c>
      <c r="J5648" s="148" t="s">
        <v>63</v>
      </c>
      <c r="K5648" s="148" t="s">
        <v>9327</v>
      </c>
      <c r="L5648" s="148" t="s">
        <v>65</v>
      </c>
      <c r="M5648" s="148" t="s">
        <v>66</v>
      </c>
      <c r="N5648" s="285">
        <v>46250.0</v>
      </c>
      <c r="O5648" s="148" t="s">
        <v>9328</v>
      </c>
      <c r="P5648" s="148" t="s">
        <v>68</v>
      </c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1">
        <f t="shared" si="1"/>
        <v>5643</v>
      </c>
      <c r="B5649" s="97" t="s">
        <v>9365</v>
      </c>
      <c r="C5649" s="82" t="str">
        <f>VLOOKUP($B$7:$B$5000,SUM!$L$6:$L$500,1,FALSE)</f>
        <v>#VALUE!</v>
      </c>
      <c r="D5649" s="296" t="s">
        <v>7439</v>
      </c>
      <c r="E5649" s="125"/>
      <c r="F5649" s="148" t="s">
        <v>9269</v>
      </c>
      <c r="G5649" s="191" t="s">
        <v>9325</v>
      </c>
      <c r="H5649" s="199" t="s">
        <v>4853</v>
      </c>
      <c r="I5649" s="197" t="s">
        <v>9326</v>
      </c>
      <c r="J5649" s="148" t="s">
        <v>63</v>
      </c>
      <c r="K5649" s="148" t="s">
        <v>9327</v>
      </c>
      <c r="L5649" s="148" t="s">
        <v>65</v>
      </c>
      <c r="M5649" s="148" t="s">
        <v>66</v>
      </c>
      <c r="N5649" s="285">
        <v>46250.0</v>
      </c>
      <c r="O5649" s="148" t="s">
        <v>9328</v>
      </c>
      <c r="P5649" s="148" t="s">
        <v>68</v>
      </c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1">
        <f t="shared" si="1"/>
        <v>5644</v>
      </c>
      <c r="B5650" s="97" t="s">
        <v>9366</v>
      </c>
      <c r="C5650" s="82" t="str">
        <f>VLOOKUP($B$7:$B$5000,SUM!$L$6:$L$500,1,FALSE)</f>
        <v>#VALUE!</v>
      </c>
      <c r="D5650" s="296" t="s">
        <v>7439</v>
      </c>
      <c r="E5650" s="125"/>
      <c r="F5650" s="148" t="s">
        <v>9269</v>
      </c>
      <c r="G5650" s="191" t="s">
        <v>9325</v>
      </c>
      <c r="H5650" s="199" t="s">
        <v>4855</v>
      </c>
      <c r="I5650" s="197" t="s">
        <v>9326</v>
      </c>
      <c r="J5650" s="148" t="s">
        <v>63</v>
      </c>
      <c r="K5650" s="148" t="s">
        <v>9327</v>
      </c>
      <c r="L5650" s="148" t="s">
        <v>65</v>
      </c>
      <c r="M5650" s="148" t="s">
        <v>66</v>
      </c>
      <c r="N5650" s="285">
        <v>46250.0</v>
      </c>
      <c r="O5650" s="148" t="s">
        <v>9328</v>
      </c>
      <c r="P5650" s="148" t="s">
        <v>68</v>
      </c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1">
        <f t="shared" si="1"/>
        <v>5645</v>
      </c>
      <c r="B5651" s="97" t="s">
        <v>9367</v>
      </c>
      <c r="C5651" s="82" t="str">
        <f>VLOOKUP($B$7:$B$5000,SUM!$L$6:$L$500,1,FALSE)</f>
        <v>#VALUE!</v>
      </c>
      <c r="D5651" s="296" t="s">
        <v>9368</v>
      </c>
      <c r="E5651" s="125"/>
      <c r="F5651" s="148" t="s">
        <v>9269</v>
      </c>
      <c r="G5651" s="191" t="s">
        <v>9325</v>
      </c>
      <c r="H5651" s="199" t="s">
        <v>1183</v>
      </c>
      <c r="I5651" s="197" t="s">
        <v>9326</v>
      </c>
      <c r="J5651" s="148" t="s">
        <v>63</v>
      </c>
      <c r="K5651" s="148" t="s">
        <v>9327</v>
      </c>
      <c r="L5651" s="148" t="s">
        <v>65</v>
      </c>
      <c r="M5651" s="148" t="s">
        <v>66</v>
      </c>
      <c r="N5651" s="285">
        <v>46250.0</v>
      </c>
      <c r="O5651" s="148" t="s">
        <v>9328</v>
      </c>
      <c r="P5651" s="148" t="s">
        <v>68</v>
      </c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1">
        <f t="shared" si="1"/>
        <v>5646</v>
      </c>
      <c r="B5652" s="97" t="s">
        <v>9369</v>
      </c>
      <c r="C5652" s="82" t="str">
        <f>VLOOKUP($B$7:$B$5000,SUM!$L$6:$L$500,1,FALSE)</f>
        <v>#VALUE!</v>
      </c>
      <c r="D5652" s="296" t="s">
        <v>9368</v>
      </c>
      <c r="E5652" s="125"/>
      <c r="F5652" s="148" t="s">
        <v>9269</v>
      </c>
      <c r="G5652" s="191" t="s">
        <v>9325</v>
      </c>
      <c r="H5652" s="199" t="s">
        <v>1185</v>
      </c>
      <c r="I5652" s="197" t="s">
        <v>9326</v>
      </c>
      <c r="J5652" s="148" t="s">
        <v>63</v>
      </c>
      <c r="K5652" s="148" t="s">
        <v>9327</v>
      </c>
      <c r="L5652" s="148" t="s">
        <v>65</v>
      </c>
      <c r="M5652" s="148" t="s">
        <v>66</v>
      </c>
      <c r="N5652" s="285">
        <v>46250.0</v>
      </c>
      <c r="O5652" s="148" t="s">
        <v>9328</v>
      </c>
      <c r="P5652" s="148" t="s">
        <v>68</v>
      </c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1">
        <f t="shared" si="1"/>
        <v>5647</v>
      </c>
      <c r="B5653" s="97" t="s">
        <v>9370</v>
      </c>
      <c r="C5653" s="82" t="str">
        <f>VLOOKUP($B$7:$B$5000,SUM!$L$6:$L$500,1,FALSE)</f>
        <v>#VALUE!</v>
      </c>
      <c r="D5653" s="296" t="s">
        <v>9368</v>
      </c>
      <c r="E5653" s="125"/>
      <c r="F5653" s="148" t="s">
        <v>9269</v>
      </c>
      <c r="G5653" s="191" t="s">
        <v>9325</v>
      </c>
      <c r="H5653" s="199" t="s">
        <v>607</v>
      </c>
      <c r="I5653" s="197" t="s">
        <v>9326</v>
      </c>
      <c r="J5653" s="148" t="s">
        <v>63</v>
      </c>
      <c r="K5653" s="148" t="s">
        <v>9327</v>
      </c>
      <c r="L5653" s="148" t="s">
        <v>65</v>
      </c>
      <c r="M5653" s="148" t="s">
        <v>66</v>
      </c>
      <c r="N5653" s="285">
        <v>46250.0</v>
      </c>
      <c r="O5653" s="148" t="s">
        <v>9328</v>
      </c>
      <c r="P5653" s="148" t="s">
        <v>68</v>
      </c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1">
        <f t="shared" si="1"/>
        <v>5648</v>
      </c>
      <c r="B5654" s="97" t="s">
        <v>9371</v>
      </c>
      <c r="C5654" s="82" t="str">
        <f>VLOOKUP($B$7:$B$5000,SUM!$L$6:$L$500,1,FALSE)</f>
        <v>#VALUE!</v>
      </c>
      <c r="D5654" s="296" t="s">
        <v>9368</v>
      </c>
      <c r="E5654" s="125"/>
      <c r="F5654" s="148" t="s">
        <v>9269</v>
      </c>
      <c r="G5654" s="191" t="s">
        <v>9325</v>
      </c>
      <c r="H5654" s="199" t="s">
        <v>609</v>
      </c>
      <c r="I5654" s="197" t="s">
        <v>9326</v>
      </c>
      <c r="J5654" s="148" t="s">
        <v>63</v>
      </c>
      <c r="K5654" s="148" t="s">
        <v>9327</v>
      </c>
      <c r="L5654" s="148" t="s">
        <v>65</v>
      </c>
      <c r="M5654" s="148" t="s">
        <v>66</v>
      </c>
      <c r="N5654" s="285">
        <v>46250.0</v>
      </c>
      <c r="O5654" s="148" t="s">
        <v>9328</v>
      </c>
      <c r="P5654" s="148" t="s">
        <v>68</v>
      </c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1">
        <f t="shared" si="1"/>
        <v>5649</v>
      </c>
      <c r="B5655" s="97" t="s">
        <v>9372</v>
      </c>
      <c r="C5655" s="82" t="str">
        <f>VLOOKUP($B$7:$B$5000,SUM!$L$6:$L$500,1,FALSE)</f>
        <v>#VALUE!</v>
      </c>
      <c r="D5655" s="296" t="s">
        <v>9368</v>
      </c>
      <c r="E5655" s="125"/>
      <c r="F5655" s="148" t="s">
        <v>9269</v>
      </c>
      <c r="G5655" s="191" t="s">
        <v>9325</v>
      </c>
      <c r="H5655" s="199" t="s">
        <v>645</v>
      </c>
      <c r="I5655" s="197" t="s">
        <v>9326</v>
      </c>
      <c r="J5655" s="148" t="s">
        <v>63</v>
      </c>
      <c r="K5655" s="148" t="s">
        <v>9327</v>
      </c>
      <c r="L5655" s="148" t="s">
        <v>65</v>
      </c>
      <c r="M5655" s="148" t="s">
        <v>66</v>
      </c>
      <c r="N5655" s="285">
        <v>46250.0</v>
      </c>
      <c r="O5655" s="148" t="s">
        <v>9328</v>
      </c>
      <c r="P5655" s="148" t="s">
        <v>68</v>
      </c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1">
        <f t="shared" si="1"/>
        <v>5650</v>
      </c>
      <c r="B5656" s="97" t="s">
        <v>9373</v>
      </c>
      <c r="C5656" s="82" t="str">
        <f>VLOOKUP($B$7:$B$5000,SUM!$L$6:$L$500,1,FALSE)</f>
        <v>#VALUE!</v>
      </c>
      <c r="D5656" s="296" t="s">
        <v>9368</v>
      </c>
      <c r="E5656" s="125"/>
      <c r="F5656" s="148" t="s">
        <v>9269</v>
      </c>
      <c r="G5656" s="191" t="s">
        <v>9325</v>
      </c>
      <c r="H5656" s="199" t="s">
        <v>613</v>
      </c>
      <c r="I5656" s="197" t="s">
        <v>9326</v>
      </c>
      <c r="J5656" s="148" t="s">
        <v>63</v>
      </c>
      <c r="K5656" s="148" t="s">
        <v>9327</v>
      </c>
      <c r="L5656" s="148" t="s">
        <v>65</v>
      </c>
      <c r="M5656" s="148" t="s">
        <v>66</v>
      </c>
      <c r="N5656" s="285">
        <v>46250.0</v>
      </c>
      <c r="O5656" s="148" t="s">
        <v>9328</v>
      </c>
      <c r="P5656" s="148" t="s">
        <v>68</v>
      </c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1">
        <f t="shared" si="1"/>
        <v>5651</v>
      </c>
      <c r="B5657" s="97" t="s">
        <v>9374</v>
      </c>
      <c r="C5657" s="82" t="str">
        <f>VLOOKUP($B$7:$B$5000,SUM!$L$6:$L$500,1,FALSE)</f>
        <v>#VALUE!</v>
      </c>
      <c r="D5657" s="296" t="s">
        <v>9368</v>
      </c>
      <c r="E5657" s="125"/>
      <c r="F5657" s="148" t="s">
        <v>9269</v>
      </c>
      <c r="G5657" s="191" t="s">
        <v>9325</v>
      </c>
      <c r="H5657" s="199" t="s">
        <v>615</v>
      </c>
      <c r="I5657" s="197" t="s">
        <v>9326</v>
      </c>
      <c r="J5657" s="148" t="s">
        <v>63</v>
      </c>
      <c r="K5657" s="148" t="s">
        <v>9327</v>
      </c>
      <c r="L5657" s="148" t="s">
        <v>65</v>
      </c>
      <c r="M5657" s="148" t="s">
        <v>66</v>
      </c>
      <c r="N5657" s="285">
        <v>46250.0</v>
      </c>
      <c r="O5657" s="148" t="s">
        <v>9328</v>
      </c>
      <c r="P5657" s="148" t="s">
        <v>68</v>
      </c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1">
        <f t="shared" si="1"/>
        <v>5652</v>
      </c>
      <c r="B5658" s="97" t="s">
        <v>9375</v>
      </c>
      <c r="C5658" s="82" t="str">
        <f>VLOOKUP($B$7:$B$5000,SUM!$L$6:$L$500,1,FALSE)</f>
        <v>#VALUE!</v>
      </c>
      <c r="D5658" s="296" t="s">
        <v>9368</v>
      </c>
      <c r="E5658" s="125"/>
      <c r="F5658" s="148" t="s">
        <v>9269</v>
      </c>
      <c r="G5658" s="191" t="s">
        <v>9325</v>
      </c>
      <c r="H5658" s="199" t="s">
        <v>2784</v>
      </c>
      <c r="I5658" s="197" t="s">
        <v>9326</v>
      </c>
      <c r="J5658" s="148" t="s">
        <v>63</v>
      </c>
      <c r="K5658" s="148" t="s">
        <v>9327</v>
      </c>
      <c r="L5658" s="148" t="s">
        <v>65</v>
      </c>
      <c r="M5658" s="148" t="s">
        <v>66</v>
      </c>
      <c r="N5658" s="285">
        <v>46250.0</v>
      </c>
      <c r="O5658" s="148" t="s">
        <v>9328</v>
      </c>
      <c r="P5658" s="148" t="s">
        <v>68</v>
      </c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1">
        <f t="shared" si="1"/>
        <v>5653</v>
      </c>
      <c r="B5659" s="97" t="s">
        <v>9376</v>
      </c>
      <c r="C5659" s="82" t="str">
        <f>VLOOKUP($B$7:$B$5000,SUM!$L$6:$L$500,1,FALSE)</f>
        <v>#VALUE!</v>
      </c>
      <c r="D5659" s="296" t="s">
        <v>9368</v>
      </c>
      <c r="E5659" s="125"/>
      <c r="F5659" s="148" t="s">
        <v>9269</v>
      </c>
      <c r="G5659" s="191" t="s">
        <v>9325</v>
      </c>
      <c r="H5659" s="199" t="s">
        <v>1083</v>
      </c>
      <c r="I5659" s="197" t="s">
        <v>9326</v>
      </c>
      <c r="J5659" s="148" t="s">
        <v>63</v>
      </c>
      <c r="K5659" s="148" t="s">
        <v>9327</v>
      </c>
      <c r="L5659" s="148" t="s">
        <v>65</v>
      </c>
      <c r="M5659" s="148" t="s">
        <v>66</v>
      </c>
      <c r="N5659" s="285">
        <v>46250.0</v>
      </c>
      <c r="O5659" s="148" t="s">
        <v>9328</v>
      </c>
      <c r="P5659" s="148" t="s">
        <v>68</v>
      </c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1">
        <f t="shared" si="1"/>
        <v>5654</v>
      </c>
      <c r="B5660" s="97" t="s">
        <v>9377</v>
      </c>
      <c r="C5660" s="82" t="str">
        <f>VLOOKUP($B$7:$B$5000,SUM!$L$6:$L$500,1,FALSE)</f>
        <v>#VALUE!</v>
      </c>
      <c r="D5660" s="296" t="s">
        <v>9368</v>
      </c>
      <c r="E5660" s="125"/>
      <c r="F5660" s="148" t="s">
        <v>9269</v>
      </c>
      <c r="G5660" s="191" t="s">
        <v>9325</v>
      </c>
      <c r="H5660" s="199" t="s">
        <v>621</v>
      </c>
      <c r="I5660" s="197" t="s">
        <v>9326</v>
      </c>
      <c r="J5660" s="148" t="s">
        <v>63</v>
      </c>
      <c r="K5660" s="148" t="s">
        <v>9327</v>
      </c>
      <c r="L5660" s="148" t="s">
        <v>65</v>
      </c>
      <c r="M5660" s="148" t="s">
        <v>66</v>
      </c>
      <c r="N5660" s="285">
        <v>46250.0</v>
      </c>
      <c r="O5660" s="148" t="s">
        <v>9328</v>
      </c>
      <c r="P5660" s="148" t="s">
        <v>68</v>
      </c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1">
        <f t="shared" si="1"/>
        <v>5655</v>
      </c>
      <c r="B5661" s="97" t="s">
        <v>9378</v>
      </c>
      <c r="C5661" s="82" t="str">
        <f>VLOOKUP($B$7:$B$5000,SUM!$L$6:$L$500,1,FALSE)</f>
        <v>#VALUE!</v>
      </c>
      <c r="D5661" s="296" t="s">
        <v>9379</v>
      </c>
      <c r="E5661" s="125"/>
      <c r="F5661" s="199" t="s">
        <v>9380</v>
      </c>
      <c r="G5661" s="191" t="s">
        <v>9325</v>
      </c>
      <c r="H5661" s="199" t="s">
        <v>9381</v>
      </c>
      <c r="I5661" s="197" t="s">
        <v>9382</v>
      </c>
      <c r="J5661" s="148" t="s">
        <v>63</v>
      </c>
      <c r="K5661" s="148" t="s">
        <v>64</v>
      </c>
      <c r="L5661" s="148" t="s">
        <v>65</v>
      </c>
      <c r="M5661" s="148" t="s">
        <v>66</v>
      </c>
      <c r="N5661" s="285">
        <v>46250.0</v>
      </c>
      <c r="O5661" s="148" t="s">
        <v>67</v>
      </c>
      <c r="P5661" s="148" t="s">
        <v>68</v>
      </c>
      <c r="Q5661" s="103"/>
      <c r="R5661" s="103"/>
      <c r="S5661" s="103"/>
      <c r="T5661" s="103"/>
      <c r="U5661" s="148" t="s">
        <v>28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1">
        <f t="shared" si="1"/>
        <v>5656</v>
      </c>
      <c r="B5662" s="97" t="s">
        <v>9383</v>
      </c>
      <c r="C5662" s="82" t="str">
        <f>VLOOKUP($B$7:$B$5000,SUM!$L$6:$L$500,1,FALSE)</f>
        <v>#VALUE!</v>
      </c>
      <c r="D5662" s="296" t="s">
        <v>9384</v>
      </c>
      <c r="E5662" s="189" t="s">
        <v>58</v>
      </c>
      <c r="F5662" s="148" t="s">
        <v>9269</v>
      </c>
      <c r="G5662" s="189" t="s">
        <v>8838</v>
      </c>
      <c r="H5662" s="199" t="s">
        <v>9385</v>
      </c>
      <c r="I5662" s="270" t="s">
        <v>7158</v>
      </c>
      <c r="J5662" s="148" t="s">
        <v>63</v>
      </c>
      <c r="K5662" s="148" t="s">
        <v>9327</v>
      </c>
      <c r="L5662" s="148" t="s">
        <v>65</v>
      </c>
      <c r="M5662" s="148" t="s">
        <v>66</v>
      </c>
      <c r="N5662" s="285">
        <v>46250.0</v>
      </c>
      <c r="O5662" s="148" t="s">
        <v>9328</v>
      </c>
      <c r="P5662" s="148" t="s">
        <v>68</v>
      </c>
      <c r="Q5662" s="103"/>
      <c r="R5662" s="103"/>
      <c r="S5662" s="103"/>
      <c r="T5662" s="103"/>
      <c r="U5662" s="148" t="s">
        <v>28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1">
        <f t="shared" si="1"/>
        <v>5657</v>
      </c>
      <c r="B5663" s="97" t="s">
        <v>9386</v>
      </c>
      <c r="C5663" s="82" t="str">
        <f>VLOOKUP($B$7:$B$5000,SUM!$L$6:$L$500,1,FALSE)</f>
        <v>#VALUE!</v>
      </c>
      <c r="D5663" s="296" t="s">
        <v>9384</v>
      </c>
      <c r="E5663" s="189" t="s">
        <v>58</v>
      </c>
      <c r="F5663" s="148" t="s">
        <v>9269</v>
      </c>
      <c r="G5663" s="189" t="s">
        <v>8838</v>
      </c>
      <c r="H5663" s="148" t="s">
        <v>9387</v>
      </c>
      <c r="I5663" s="270" t="s">
        <v>9388</v>
      </c>
      <c r="J5663" s="148" t="s">
        <v>63</v>
      </c>
      <c r="K5663" s="148" t="s">
        <v>9327</v>
      </c>
      <c r="L5663" s="148" t="s">
        <v>65</v>
      </c>
      <c r="M5663" s="148" t="s">
        <v>66</v>
      </c>
      <c r="N5663" s="285">
        <v>46250.0</v>
      </c>
      <c r="O5663" s="148" t="s">
        <v>9328</v>
      </c>
      <c r="P5663" s="148" t="s">
        <v>68</v>
      </c>
      <c r="Q5663" s="103"/>
      <c r="R5663" s="103"/>
      <c r="S5663" s="103"/>
      <c r="T5663" s="103"/>
      <c r="U5663" s="148" t="s">
        <v>28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1">
        <f t="shared" si="1"/>
        <v>5658</v>
      </c>
      <c r="B5664" s="97" t="s">
        <v>9389</v>
      </c>
      <c r="C5664" s="82" t="str">
        <f>VLOOKUP($B$7:$B$5000,SUM!$L$6:$L$500,1,FALSE)</f>
        <v>#VALUE!</v>
      </c>
      <c r="D5664" s="296" t="s">
        <v>9384</v>
      </c>
      <c r="E5664" s="189" t="s">
        <v>58</v>
      </c>
      <c r="F5664" s="148" t="s">
        <v>9269</v>
      </c>
      <c r="G5664" s="189" t="s">
        <v>8838</v>
      </c>
      <c r="H5664" s="199" t="s">
        <v>9387</v>
      </c>
      <c r="I5664" s="270" t="s">
        <v>7158</v>
      </c>
      <c r="J5664" s="148" t="s">
        <v>63</v>
      </c>
      <c r="K5664" s="148" t="s">
        <v>9327</v>
      </c>
      <c r="L5664" s="148" t="s">
        <v>65</v>
      </c>
      <c r="M5664" s="148" t="s">
        <v>66</v>
      </c>
      <c r="N5664" s="285">
        <v>46250.0</v>
      </c>
      <c r="O5664" s="148" t="s">
        <v>9328</v>
      </c>
      <c r="P5664" s="148" t="s">
        <v>68</v>
      </c>
      <c r="Q5664" s="103"/>
      <c r="R5664" s="103"/>
      <c r="S5664" s="103"/>
      <c r="T5664" s="103"/>
      <c r="U5664" s="148" t="s">
        <v>28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1">
        <f t="shared" si="1"/>
        <v>5659</v>
      </c>
      <c r="B5665" s="97" t="s">
        <v>9390</v>
      </c>
      <c r="C5665" s="82" t="str">
        <f>VLOOKUP($B$7:$B$5000,SUM!$L$6:$L$500,1,FALSE)</f>
        <v>#VALUE!</v>
      </c>
      <c r="D5665" s="296" t="s">
        <v>9384</v>
      </c>
      <c r="E5665" s="189" t="s">
        <v>58</v>
      </c>
      <c r="F5665" s="148" t="s">
        <v>9269</v>
      </c>
      <c r="G5665" s="189" t="s">
        <v>8838</v>
      </c>
      <c r="H5665" s="199" t="s">
        <v>9391</v>
      </c>
      <c r="I5665" s="270" t="s">
        <v>7158</v>
      </c>
      <c r="J5665" s="148" t="s">
        <v>63</v>
      </c>
      <c r="K5665" s="148" t="s">
        <v>9327</v>
      </c>
      <c r="L5665" s="148" t="s">
        <v>65</v>
      </c>
      <c r="M5665" s="148" t="s">
        <v>66</v>
      </c>
      <c r="N5665" s="285">
        <v>46250.0</v>
      </c>
      <c r="O5665" s="148" t="s">
        <v>9328</v>
      </c>
      <c r="P5665" s="148" t="s">
        <v>68</v>
      </c>
      <c r="Q5665" s="103"/>
      <c r="R5665" s="103"/>
      <c r="S5665" s="103"/>
      <c r="T5665" s="103"/>
      <c r="U5665" s="148" t="s">
        <v>28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1">
        <f t="shared" si="1"/>
        <v>5660</v>
      </c>
      <c r="B5666" s="97" t="s">
        <v>9392</v>
      </c>
      <c r="C5666" s="82" t="str">
        <f>VLOOKUP($B$7:$B$5000,SUM!$L$6:$L$500,1,FALSE)</f>
        <v>#VALUE!</v>
      </c>
      <c r="D5666" s="296" t="s">
        <v>9384</v>
      </c>
      <c r="E5666" s="189" t="s">
        <v>58</v>
      </c>
      <c r="F5666" s="148" t="s">
        <v>9269</v>
      </c>
      <c r="G5666" s="189" t="s">
        <v>8838</v>
      </c>
      <c r="H5666" s="199" t="s">
        <v>9393</v>
      </c>
      <c r="I5666" s="270" t="s">
        <v>7158</v>
      </c>
      <c r="J5666" s="148" t="s">
        <v>63</v>
      </c>
      <c r="K5666" s="148" t="s">
        <v>9327</v>
      </c>
      <c r="L5666" s="148" t="s">
        <v>65</v>
      </c>
      <c r="M5666" s="148" t="s">
        <v>66</v>
      </c>
      <c r="N5666" s="285">
        <v>46250.0</v>
      </c>
      <c r="O5666" s="148" t="s">
        <v>9328</v>
      </c>
      <c r="P5666" s="148" t="s">
        <v>68</v>
      </c>
      <c r="Q5666" s="103"/>
      <c r="R5666" s="103"/>
      <c r="S5666" s="103"/>
      <c r="T5666" s="103"/>
      <c r="U5666" s="148" t="s">
        <v>28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1">
        <f t="shared" si="1"/>
        <v>5661</v>
      </c>
      <c r="B5667" s="97" t="s">
        <v>9394</v>
      </c>
      <c r="C5667" s="82" t="str">
        <f>VLOOKUP($B$7:$B$5000,SUM!$L$6:$L$500,1,FALSE)</f>
        <v>#VALUE!</v>
      </c>
      <c r="D5667" s="296" t="s">
        <v>9384</v>
      </c>
      <c r="E5667" s="189" t="s">
        <v>58</v>
      </c>
      <c r="F5667" s="148" t="s">
        <v>9269</v>
      </c>
      <c r="G5667" s="189" t="s">
        <v>8838</v>
      </c>
      <c r="H5667" s="199" t="s">
        <v>9395</v>
      </c>
      <c r="I5667" s="270" t="s">
        <v>7158</v>
      </c>
      <c r="J5667" s="148" t="s">
        <v>63</v>
      </c>
      <c r="K5667" s="148" t="s">
        <v>9327</v>
      </c>
      <c r="L5667" s="148" t="s">
        <v>65</v>
      </c>
      <c r="M5667" s="148" t="s">
        <v>66</v>
      </c>
      <c r="N5667" s="285">
        <v>46250.0</v>
      </c>
      <c r="O5667" s="148" t="s">
        <v>9328</v>
      </c>
      <c r="P5667" s="148" t="s">
        <v>68</v>
      </c>
      <c r="Q5667" s="103"/>
      <c r="R5667" s="103"/>
      <c r="S5667" s="103"/>
      <c r="T5667" s="103"/>
      <c r="U5667" s="148" t="s">
        <v>28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1">
        <f t="shared" si="1"/>
        <v>5662</v>
      </c>
      <c r="B5668" s="97" t="s">
        <v>9396</v>
      </c>
      <c r="C5668" s="82" t="str">
        <f>VLOOKUP($B$7:$B$5000,SUM!$L$6:$L$500,1,FALSE)</f>
        <v>#VALUE!</v>
      </c>
      <c r="D5668" s="296" t="s">
        <v>9384</v>
      </c>
      <c r="E5668" s="189" t="s">
        <v>58</v>
      </c>
      <c r="F5668" s="148" t="s">
        <v>9269</v>
      </c>
      <c r="G5668" s="189" t="s">
        <v>8838</v>
      </c>
      <c r="H5668" s="199" t="s">
        <v>9397</v>
      </c>
      <c r="I5668" s="270" t="s">
        <v>7158</v>
      </c>
      <c r="J5668" s="148" t="s">
        <v>63</v>
      </c>
      <c r="K5668" s="148" t="s">
        <v>9327</v>
      </c>
      <c r="L5668" s="148" t="s">
        <v>65</v>
      </c>
      <c r="M5668" s="148" t="s">
        <v>66</v>
      </c>
      <c r="N5668" s="285">
        <v>46250.0</v>
      </c>
      <c r="O5668" s="148" t="s">
        <v>9328</v>
      </c>
      <c r="P5668" s="148" t="s">
        <v>68</v>
      </c>
      <c r="Q5668" s="103"/>
      <c r="R5668" s="103"/>
      <c r="S5668" s="103"/>
      <c r="T5668" s="103"/>
      <c r="U5668" s="148" t="s">
        <v>28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1">
        <f t="shared" si="1"/>
        <v>5663</v>
      </c>
      <c r="B5669" s="97" t="s">
        <v>9398</v>
      </c>
      <c r="C5669" s="82" t="str">
        <f>VLOOKUP($B$7:$B$5000,SUM!$L$6:$L$500,1,FALSE)</f>
        <v>#VALUE!</v>
      </c>
      <c r="D5669" s="296" t="s">
        <v>9384</v>
      </c>
      <c r="E5669" s="189" t="s">
        <v>58</v>
      </c>
      <c r="F5669" s="148" t="s">
        <v>9269</v>
      </c>
      <c r="G5669" s="189" t="s">
        <v>8838</v>
      </c>
      <c r="H5669" s="148" t="s">
        <v>9399</v>
      </c>
      <c r="I5669" s="270" t="s">
        <v>9400</v>
      </c>
      <c r="J5669" s="148" t="s">
        <v>63</v>
      </c>
      <c r="K5669" s="148" t="s">
        <v>9327</v>
      </c>
      <c r="L5669" s="148" t="s">
        <v>65</v>
      </c>
      <c r="M5669" s="148" t="s">
        <v>66</v>
      </c>
      <c r="N5669" s="285">
        <v>46250.0</v>
      </c>
      <c r="O5669" s="148" t="s">
        <v>9328</v>
      </c>
      <c r="P5669" s="148" t="s">
        <v>68</v>
      </c>
      <c r="Q5669" s="103"/>
      <c r="R5669" s="103"/>
      <c r="S5669" s="103"/>
      <c r="T5669" s="103"/>
      <c r="U5669" s="148" t="s">
        <v>28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1">
        <f t="shared" si="1"/>
        <v>5664</v>
      </c>
      <c r="B5670" s="97" t="s">
        <v>9401</v>
      </c>
      <c r="C5670" s="82" t="str">
        <f>VLOOKUP($B$7:$B$5000,SUM!$L$6:$L$500,1,FALSE)</f>
        <v>#VALUE!</v>
      </c>
      <c r="D5670" s="296" t="s">
        <v>9384</v>
      </c>
      <c r="E5670" s="189" t="s">
        <v>58</v>
      </c>
      <c r="F5670" s="148" t="s">
        <v>9269</v>
      </c>
      <c r="G5670" s="189" t="s">
        <v>8838</v>
      </c>
      <c r="H5670" s="199" t="s">
        <v>9402</v>
      </c>
      <c r="I5670" s="270" t="s">
        <v>9403</v>
      </c>
      <c r="J5670" s="148" t="s">
        <v>63</v>
      </c>
      <c r="K5670" s="148" t="s">
        <v>9327</v>
      </c>
      <c r="L5670" s="148" t="s">
        <v>65</v>
      </c>
      <c r="M5670" s="148" t="s">
        <v>66</v>
      </c>
      <c r="N5670" s="285">
        <v>46250.0</v>
      </c>
      <c r="O5670" s="148" t="s">
        <v>9328</v>
      </c>
      <c r="P5670" s="148" t="s">
        <v>68</v>
      </c>
      <c r="Q5670" s="103"/>
      <c r="R5670" s="103"/>
      <c r="S5670" s="103"/>
      <c r="T5670" s="103"/>
      <c r="U5670" s="148" t="s">
        <v>28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1">
        <f t="shared" si="1"/>
        <v>5665</v>
      </c>
      <c r="B5671" s="97" t="s">
        <v>9404</v>
      </c>
      <c r="C5671" s="82" t="str">
        <f>VLOOKUP($B$7:$B$5000,SUM!$L$6:$L$500,1,FALSE)</f>
        <v>#VALUE!</v>
      </c>
      <c r="D5671" s="296" t="s">
        <v>9384</v>
      </c>
      <c r="E5671" s="189" t="s">
        <v>58</v>
      </c>
      <c r="F5671" s="148" t="s">
        <v>9269</v>
      </c>
      <c r="G5671" s="189" t="s">
        <v>8838</v>
      </c>
      <c r="H5671" s="199" t="s">
        <v>7459</v>
      </c>
      <c r="I5671" s="270" t="s">
        <v>9405</v>
      </c>
      <c r="J5671" s="148" t="s">
        <v>63</v>
      </c>
      <c r="K5671" s="148" t="s">
        <v>9327</v>
      </c>
      <c r="L5671" s="148" t="s">
        <v>65</v>
      </c>
      <c r="M5671" s="148" t="s">
        <v>66</v>
      </c>
      <c r="N5671" s="285">
        <v>46250.0</v>
      </c>
      <c r="O5671" s="148" t="s">
        <v>9328</v>
      </c>
      <c r="P5671" s="148" t="s">
        <v>68</v>
      </c>
      <c r="Q5671" s="103"/>
      <c r="R5671" s="103"/>
      <c r="S5671" s="103"/>
      <c r="T5671" s="103"/>
      <c r="U5671" s="148" t="s">
        <v>28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1">
        <f t="shared" si="1"/>
        <v>5666</v>
      </c>
      <c r="B5672" s="97" t="s">
        <v>9406</v>
      </c>
      <c r="C5672" s="82" t="str">
        <f>VLOOKUP($B$7:$B$5000,SUM!$L$6:$L$500,1,FALSE)</f>
        <v>#VALUE!</v>
      </c>
      <c r="D5672" s="296" t="s">
        <v>9407</v>
      </c>
      <c r="E5672" s="189" t="s">
        <v>58</v>
      </c>
      <c r="F5672" s="148" t="s">
        <v>9408</v>
      </c>
      <c r="G5672" s="189" t="s">
        <v>8838</v>
      </c>
      <c r="H5672" s="199" t="s">
        <v>9387</v>
      </c>
      <c r="I5672" s="270" t="s">
        <v>8929</v>
      </c>
      <c r="J5672" s="148" t="s">
        <v>63</v>
      </c>
      <c r="K5672" s="148" t="s">
        <v>9327</v>
      </c>
      <c r="L5672" s="148" t="s">
        <v>65</v>
      </c>
      <c r="M5672" s="148" t="s">
        <v>66</v>
      </c>
      <c r="N5672" s="285">
        <v>46250.0</v>
      </c>
      <c r="O5672" s="148" t="s">
        <v>9328</v>
      </c>
      <c r="P5672" s="148" t="s">
        <v>68</v>
      </c>
      <c r="Q5672" s="103"/>
      <c r="R5672" s="103"/>
      <c r="S5672" s="103"/>
      <c r="T5672" s="103"/>
      <c r="U5672" s="148" t="s">
        <v>28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1">
        <f t="shared" si="1"/>
        <v>5667</v>
      </c>
      <c r="B5673" s="97" t="s">
        <v>9409</v>
      </c>
      <c r="C5673" s="82" t="str">
        <f>VLOOKUP($B$7:$B$5000,SUM!$L$6:$L$500,1,FALSE)</f>
        <v>#VALUE!</v>
      </c>
      <c r="D5673" s="296" t="s">
        <v>9410</v>
      </c>
      <c r="E5673" s="189" t="s">
        <v>58</v>
      </c>
      <c r="F5673" s="148" t="s">
        <v>9408</v>
      </c>
      <c r="G5673" s="189" t="s">
        <v>8838</v>
      </c>
      <c r="H5673" s="199" t="s">
        <v>9391</v>
      </c>
      <c r="I5673" s="270" t="s">
        <v>8929</v>
      </c>
      <c r="J5673" s="148" t="s">
        <v>63</v>
      </c>
      <c r="K5673" s="148" t="s">
        <v>9327</v>
      </c>
      <c r="L5673" s="148" t="s">
        <v>65</v>
      </c>
      <c r="M5673" s="148" t="s">
        <v>66</v>
      </c>
      <c r="N5673" s="285">
        <v>46250.0</v>
      </c>
      <c r="O5673" s="148" t="s">
        <v>9328</v>
      </c>
      <c r="P5673" s="148" t="s">
        <v>68</v>
      </c>
      <c r="Q5673" s="103"/>
      <c r="R5673" s="103"/>
      <c r="S5673" s="103"/>
      <c r="T5673" s="103"/>
      <c r="U5673" s="148" t="s">
        <v>28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1">
        <f t="shared" si="1"/>
        <v>5668</v>
      </c>
      <c r="B5674" s="97" t="s">
        <v>9411</v>
      </c>
      <c r="C5674" s="82" t="str">
        <f>VLOOKUP($B$7:$B$5000,SUM!$L$6:$L$500,1,FALSE)</f>
        <v>#VALUE!</v>
      </c>
      <c r="D5674" s="296" t="s">
        <v>9407</v>
      </c>
      <c r="E5674" s="189" t="s">
        <v>58</v>
      </c>
      <c r="F5674" s="148" t="s">
        <v>9408</v>
      </c>
      <c r="G5674" s="189" t="s">
        <v>8838</v>
      </c>
      <c r="H5674" s="199" t="s">
        <v>9393</v>
      </c>
      <c r="I5674" s="270" t="s">
        <v>8929</v>
      </c>
      <c r="J5674" s="148" t="s">
        <v>63</v>
      </c>
      <c r="K5674" s="148" t="s">
        <v>9327</v>
      </c>
      <c r="L5674" s="148" t="s">
        <v>65</v>
      </c>
      <c r="M5674" s="148" t="s">
        <v>66</v>
      </c>
      <c r="N5674" s="285">
        <v>46250.0</v>
      </c>
      <c r="O5674" s="148" t="s">
        <v>9328</v>
      </c>
      <c r="P5674" s="148" t="s">
        <v>68</v>
      </c>
      <c r="Q5674" s="103"/>
      <c r="R5674" s="103"/>
      <c r="S5674" s="103"/>
      <c r="T5674" s="103"/>
      <c r="U5674" s="148" t="s">
        <v>28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1">
        <f t="shared" si="1"/>
        <v>5669</v>
      </c>
      <c r="B5675" s="97" t="s">
        <v>9412</v>
      </c>
      <c r="C5675" s="82" t="str">
        <f>VLOOKUP($B$7:$B$5000,SUM!$L$6:$L$500,1,FALSE)</f>
        <v>#VALUE!</v>
      </c>
      <c r="D5675" s="296" t="s">
        <v>9407</v>
      </c>
      <c r="E5675" s="189" t="s">
        <v>58</v>
      </c>
      <c r="F5675" s="148" t="s">
        <v>9408</v>
      </c>
      <c r="G5675" s="189" t="s">
        <v>8838</v>
      </c>
      <c r="H5675" s="199" t="s">
        <v>9395</v>
      </c>
      <c r="I5675" s="270" t="s">
        <v>8929</v>
      </c>
      <c r="J5675" s="148" t="s">
        <v>63</v>
      </c>
      <c r="K5675" s="148" t="s">
        <v>9327</v>
      </c>
      <c r="L5675" s="148" t="s">
        <v>65</v>
      </c>
      <c r="M5675" s="148" t="s">
        <v>66</v>
      </c>
      <c r="N5675" s="285">
        <v>46250.0</v>
      </c>
      <c r="O5675" s="148" t="s">
        <v>9328</v>
      </c>
      <c r="P5675" s="148" t="s">
        <v>68</v>
      </c>
      <c r="Q5675" s="103"/>
      <c r="R5675" s="103"/>
      <c r="S5675" s="103"/>
      <c r="T5675" s="103"/>
      <c r="U5675" s="148" t="s">
        <v>28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1">
        <f t="shared" si="1"/>
        <v>5670</v>
      </c>
      <c r="B5676" s="97" t="s">
        <v>9413</v>
      </c>
      <c r="C5676" s="82" t="str">
        <f>VLOOKUP($B$7:$B$5000,SUM!$L$6:$L$500,1,FALSE)</f>
        <v>#VALUE!</v>
      </c>
      <c r="D5676" s="300" t="s">
        <v>9414</v>
      </c>
      <c r="E5676" s="189" t="s">
        <v>58</v>
      </c>
      <c r="F5676" s="199" t="s">
        <v>8479</v>
      </c>
      <c r="G5676" s="189" t="s">
        <v>9415</v>
      </c>
      <c r="H5676" s="199" t="s">
        <v>9416</v>
      </c>
      <c r="I5676" s="197" t="s">
        <v>8607</v>
      </c>
      <c r="J5676" s="148" t="s">
        <v>63</v>
      </c>
      <c r="K5676" s="148" t="s">
        <v>64</v>
      </c>
      <c r="L5676" s="148" t="s">
        <v>65</v>
      </c>
      <c r="M5676" s="148" t="s">
        <v>66</v>
      </c>
      <c r="N5676" s="285">
        <v>46250.0</v>
      </c>
      <c r="O5676" s="148" t="s">
        <v>9328</v>
      </c>
      <c r="P5676" s="148" t="s">
        <v>68</v>
      </c>
      <c r="Q5676" s="103"/>
      <c r="R5676" s="103"/>
      <c r="S5676" s="103"/>
      <c r="T5676" s="103"/>
      <c r="U5676" s="148" t="s">
        <v>28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1">
        <f t="shared" si="1"/>
        <v>5671</v>
      </c>
      <c r="B5677" s="97" t="s">
        <v>9417</v>
      </c>
      <c r="C5677" s="82" t="str">
        <f>VLOOKUP($B$7:$B$5000,SUM!$L$6:$L$500,1,FALSE)</f>
        <v>#VALUE!</v>
      </c>
      <c r="D5677" s="300" t="s">
        <v>9414</v>
      </c>
      <c r="E5677" s="189" t="s">
        <v>58</v>
      </c>
      <c r="F5677" s="199" t="s">
        <v>8479</v>
      </c>
      <c r="G5677" s="189" t="s">
        <v>9415</v>
      </c>
      <c r="H5677" s="199" t="s">
        <v>9418</v>
      </c>
      <c r="I5677" s="197" t="s">
        <v>8607</v>
      </c>
      <c r="J5677" s="148" t="s">
        <v>63</v>
      </c>
      <c r="K5677" s="148" t="s">
        <v>64</v>
      </c>
      <c r="L5677" s="148" t="s">
        <v>65</v>
      </c>
      <c r="M5677" s="148" t="s">
        <v>66</v>
      </c>
      <c r="N5677" s="285">
        <v>46250.0</v>
      </c>
      <c r="O5677" s="148" t="s">
        <v>9328</v>
      </c>
      <c r="P5677" s="148" t="s">
        <v>68</v>
      </c>
      <c r="Q5677" s="103"/>
      <c r="R5677" s="103"/>
      <c r="S5677" s="103"/>
      <c r="T5677" s="103"/>
      <c r="U5677" s="148" t="s">
        <v>28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1">
        <f t="shared" si="1"/>
        <v>5672</v>
      </c>
      <c r="B5678" s="97" t="s">
        <v>9419</v>
      </c>
      <c r="C5678" s="82" t="str">
        <f>VLOOKUP($B$7:$B$5000,SUM!$L$6:$L$500,1,FALSE)</f>
        <v>#VALUE!</v>
      </c>
      <c r="D5678" s="300" t="s">
        <v>9414</v>
      </c>
      <c r="E5678" s="189" t="s">
        <v>58</v>
      </c>
      <c r="F5678" s="199" t="s">
        <v>8479</v>
      </c>
      <c r="G5678" s="189" t="s">
        <v>9415</v>
      </c>
      <c r="H5678" s="199" t="s">
        <v>9420</v>
      </c>
      <c r="I5678" s="197" t="s">
        <v>8607</v>
      </c>
      <c r="J5678" s="148" t="s">
        <v>63</v>
      </c>
      <c r="K5678" s="148" t="s">
        <v>64</v>
      </c>
      <c r="L5678" s="148" t="s">
        <v>65</v>
      </c>
      <c r="M5678" s="148" t="s">
        <v>66</v>
      </c>
      <c r="N5678" s="285">
        <v>46250.0</v>
      </c>
      <c r="O5678" s="148" t="s">
        <v>9328</v>
      </c>
      <c r="P5678" s="148" t="s">
        <v>68</v>
      </c>
      <c r="Q5678" s="103"/>
      <c r="R5678" s="103"/>
      <c r="S5678" s="103"/>
      <c r="T5678" s="103"/>
      <c r="U5678" s="148" t="s">
        <v>28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1">
        <f t="shared" si="1"/>
        <v>5673</v>
      </c>
      <c r="B5679" s="97" t="s">
        <v>9421</v>
      </c>
      <c r="C5679" s="82" t="str">
        <f>VLOOKUP($B$7:$B$5000,SUM!$L$6:$L$500,1,FALSE)</f>
        <v>#VALUE!</v>
      </c>
      <c r="D5679" s="300" t="s">
        <v>9414</v>
      </c>
      <c r="E5679" s="189" t="s">
        <v>58</v>
      </c>
      <c r="F5679" s="199" t="s">
        <v>8479</v>
      </c>
      <c r="G5679" s="189" t="s">
        <v>9415</v>
      </c>
      <c r="H5679" s="199" t="s">
        <v>9422</v>
      </c>
      <c r="I5679" s="197" t="s">
        <v>8607</v>
      </c>
      <c r="J5679" s="148" t="s">
        <v>63</v>
      </c>
      <c r="K5679" s="148" t="s">
        <v>64</v>
      </c>
      <c r="L5679" s="148" t="s">
        <v>65</v>
      </c>
      <c r="M5679" s="148" t="s">
        <v>66</v>
      </c>
      <c r="N5679" s="285">
        <v>46250.0</v>
      </c>
      <c r="O5679" s="148" t="s">
        <v>9328</v>
      </c>
      <c r="P5679" s="148" t="s">
        <v>68</v>
      </c>
      <c r="Q5679" s="103"/>
      <c r="R5679" s="103"/>
      <c r="S5679" s="103"/>
      <c r="T5679" s="103"/>
      <c r="U5679" s="148" t="s">
        <v>28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1">
        <f t="shared" si="1"/>
        <v>5674</v>
      </c>
      <c r="B5680" s="97" t="s">
        <v>9423</v>
      </c>
      <c r="C5680" s="82" t="str">
        <f>VLOOKUP($B$7:$B$5000,SUM!$L$6:$L$500,1,FALSE)</f>
        <v>#VALUE!</v>
      </c>
      <c r="D5680" s="300" t="s">
        <v>9414</v>
      </c>
      <c r="E5680" s="189" t="s">
        <v>58</v>
      </c>
      <c r="F5680" s="199" t="s">
        <v>8479</v>
      </c>
      <c r="G5680" s="189" t="s">
        <v>9415</v>
      </c>
      <c r="H5680" s="199" t="s">
        <v>9424</v>
      </c>
      <c r="I5680" s="197" t="s">
        <v>8607</v>
      </c>
      <c r="J5680" s="148" t="s">
        <v>63</v>
      </c>
      <c r="K5680" s="148" t="s">
        <v>64</v>
      </c>
      <c r="L5680" s="148" t="s">
        <v>65</v>
      </c>
      <c r="M5680" s="148" t="s">
        <v>66</v>
      </c>
      <c r="N5680" s="285">
        <v>46250.0</v>
      </c>
      <c r="O5680" s="148" t="s">
        <v>9328</v>
      </c>
      <c r="P5680" s="148" t="s">
        <v>68</v>
      </c>
      <c r="Q5680" s="103"/>
      <c r="R5680" s="103"/>
      <c r="S5680" s="103"/>
      <c r="T5680" s="103"/>
      <c r="U5680" s="148" t="s">
        <v>28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1">
        <f t="shared" si="1"/>
        <v>5675</v>
      </c>
      <c r="B5681" s="97" t="s">
        <v>9425</v>
      </c>
      <c r="C5681" s="82" t="str">
        <f>VLOOKUP($B$7:$B$5000,SUM!$L$6:$L$500,1,FALSE)</f>
        <v>#VALUE!</v>
      </c>
      <c r="D5681" s="300" t="s">
        <v>9414</v>
      </c>
      <c r="E5681" s="189" t="s">
        <v>58</v>
      </c>
      <c r="F5681" s="199" t="s">
        <v>8479</v>
      </c>
      <c r="G5681" s="189" t="s">
        <v>9415</v>
      </c>
      <c r="H5681" s="199" t="s">
        <v>9426</v>
      </c>
      <c r="I5681" s="197" t="s">
        <v>8607</v>
      </c>
      <c r="J5681" s="148" t="s">
        <v>63</v>
      </c>
      <c r="K5681" s="148" t="s">
        <v>64</v>
      </c>
      <c r="L5681" s="148" t="s">
        <v>65</v>
      </c>
      <c r="M5681" s="148" t="s">
        <v>66</v>
      </c>
      <c r="N5681" s="285">
        <v>46250.0</v>
      </c>
      <c r="O5681" s="148" t="s">
        <v>9328</v>
      </c>
      <c r="P5681" s="148" t="s">
        <v>68</v>
      </c>
      <c r="Q5681" s="103"/>
      <c r="R5681" s="103"/>
      <c r="S5681" s="103"/>
      <c r="T5681" s="103"/>
      <c r="U5681" s="148" t="s">
        <v>28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1">
        <f t="shared" si="1"/>
        <v>5676</v>
      </c>
      <c r="B5682" s="97" t="s">
        <v>9427</v>
      </c>
      <c r="C5682" s="82" t="str">
        <f>VLOOKUP($B$7:$B$5000,SUM!$L$6:$L$500,1,FALSE)</f>
        <v>#VALUE!</v>
      </c>
      <c r="D5682" s="300" t="s">
        <v>9414</v>
      </c>
      <c r="E5682" s="189" t="s">
        <v>58</v>
      </c>
      <c r="F5682" s="199" t="s">
        <v>8479</v>
      </c>
      <c r="G5682" s="189" t="s">
        <v>9415</v>
      </c>
      <c r="H5682" s="199" t="s">
        <v>9428</v>
      </c>
      <c r="I5682" s="197" t="s">
        <v>8607</v>
      </c>
      <c r="J5682" s="148" t="s">
        <v>63</v>
      </c>
      <c r="K5682" s="148" t="s">
        <v>64</v>
      </c>
      <c r="L5682" s="148" t="s">
        <v>65</v>
      </c>
      <c r="M5682" s="148" t="s">
        <v>66</v>
      </c>
      <c r="N5682" s="285">
        <v>46250.0</v>
      </c>
      <c r="O5682" s="148" t="s">
        <v>9328</v>
      </c>
      <c r="P5682" s="148" t="s">
        <v>68</v>
      </c>
      <c r="Q5682" s="103"/>
      <c r="R5682" s="103"/>
      <c r="S5682" s="103"/>
      <c r="T5682" s="103"/>
      <c r="U5682" s="148" t="s">
        <v>28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1">
        <f t="shared" si="1"/>
        <v>5677</v>
      </c>
      <c r="B5683" s="97" t="s">
        <v>9429</v>
      </c>
      <c r="C5683" s="82" t="str">
        <f>VLOOKUP($B$7:$B$5000,SUM!$L$6:$L$500,1,FALSE)</f>
        <v>#VALUE!</v>
      </c>
      <c r="D5683" s="300" t="s">
        <v>9414</v>
      </c>
      <c r="E5683" s="189" t="s">
        <v>58</v>
      </c>
      <c r="F5683" s="199" t="s">
        <v>8479</v>
      </c>
      <c r="G5683" s="189" t="s">
        <v>9415</v>
      </c>
      <c r="H5683" s="199" t="s">
        <v>9430</v>
      </c>
      <c r="I5683" s="197" t="s">
        <v>8607</v>
      </c>
      <c r="J5683" s="148" t="s">
        <v>63</v>
      </c>
      <c r="K5683" s="148" t="s">
        <v>64</v>
      </c>
      <c r="L5683" s="148" t="s">
        <v>65</v>
      </c>
      <c r="M5683" s="148" t="s">
        <v>66</v>
      </c>
      <c r="N5683" s="285">
        <v>46250.0</v>
      </c>
      <c r="O5683" s="148" t="s">
        <v>9328</v>
      </c>
      <c r="P5683" s="148" t="s">
        <v>68</v>
      </c>
      <c r="Q5683" s="103"/>
      <c r="R5683" s="103"/>
      <c r="S5683" s="103"/>
      <c r="T5683" s="103"/>
      <c r="U5683" s="148" t="s">
        <v>28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1">
        <f t="shared" si="1"/>
        <v>5678</v>
      </c>
      <c r="B5684" s="97" t="s">
        <v>9431</v>
      </c>
      <c r="C5684" s="82" t="str">
        <f>VLOOKUP($B$7:$B$5000,SUM!$L$6:$L$500,1,FALSE)</f>
        <v>#VALUE!</v>
      </c>
      <c r="D5684" s="300" t="s">
        <v>9414</v>
      </c>
      <c r="E5684" s="189" t="s">
        <v>58</v>
      </c>
      <c r="F5684" s="199" t="s">
        <v>8479</v>
      </c>
      <c r="G5684" s="189" t="s">
        <v>9415</v>
      </c>
      <c r="H5684" s="199" t="s">
        <v>9432</v>
      </c>
      <c r="I5684" s="197" t="s">
        <v>8607</v>
      </c>
      <c r="J5684" s="148" t="s">
        <v>63</v>
      </c>
      <c r="K5684" s="148" t="s">
        <v>64</v>
      </c>
      <c r="L5684" s="148" t="s">
        <v>65</v>
      </c>
      <c r="M5684" s="148" t="s">
        <v>66</v>
      </c>
      <c r="N5684" s="285">
        <v>46250.0</v>
      </c>
      <c r="O5684" s="148" t="s">
        <v>9328</v>
      </c>
      <c r="P5684" s="148" t="s">
        <v>68</v>
      </c>
      <c r="Q5684" s="103"/>
      <c r="R5684" s="103"/>
      <c r="S5684" s="103"/>
      <c r="T5684" s="103"/>
      <c r="U5684" s="148" t="s">
        <v>28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1">
        <f t="shared" si="1"/>
        <v>5679</v>
      </c>
      <c r="B5685" s="97" t="s">
        <v>9433</v>
      </c>
      <c r="C5685" s="82" t="str">
        <f>VLOOKUP($B$7:$B$5000,SUM!$L$6:$L$500,1,FALSE)</f>
        <v>#VALUE!</v>
      </c>
      <c r="D5685" s="300" t="s">
        <v>9414</v>
      </c>
      <c r="E5685" s="189" t="s">
        <v>58</v>
      </c>
      <c r="F5685" s="199" t="s">
        <v>8479</v>
      </c>
      <c r="G5685" s="189" t="s">
        <v>9415</v>
      </c>
      <c r="H5685" s="199" t="s">
        <v>9434</v>
      </c>
      <c r="I5685" s="197" t="s">
        <v>8607</v>
      </c>
      <c r="J5685" s="148" t="s">
        <v>63</v>
      </c>
      <c r="K5685" s="148" t="s">
        <v>64</v>
      </c>
      <c r="L5685" s="148" t="s">
        <v>65</v>
      </c>
      <c r="M5685" s="148" t="s">
        <v>66</v>
      </c>
      <c r="N5685" s="285">
        <v>46250.0</v>
      </c>
      <c r="O5685" s="148" t="s">
        <v>9328</v>
      </c>
      <c r="P5685" s="148" t="s">
        <v>68</v>
      </c>
      <c r="Q5685" s="103"/>
      <c r="R5685" s="103"/>
      <c r="S5685" s="103"/>
      <c r="T5685" s="103"/>
      <c r="U5685" s="148" t="s">
        <v>28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1">
        <f t="shared" si="1"/>
        <v>5680</v>
      </c>
      <c r="B5686" s="97" t="s">
        <v>9435</v>
      </c>
      <c r="C5686" s="82" t="str">
        <f>VLOOKUP($B$7:$B$5000,SUM!$L$6:$L$500,1,FALSE)</f>
        <v>#VALUE!</v>
      </c>
      <c r="D5686" s="300" t="s">
        <v>9414</v>
      </c>
      <c r="E5686" s="189" t="s">
        <v>58</v>
      </c>
      <c r="F5686" s="199" t="s">
        <v>8479</v>
      </c>
      <c r="G5686" s="189" t="s">
        <v>9415</v>
      </c>
      <c r="H5686" s="199" t="s">
        <v>9436</v>
      </c>
      <c r="I5686" s="197" t="s">
        <v>8607</v>
      </c>
      <c r="J5686" s="148" t="s">
        <v>63</v>
      </c>
      <c r="K5686" s="148" t="s">
        <v>64</v>
      </c>
      <c r="L5686" s="148" t="s">
        <v>65</v>
      </c>
      <c r="M5686" s="148" t="s">
        <v>66</v>
      </c>
      <c r="N5686" s="285">
        <v>46250.0</v>
      </c>
      <c r="O5686" s="148" t="s">
        <v>9328</v>
      </c>
      <c r="P5686" s="148" t="s">
        <v>68</v>
      </c>
      <c r="Q5686" s="103"/>
      <c r="R5686" s="103"/>
      <c r="S5686" s="103"/>
      <c r="T5686" s="103"/>
      <c r="U5686" s="148" t="s">
        <v>28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1">
        <f t="shared" si="1"/>
        <v>5681</v>
      </c>
      <c r="B5687" s="97" t="s">
        <v>9437</v>
      </c>
      <c r="C5687" s="82" t="str">
        <f>VLOOKUP($B$7:$B$5000,SUM!$L$6:$L$500,1,FALSE)</f>
        <v>#VALUE!</v>
      </c>
      <c r="D5687" s="300" t="s">
        <v>9414</v>
      </c>
      <c r="E5687" s="189" t="s">
        <v>58</v>
      </c>
      <c r="F5687" s="199" t="s">
        <v>8479</v>
      </c>
      <c r="G5687" s="189" t="s">
        <v>9415</v>
      </c>
      <c r="H5687" s="199" t="s">
        <v>9438</v>
      </c>
      <c r="I5687" s="197" t="s">
        <v>8607</v>
      </c>
      <c r="J5687" s="148" t="s">
        <v>63</v>
      </c>
      <c r="K5687" s="148" t="s">
        <v>64</v>
      </c>
      <c r="L5687" s="148" t="s">
        <v>65</v>
      </c>
      <c r="M5687" s="148" t="s">
        <v>66</v>
      </c>
      <c r="N5687" s="285">
        <v>46250.0</v>
      </c>
      <c r="O5687" s="148" t="s">
        <v>9328</v>
      </c>
      <c r="P5687" s="148" t="s">
        <v>68</v>
      </c>
      <c r="Q5687" s="103"/>
      <c r="R5687" s="103"/>
      <c r="S5687" s="103"/>
      <c r="T5687" s="103"/>
      <c r="U5687" s="148" t="s">
        <v>28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1">
        <f t="shared" si="1"/>
        <v>5682</v>
      </c>
      <c r="B5688" s="97" t="s">
        <v>9439</v>
      </c>
      <c r="C5688" s="82" t="str">
        <f>VLOOKUP($B$7:$B$5000,SUM!$L$6:$L$500,1,FALSE)</f>
        <v>#VALUE!</v>
      </c>
      <c r="D5688" s="300" t="s">
        <v>9414</v>
      </c>
      <c r="E5688" s="189" t="s">
        <v>58</v>
      </c>
      <c r="F5688" s="199" t="s">
        <v>8479</v>
      </c>
      <c r="G5688" s="189" t="s">
        <v>9415</v>
      </c>
      <c r="H5688" s="199" t="s">
        <v>9440</v>
      </c>
      <c r="I5688" s="197" t="s">
        <v>8607</v>
      </c>
      <c r="J5688" s="148" t="s">
        <v>63</v>
      </c>
      <c r="K5688" s="148" t="s">
        <v>64</v>
      </c>
      <c r="L5688" s="148" t="s">
        <v>65</v>
      </c>
      <c r="M5688" s="148" t="s">
        <v>66</v>
      </c>
      <c r="N5688" s="285">
        <v>46250.0</v>
      </c>
      <c r="O5688" s="148" t="s">
        <v>9328</v>
      </c>
      <c r="P5688" s="148" t="s">
        <v>68</v>
      </c>
      <c r="Q5688" s="103"/>
      <c r="R5688" s="103"/>
      <c r="S5688" s="103"/>
      <c r="T5688" s="103"/>
      <c r="U5688" s="148" t="s">
        <v>28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1">
        <f t="shared" si="1"/>
        <v>5683</v>
      </c>
      <c r="B5689" s="97" t="s">
        <v>9441</v>
      </c>
      <c r="C5689" s="82" t="str">
        <f>VLOOKUP($B$7:$B$5000,SUM!$L$6:$L$500,1,FALSE)</f>
        <v>#VALUE!</v>
      </c>
      <c r="D5689" s="300" t="s">
        <v>9414</v>
      </c>
      <c r="E5689" s="189" t="s">
        <v>58</v>
      </c>
      <c r="F5689" s="199" t="s">
        <v>8479</v>
      </c>
      <c r="G5689" s="189" t="s">
        <v>9415</v>
      </c>
      <c r="H5689" s="199" t="s">
        <v>9442</v>
      </c>
      <c r="I5689" s="197" t="s">
        <v>8607</v>
      </c>
      <c r="J5689" s="148" t="s">
        <v>63</v>
      </c>
      <c r="K5689" s="148" t="s">
        <v>64</v>
      </c>
      <c r="L5689" s="148" t="s">
        <v>65</v>
      </c>
      <c r="M5689" s="148" t="s">
        <v>66</v>
      </c>
      <c r="N5689" s="285">
        <v>46250.0</v>
      </c>
      <c r="O5689" s="148" t="s">
        <v>9328</v>
      </c>
      <c r="P5689" s="148" t="s">
        <v>68</v>
      </c>
      <c r="Q5689" s="103"/>
      <c r="R5689" s="103"/>
      <c r="S5689" s="103"/>
      <c r="T5689" s="103"/>
      <c r="U5689" s="148" t="s">
        <v>28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1">
        <f t="shared" si="1"/>
        <v>5684</v>
      </c>
      <c r="B5690" s="97" t="s">
        <v>9443</v>
      </c>
      <c r="C5690" s="82" t="str">
        <f>VLOOKUP($B$7:$B$5000,SUM!$L$6:$L$500,1,FALSE)</f>
        <v>#VALUE!</v>
      </c>
      <c r="D5690" s="300" t="s">
        <v>9414</v>
      </c>
      <c r="E5690" s="189" t="s">
        <v>58</v>
      </c>
      <c r="F5690" s="199" t="s">
        <v>8479</v>
      </c>
      <c r="G5690" s="189" t="s">
        <v>9415</v>
      </c>
      <c r="H5690" s="199" t="s">
        <v>9444</v>
      </c>
      <c r="I5690" s="197" t="s">
        <v>8607</v>
      </c>
      <c r="J5690" s="148" t="s">
        <v>63</v>
      </c>
      <c r="K5690" s="148" t="s">
        <v>64</v>
      </c>
      <c r="L5690" s="148" t="s">
        <v>65</v>
      </c>
      <c r="M5690" s="148" t="s">
        <v>66</v>
      </c>
      <c r="N5690" s="285">
        <v>46250.0</v>
      </c>
      <c r="O5690" s="148" t="s">
        <v>9328</v>
      </c>
      <c r="P5690" s="148" t="s">
        <v>68</v>
      </c>
      <c r="Q5690" s="103"/>
      <c r="R5690" s="103"/>
      <c r="S5690" s="103"/>
      <c r="T5690" s="103"/>
      <c r="U5690" s="148" t="s">
        <v>28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1">
        <f t="shared" si="1"/>
        <v>5685</v>
      </c>
      <c r="B5691" s="97" t="s">
        <v>9445</v>
      </c>
      <c r="C5691" s="82" t="str">
        <f>VLOOKUP($B$7:$B$5000,SUM!$L$6:$L$500,1,FALSE)</f>
        <v>#VALUE!</v>
      </c>
      <c r="D5691" s="300" t="s">
        <v>9414</v>
      </c>
      <c r="E5691" s="189" t="s">
        <v>58</v>
      </c>
      <c r="F5691" s="199" t="s">
        <v>8479</v>
      </c>
      <c r="G5691" s="189" t="s">
        <v>9415</v>
      </c>
      <c r="H5691" s="199" t="s">
        <v>9446</v>
      </c>
      <c r="I5691" s="197" t="s">
        <v>8607</v>
      </c>
      <c r="J5691" s="148" t="s">
        <v>63</v>
      </c>
      <c r="K5691" s="148" t="s">
        <v>64</v>
      </c>
      <c r="L5691" s="148" t="s">
        <v>65</v>
      </c>
      <c r="M5691" s="148" t="s">
        <v>66</v>
      </c>
      <c r="N5691" s="285">
        <v>46250.0</v>
      </c>
      <c r="O5691" s="148" t="s">
        <v>9328</v>
      </c>
      <c r="P5691" s="148" t="s">
        <v>68</v>
      </c>
      <c r="Q5691" s="103"/>
      <c r="R5691" s="103"/>
      <c r="S5691" s="103"/>
      <c r="T5691" s="103"/>
      <c r="U5691" s="148" t="s">
        <v>28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1">
        <f t="shared" si="1"/>
        <v>5686</v>
      </c>
      <c r="B5692" s="97" t="s">
        <v>9447</v>
      </c>
      <c r="C5692" s="82" t="str">
        <f>VLOOKUP($B$7:$B$5000,SUM!$L$6:$L$500,1,FALSE)</f>
        <v>#VALUE!</v>
      </c>
      <c r="D5692" s="300" t="s">
        <v>9448</v>
      </c>
      <c r="E5692" s="189" t="s">
        <v>58</v>
      </c>
      <c r="F5692" s="148" t="s">
        <v>9449</v>
      </c>
      <c r="G5692" s="189" t="s">
        <v>9450</v>
      </c>
      <c r="H5692" s="148" t="s">
        <v>9451</v>
      </c>
      <c r="I5692" s="270" t="s">
        <v>9315</v>
      </c>
      <c r="J5692" s="148" t="s">
        <v>63</v>
      </c>
      <c r="K5692" s="148" t="s">
        <v>9083</v>
      </c>
      <c r="L5692" s="148" t="s">
        <v>65</v>
      </c>
      <c r="M5692" s="148" t="s">
        <v>66</v>
      </c>
      <c r="N5692" s="285">
        <v>46251.0</v>
      </c>
      <c r="O5692" s="148" t="s">
        <v>9328</v>
      </c>
      <c r="P5692" s="148" t="s">
        <v>68</v>
      </c>
      <c r="Q5692" s="103"/>
      <c r="R5692" s="103"/>
      <c r="S5692" s="103"/>
      <c r="T5692" s="103"/>
      <c r="U5692" s="148" t="s">
        <v>28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1">
        <f t="shared" si="1"/>
        <v>5687</v>
      </c>
      <c r="B5693" s="97" t="s">
        <v>9452</v>
      </c>
      <c r="C5693" s="82" t="str">
        <f>VLOOKUP($B$7:$B$5000,SUM!$L$6:$L$500,1,FALSE)</f>
        <v>#VALUE!</v>
      </c>
      <c r="D5693" s="300" t="s">
        <v>9453</v>
      </c>
      <c r="E5693" s="189" t="s">
        <v>58</v>
      </c>
      <c r="F5693" s="148" t="s">
        <v>9449</v>
      </c>
      <c r="G5693" s="189" t="s">
        <v>9450</v>
      </c>
      <c r="H5693" s="148" t="s">
        <v>9454</v>
      </c>
      <c r="I5693" s="270" t="s">
        <v>9315</v>
      </c>
      <c r="J5693" s="148" t="s">
        <v>63</v>
      </c>
      <c r="K5693" s="148" t="s">
        <v>9083</v>
      </c>
      <c r="L5693" s="148" t="s">
        <v>65</v>
      </c>
      <c r="M5693" s="148" t="s">
        <v>66</v>
      </c>
      <c r="N5693" s="285">
        <v>46251.0</v>
      </c>
      <c r="O5693" s="148" t="s">
        <v>9328</v>
      </c>
      <c r="P5693" s="148" t="s">
        <v>68</v>
      </c>
      <c r="Q5693" s="103"/>
      <c r="R5693" s="103"/>
      <c r="S5693" s="103"/>
      <c r="T5693" s="103"/>
      <c r="U5693" s="148" t="s">
        <v>28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1">
        <f t="shared" si="1"/>
        <v>5688</v>
      </c>
      <c r="B5694" s="97" t="s">
        <v>9455</v>
      </c>
      <c r="C5694" s="82" t="str">
        <f>VLOOKUP($B$7:$B$5000,SUM!$L$6:$L$500,1,FALSE)</f>
        <v>#VALUE!</v>
      </c>
      <c r="D5694" s="300" t="s">
        <v>9456</v>
      </c>
      <c r="E5694" s="189" t="s">
        <v>58</v>
      </c>
      <c r="F5694" s="148" t="s">
        <v>9269</v>
      </c>
      <c r="G5694" s="191" t="s">
        <v>8838</v>
      </c>
      <c r="H5694" s="199" t="s">
        <v>851</v>
      </c>
      <c r="I5694" s="270" t="s">
        <v>9283</v>
      </c>
      <c r="J5694" s="148" t="s">
        <v>63</v>
      </c>
      <c r="K5694" s="148" t="s">
        <v>9083</v>
      </c>
      <c r="L5694" s="148" t="s">
        <v>65</v>
      </c>
      <c r="M5694" s="148" t="s">
        <v>66</v>
      </c>
      <c r="N5694" s="285">
        <v>46251.0</v>
      </c>
      <c r="O5694" s="148" t="s">
        <v>9328</v>
      </c>
      <c r="P5694" s="148" t="s">
        <v>68</v>
      </c>
      <c r="Q5694" s="103"/>
      <c r="R5694" s="103"/>
      <c r="S5694" s="103"/>
      <c r="T5694" s="103"/>
      <c r="U5694" s="148" t="s">
        <v>28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1">
        <f t="shared" si="1"/>
        <v>5689</v>
      </c>
      <c r="B5695" s="97" t="s">
        <v>9457</v>
      </c>
      <c r="C5695" s="82" t="str">
        <f>VLOOKUP($B$7:$B$5000,SUM!$L$6:$L$500,1,FALSE)</f>
        <v>#VALUE!</v>
      </c>
      <c r="D5695" s="300" t="s">
        <v>9458</v>
      </c>
      <c r="E5695" s="189" t="s">
        <v>58</v>
      </c>
      <c r="F5695" s="148" t="s">
        <v>9269</v>
      </c>
      <c r="G5695" s="191" t="s">
        <v>8838</v>
      </c>
      <c r="H5695" s="199" t="s">
        <v>853</v>
      </c>
      <c r="I5695" s="270" t="s">
        <v>9283</v>
      </c>
      <c r="J5695" s="148" t="s">
        <v>63</v>
      </c>
      <c r="K5695" s="148" t="s">
        <v>9083</v>
      </c>
      <c r="L5695" s="148" t="s">
        <v>65</v>
      </c>
      <c r="M5695" s="148" t="s">
        <v>66</v>
      </c>
      <c r="N5695" s="285">
        <v>46251.0</v>
      </c>
      <c r="O5695" s="148" t="s">
        <v>9328</v>
      </c>
      <c r="P5695" s="148" t="s">
        <v>68</v>
      </c>
      <c r="Q5695" s="103"/>
      <c r="R5695" s="103"/>
      <c r="S5695" s="103"/>
      <c r="T5695" s="103"/>
      <c r="U5695" s="148" t="s">
        <v>28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1">
        <f t="shared" si="1"/>
        <v>5690</v>
      </c>
      <c r="B5696" s="97" t="s">
        <v>9459</v>
      </c>
      <c r="C5696" s="82" t="str">
        <f>VLOOKUP($B$7:$B$5000,SUM!$L$6:$L$500,1,FALSE)</f>
        <v>#VALUE!</v>
      </c>
      <c r="D5696" s="300" t="s">
        <v>9456</v>
      </c>
      <c r="E5696" s="189" t="s">
        <v>58</v>
      </c>
      <c r="F5696" s="148" t="s">
        <v>9269</v>
      </c>
      <c r="G5696" s="191" t="s">
        <v>8838</v>
      </c>
      <c r="H5696" s="199" t="s">
        <v>855</v>
      </c>
      <c r="I5696" s="270" t="s">
        <v>9283</v>
      </c>
      <c r="J5696" s="148" t="s">
        <v>63</v>
      </c>
      <c r="K5696" s="148" t="s">
        <v>9083</v>
      </c>
      <c r="L5696" s="148" t="s">
        <v>65</v>
      </c>
      <c r="M5696" s="148" t="s">
        <v>66</v>
      </c>
      <c r="N5696" s="285">
        <v>46251.0</v>
      </c>
      <c r="O5696" s="148" t="s">
        <v>9328</v>
      </c>
      <c r="P5696" s="148" t="s">
        <v>68</v>
      </c>
      <c r="Q5696" s="103"/>
      <c r="R5696" s="103"/>
      <c r="S5696" s="103"/>
      <c r="T5696" s="103"/>
      <c r="U5696" s="148" t="s">
        <v>28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1">
        <f t="shared" si="1"/>
        <v>5691</v>
      </c>
      <c r="B5697" s="97" t="s">
        <v>9460</v>
      </c>
      <c r="C5697" s="82" t="str">
        <f>VLOOKUP($B$7:$B$5000,SUM!$L$6:$L$500,1,FALSE)</f>
        <v>#VALUE!</v>
      </c>
      <c r="D5697" s="300" t="s">
        <v>9456</v>
      </c>
      <c r="E5697" s="189" t="s">
        <v>58</v>
      </c>
      <c r="F5697" s="148" t="s">
        <v>9269</v>
      </c>
      <c r="G5697" s="191" t="s">
        <v>8838</v>
      </c>
      <c r="H5697" s="199" t="s">
        <v>857</v>
      </c>
      <c r="I5697" s="270" t="s">
        <v>9283</v>
      </c>
      <c r="J5697" s="148" t="s">
        <v>63</v>
      </c>
      <c r="K5697" s="148" t="s">
        <v>9083</v>
      </c>
      <c r="L5697" s="148" t="s">
        <v>65</v>
      </c>
      <c r="M5697" s="148" t="s">
        <v>66</v>
      </c>
      <c r="N5697" s="285">
        <v>46251.0</v>
      </c>
      <c r="O5697" s="148" t="s">
        <v>9328</v>
      </c>
      <c r="P5697" s="148" t="s">
        <v>68</v>
      </c>
      <c r="Q5697" s="103"/>
      <c r="R5697" s="103"/>
      <c r="S5697" s="103"/>
      <c r="T5697" s="103"/>
      <c r="U5697" s="148" t="s">
        <v>28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1">
        <f t="shared" si="1"/>
        <v>5692</v>
      </c>
      <c r="B5698" s="97" t="s">
        <v>9461</v>
      </c>
      <c r="C5698" s="82" t="str">
        <f>VLOOKUP($B$7:$B$5000,SUM!$L$6:$L$500,1,FALSE)</f>
        <v>#VALUE!</v>
      </c>
      <c r="D5698" s="300" t="s">
        <v>9456</v>
      </c>
      <c r="E5698" s="189" t="s">
        <v>58</v>
      </c>
      <c r="F5698" s="148" t="s">
        <v>9269</v>
      </c>
      <c r="G5698" s="191" t="s">
        <v>8838</v>
      </c>
      <c r="H5698" s="199" t="s">
        <v>7489</v>
      </c>
      <c r="I5698" s="270" t="s">
        <v>9283</v>
      </c>
      <c r="J5698" s="148" t="s">
        <v>63</v>
      </c>
      <c r="K5698" s="148" t="s">
        <v>9083</v>
      </c>
      <c r="L5698" s="148" t="s">
        <v>65</v>
      </c>
      <c r="M5698" s="148" t="s">
        <v>66</v>
      </c>
      <c r="N5698" s="285">
        <v>46251.0</v>
      </c>
      <c r="O5698" s="148" t="s">
        <v>9328</v>
      </c>
      <c r="P5698" s="148" t="s">
        <v>68</v>
      </c>
      <c r="Q5698" s="103"/>
      <c r="R5698" s="103"/>
      <c r="S5698" s="103"/>
      <c r="T5698" s="103"/>
      <c r="U5698" s="148" t="s">
        <v>28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1">
        <f t="shared" si="1"/>
        <v>5693</v>
      </c>
      <c r="B5699" s="97" t="s">
        <v>9462</v>
      </c>
      <c r="C5699" s="82" t="str">
        <f>VLOOKUP($B$7:$B$5000,SUM!$L$6:$L$500,1,FALSE)</f>
        <v>#VALUE!</v>
      </c>
      <c r="D5699" s="300" t="s">
        <v>9458</v>
      </c>
      <c r="E5699" s="189" t="s">
        <v>58</v>
      </c>
      <c r="F5699" s="148" t="s">
        <v>9269</v>
      </c>
      <c r="G5699" s="191" t="s">
        <v>8838</v>
      </c>
      <c r="H5699" s="148" t="s">
        <v>9463</v>
      </c>
      <c r="I5699" s="270" t="s">
        <v>9464</v>
      </c>
      <c r="J5699" s="148" t="s">
        <v>63</v>
      </c>
      <c r="K5699" s="148" t="s">
        <v>9083</v>
      </c>
      <c r="L5699" s="148" t="s">
        <v>65</v>
      </c>
      <c r="M5699" s="148" t="s">
        <v>66</v>
      </c>
      <c r="N5699" s="285">
        <v>46251.0</v>
      </c>
      <c r="O5699" s="148" t="s">
        <v>9328</v>
      </c>
      <c r="P5699" s="148" t="s">
        <v>68</v>
      </c>
      <c r="Q5699" s="103"/>
      <c r="R5699" s="103"/>
      <c r="S5699" s="103"/>
      <c r="T5699" s="103"/>
      <c r="U5699" s="148" t="s">
        <v>28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1">
        <f t="shared" si="1"/>
        <v>5694</v>
      </c>
      <c r="B5700" s="97" t="s">
        <v>9465</v>
      </c>
      <c r="C5700" s="82" t="str">
        <f>VLOOKUP($B$7:$B$5000,SUM!$L$6:$L$500,1,FALSE)</f>
        <v>#VALUE!</v>
      </c>
      <c r="D5700" s="148" t="s">
        <v>9458</v>
      </c>
      <c r="E5700" s="189" t="s">
        <v>58</v>
      </c>
      <c r="F5700" s="148" t="s">
        <v>9269</v>
      </c>
      <c r="G5700" s="191" t="s">
        <v>8838</v>
      </c>
      <c r="H5700" s="148" t="s">
        <v>9463</v>
      </c>
      <c r="I5700" s="270" t="s">
        <v>9466</v>
      </c>
      <c r="J5700" s="148" t="s">
        <v>63</v>
      </c>
      <c r="K5700" s="148" t="s">
        <v>9083</v>
      </c>
      <c r="L5700" s="148" t="s">
        <v>65</v>
      </c>
      <c r="M5700" s="148" t="s">
        <v>66</v>
      </c>
      <c r="N5700" s="285">
        <v>46251.0</v>
      </c>
      <c r="O5700" s="148" t="s">
        <v>9328</v>
      </c>
      <c r="P5700" s="148" t="s">
        <v>68</v>
      </c>
      <c r="Q5700" s="103"/>
      <c r="R5700" s="103"/>
      <c r="S5700" s="103"/>
      <c r="T5700" s="103"/>
      <c r="U5700" s="148" t="s">
        <v>28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1">
        <f t="shared" si="1"/>
        <v>5695</v>
      </c>
      <c r="B5701" s="97" t="s">
        <v>9467</v>
      </c>
      <c r="C5701" s="82" t="str">
        <f>VLOOKUP($B$7:$B$5000,SUM!$L$6:$L$500,1,FALSE)</f>
        <v>#VALUE!</v>
      </c>
      <c r="D5701" s="148" t="s">
        <v>9468</v>
      </c>
      <c r="E5701" s="189" t="s">
        <v>58</v>
      </c>
      <c r="F5701" s="148" t="s">
        <v>9449</v>
      </c>
      <c r="G5701" s="191" t="s">
        <v>8838</v>
      </c>
      <c r="H5701" s="148" t="s">
        <v>9451</v>
      </c>
      <c r="I5701" s="270" t="s">
        <v>9315</v>
      </c>
      <c r="J5701" s="148" t="s">
        <v>63</v>
      </c>
      <c r="K5701" s="148" t="s">
        <v>9083</v>
      </c>
      <c r="L5701" s="148" t="s">
        <v>65</v>
      </c>
      <c r="M5701" s="148" t="s">
        <v>66</v>
      </c>
      <c r="N5701" s="285">
        <v>46252.0</v>
      </c>
      <c r="O5701" s="148" t="s">
        <v>9328</v>
      </c>
      <c r="P5701" s="148" t="s">
        <v>68</v>
      </c>
      <c r="Q5701" s="103"/>
      <c r="R5701" s="103"/>
      <c r="S5701" s="103"/>
      <c r="T5701" s="103"/>
      <c r="U5701" s="148" t="s">
        <v>28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1">
        <f t="shared" si="1"/>
        <v>5696</v>
      </c>
      <c r="B5702" s="97" t="s">
        <v>9469</v>
      </c>
      <c r="C5702" s="82" t="str">
        <f>VLOOKUP($B$7:$B$5000,SUM!$L$6:$L$500,1,FALSE)</f>
        <v>#VALUE!</v>
      </c>
      <c r="D5702" s="148" t="s">
        <v>9468</v>
      </c>
      <c r="E5702" s="189" t="s">
        <v>58</v>
      </c>
      <c r="F5702" s="148" t="s">
        <v>9449</v>
      </c>
      <c r="G5702" s="191" t="s">
        <v>8838</v>
      </c>
      <c r="H5702" s="148" t="s">
        <v>9454</v>
      </c>
      <c r="I5702" s="270" t="s">
        <v>9315</v>
      </c>
      <c r="J5702" s="148" t="s">
        <v>63</v>
      </c>
      <c r="K5702" s="148" t="s">
        <v>9083</v>
      </c>
      <c r="L5702" s="148" t="s">
        <v>65</v>
      </c>
      <c r="M5702" s="148" t="s">
        <v>66</v>
      </c>
      <c r="N5702" s="285">
        <v>46252.0</v>
      </c>
      <c r="O5702" s="148" t="s">
        <v>9328</v>
      </c>
      <c r="P5702" s="148" t="s">
        <v>68</v>
      </c>
      <c r="Q5702" s="103"/>
      <c r="R5702" s="103"/>
      <c r="S5702" s="103"/>
      <c r="T5702" s="103"/>
      <c r="U5702" s="148" t="s">
        <v>28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1">
        <f t="shared" si="1"/>
        <v>5697</v>
      </c>
      <c r="B5703" s="97" t="s">
        <v>9470</v>
      </c>
      <c r="C5703" s="82" t="str">
        <f>VLOOKUP($B$7:$B$5000,SUM!$L$6:$L$500,1,FALSE)</f>
        <v>#VALUE!</v>
      </c>
      <c r="D5703" s="148" t="s">
        <v>9468</v>
      </c>
      <c r="E5703" s="189" t="s">
        <v>58</v>
      </c>
      <c r="F5703" s="148" t="s">
        <v>9449</v>
      </c>
      <c r="G5703" s="191" t="s">
        <v>8838</v>
      </c>
      <c r="H5703" s="148" t="s">
        <v>9451</v>
      </c>
      <c r="I5703" s="270" t="s">
        <v>9283</v>
      </c>
      <c r="J5703" s="148" t="s">
        <v>63</v>
      </c>
      <c r="K5703" s="148" t="s">
        <v>9083</v>
      </c>
      <c r="L5703" s="148" t="s">
        <v>65</v>
      </c>
      <c r="M5703" s="148" t="s">
        <v>66</v>
      </c>
      <c r="N5703" s="285">
        <v>46252.0</v>
      </c>
      <c r="O5703" s="148" t="s">
        <v>9328</v>
      </c>
      <c r="P5703" s="148" t="s">
        <v>68</v>
      </c>
      <c r="Q5703" s="103"/>
      <c r="R5703" s="103"/>
      <c r="S5703" s="103"/>
      <c r="T5703" s="103"/>
      <c r="U5703" s="148" t="s">
        <v>28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1">
        <f t="shared" si="1"/>
        <v>5698</v>
      </c>
      <c r="B5704" s="97" t="s">
        <v>9471</v>
      </c>
      <c r="C5704" s="82" t="str">
        <f>VLOOKUP($B$7:$B$5000,SUM!$L$6:$L$500,1,FALSE)</f>
        <v>#VALUE!</v>
      </c>
      <c r="D5704" s="148" t="s">
        <v>9468</v>
      </c>
      <c r="E5704" s="189" t="s">
        <v>58</v>
      </c>
      <c r="F5704" s="148" t="s">
        <v>9449</v>
      </c>
      <c r="G5704" s="191" t="s">
        <v>8838</v>
      </c>
      <c r="H5704" s="148" t="s">
        <v>9454</v>
      </c>
      <c r="I5704" s="270" t="s">
        <v>9283</v>
      </c>
      <c r="J5704" s="148" t="s">
        <v>63</v>
      </c>
      <c r="K5704" s="148" t="s">
        <v>9083</v>
      </c>
      <c r="L5704" s="148" t="s">
        <v>65</v>
      </c>
      <c r="M5704" s="148" t="s">
        <v>66</v>
      </c>
      <c r="N5704" s="285">
        <v>46252.0</v>
      </c>
      <c r="O5704" s="148" t="s">
        <v>9328</v>
      </c>
      <c r="P5704" s="148" t="s">
        <v>68</v>
      </c>
      <c r="Q5704" s="103"/>
      <c r="R5704" s="103"/>
      <c r="S5704" s="103"/>
      <c r="T5704" s="103"/>
      <c r="U5704" s="148" t="s">
        <v>28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1">
        <f t="shared" si="1"/>
        <v>5699</v>
      </c>
      <c r="B5705" s="97" t="s">
        <v>9472</v>
      </c>
      <c r="C5705" s="82" t="str">
        <f>VLOOKUP($B$7:$B$5000,SUM!$L$6:$L$500,1,FALSE)</f>
        <v>#VALUE!</v>
      </c>
      <c r="D5705" s="148" t="s">
        <v>9473</v>
      </c>
      <c r="E5705" s="189" t="s">
        <v>58</v>
      </c>
      <c r="F5705" s="148" t="s">
        <v>9269</v>
      </c>
      <c r="G5705" s="189" t="s">
        <v>9474</v>
      </c>
      <c r="H5705" s="199" t="s">
        <v>9475</v>
      </c>
      <c r="I5705" s="270" t="s">
        <v>9283</v>
      </c>
      <c r="J5705" s="148" t="s">
        <v>63</v>
      </c>
      <c r="K5705" s="148" t="s">
        <v>9083</v>
      </c>
      <c r="L5705" s="148" t="s">
        <v>65</v>
      </c>
      <c r="M5705" s="148" t="s">
        <v>66</v>
      </c>
      <c r="N5705" s="285">
        <v>46252.0</v>
      </c>
      <c r="O5705" s="148" t="s">
        <v>9328</v>
      </c>
      <c r="P5705" s="148" t="s">
        <v>68</v>
      </c>
      <c r="Q5705" s="103"/>
      <c r="R5705" s="103"/>
      <c r="S5705" s="103"/>
      <c r="T5705" s="103"/>
      <c r="U5705" s="148" t="s">
        <v>28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1">
        <f t="shared" si="1"/>
        <v>5700</v>
      </c>
      <c r="B5706" s="97" t="s">
        <v>9476</v>
      </c>
      <c r="C5706" s="82" t="str">
        <f>VLOOKUP($B$7:$B$5000,SUM!$L$6:$L$500,1,FALSE)</f>
        <v>#VALUE!</v>
      </c>
      <c r="D5706" s="148" t="s">
        <v>9473</v>
      </c>
      <c r="E5706" s="189" t="s">
        <v>58</v>
      </c>
      <c r="F5706" s="148" t="s">
        <v>9269</v>
      </c>
      <c r="G5706" s="189" t="s">
        <v>9474</v>
      </c>
      <c r="H5706" s="199" t="s">
        <v>9477</v>
      </c>
      <c r="I5706" s="270" t="s">
        <v>9283</v>
      </c>
      <c r="J5706" s="148" t="s">
        <v>63</v>
      </c>
      <c r="K5706" s="148" t="s">
        <v>9083</v>
      </c>
      <c r="L5706" s="148" t="s">
        <v>65</v>
      </c>
      <c r="M5706" s="148" t="s">
        <v>66</v>
      </c>
      <c r="N5706" s="285">
        <v>46252.0</v>
      </c>
      <c r="O5706" s="148" t="s">
        <v>9328</v>
      </c>
      <c r="P5706" s="148" t="s">
        <v>68</v>
      </c>
      <c r="Q5706" s="103"/>
      <c r="R5706" s="103"/>
      <c r="S5706" s="103"/>
      <c r="T5706" s="103"/>
      <c r="U5706" s="148" t="s">
        <v>28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1">
        <f t="shared" si="1"/>
        <v>5701</v>
      </c>
      <c r="B5707" s="97" t="s">
        <v>9478</v>
      </c>
      <c r="C5707" s="82" t="str">
        <f>VLOOKUP($B$7:$B$5000,SUM!$L$6:$L$500,1,FALSE)</f>
        <v>#VALUE!</v>
      </c>
      <c r="D5707" s="148" t="s">
        <v>9473</v>
      </c>
      <c r="E5707" s="189" t="s">
        <v>58</v>
      </c>
      <c r="F5707" s="148" t="s">
        <v>9269</v>
      </c>
      <c r="G5707" s="189" t="s">
        <v>9474</v>
      </c>
      <c r="H5707" s="199" t="s">
        <v>9479</v>
      </c>
      <c r="I5707" s="270" t="s">
        <v>9283</v>
      </c>
      <c r="J5707" s="148" t="s">
        <v>63</v>
      </c>
      <c r="K5707" s="148" t="s">
        <v>9083</v>
      </c>
      <c r="L5707" s="148" t="s">
        <v>65</v>
      </c>
      <c r="M5707" s="148" t="s">
        <v>66</v>
      </c>
      <c r="N5707" s="285">
        <v>46252.0</v>
      </c>
      <c r="O5707" s="148" t="s">
        <v>9328</v>
      </c>
      <c r="P5707" s="148" t="s">
        <v>68</v>
      </c>
      <c r="Q5707" s="103"/>
      <c r="R5707" s="103"/>
      <c r="S5707" s="103"/>
      <c r="T5707" s="103"/>
      <c r="U5707" s="148" t="s">
        <v>28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1">
        <f t="shared" si="1"/>
        <v>5702</v>
      </c>
      <c r="B5708" s="97" t="s">
        <v>9480</v>
      </c>
      <c r="C5708" s="82" t="str">
        <f>VLOOKUP($B$7:$B$5000,SUM!$L$6:$L$500,1,FALSE)</f>
        <v>#VALUE!</v>
      </c>
      <c r="D5708" s="148" t="s">
        <v>9473</v>
      </c>
      <c r="E5708" s="189" t="s">
        <v>58</v>
      </c>
      <c r="F5708" s="148" t="s">
        <v>9269</v>
      </c>
      <c r="G5708" s="189" t="s">
        <v>9474</v>
      </c>
      <c r="H5708" s="199" t="s">
        <v>9481</v>
      </c>
      <c r="I5708" s="270" t="s">
        <v>9283</v>
      </c>
      <c r="J5708" s="148" t="s">
        <v>63</v>
      </c>
      <c r="K5708" s="148" t="s">
        <v>9083</v>
      </c>
      <c r="L5708" s="148" t="s">
        <v>65</v>
      </c>
      <c r="M5708" s="148" t="s">
        <v>66</v>
      </c>
      <c r="N5708" s="285">
        <v>46252.0</v>
      </c>
      <c r="O5708" s="148" t="s">
        <v>9328</v>
      </c>
      <c r="P5708" s="148" t="s">
        <v>68</v>
      </c>
      <c r="Q5708" s="103"/>
      <c r="R5708" s="103"/>
      <c r="S5708" s="103"/>
      <c r="T5708" s="103"/>
      <c r="U5708" s="148" t="s">
        <v>28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1">
        <f t="shared" si="1"/>
        <v>5703</v>
      </c>
      <c r="B5709" s="97" t="s">
        <v>9482</v>
      </c>
      <c r="C5709" s="82" t="str">
        <f>VLOOKUP($B$7:$B$5000,SUM!$L$6:$L$500,1,FALSE)</f>
        <v>#VALUE!</v>
      </c>
      <c r="D5709" s="148" t="s">
        <v>9483</v>
      </c>
      <c r="E5709" s="189" t="s">
        <v>58</v>
      </c>
      <c r="F5709" s="148" t="s">
        <v>9269</v>
      </c>
      <c r="G5709" s="191" t="s">
        <v>9484</v>
      </c>
      <c r="H5709" s="199" t="s">
        <v>786</v>
      </c>
      <c r="I5709" s="197" t="s">
        <v>9326</v>
      </c>
      <c r="J5709" s="148" t="s">
        <v>63</v>
      </c>
      <c r="K5709" s="148" t="s">
        <v>9083</v>
      </c>
      <c r="L5709" s="148" t="s">
        <v>65</v>
      </c>
      <c r="M5709" s="148" t="s">
        <v>66</v>
      </c>
      <c r="N5709" s="285">
        <v>46252.0</v>
      </c>
      <c r="O5709" s="148" t="s">
        <v>9328</v>
      </c>
      <c r="P5709" s="148" t="s">
        <v>68</v>
      </c>
      <c r="Q5709" s="103"/>
      <c r="R5709" s="103"/>
      <c r="S5709" s="103"/>
      <c r="T5709" s="103"/>
      <c r="U5709" s="148" t="s">
        <v>28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1">
        <f t="shared" si="1"/>
        <v>5704</v>
      </c>
      <c r="B5710" s="97" t="s">
        <v>9485</v>
      </c>
      <c r="C5710" s="82" t="str">
        <f>VLOOKUP($B$7:$B$5000,SUM!$L$6:$L$500,1,FALSE)</f>
        <v>#VALUE!</v>
      </c>
      <c r="D5710" s="148" t="s">
        <v>9483</v>
      </c>
      <c r="E5710" s="189" t="s">
        <v>58</v>
      </c>
      <c r="F5710" s="148" t="s">
        <v>9269</v>
      </c>
      <c r="G5710" s="191" t="s">
        <v>9484</v>
      </c>
      <c r="H5710" s="199" t="s">
        <v>823</v>
      </c>
      <c r="I5710" s="197" t="s">
        <v>9326</v>
      </c>
      <c r="J5710" s="148" t="s">
        <v>63</v>
      </c>
      <c r="K5710" s="148" t="s">
        <v>9083</v>
      </c>
      <c r="L5710" s="148" t="s">
        <v>65</v>
      </c>
      <c r="M5710" s="148" t="s">
        <v>66</v>
      </c>
      <c r="N5710" s="285">
        <v>46252.0</v>
      </c>
      <c r="O5710" s="148" t="s">
        <v>9328</v>
      </c>
      <c r="P5710" s="148" t="s">
        <v>68</v>
      </c>
      <c r="Q5710" s="103"/>
      <c r="R5710" s="103"/>
      <c r="S5710" s="103"/>
      <c r="T5710" s="103"/>
      <c r="U5710" s="148" t="s">
        <v>28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1">
        <f t="shared" si="1"/>
        <v>5705</v>
      </c>
      <c r="B5711" s="97" t="s">
        <v>9486</v>
      </c>
      <c r="C5711" s="82" t="str">
        <f>VLOOKUP($B$7:$B$5000,SUM!$L$6:$L$500,1,FALSE)</f>
        <v>#VALUE!</v>
      </c>
      <c r="D5711" s="148" t="s">
        <v>9483</v>
      </c>
      <c r="E5711" s="189" t="s">
        <v>58</v>
      </c>
      <c r="F5711" s="148" t="s">
        <v>9269</v>
      </c>
      <c r="G5711" s="191" t="s">
        <v>9484</v>
      </c>
      <c r="H5711" s="199" t="s">
        <v>639</v>
      </c>
      <c r="I5711" s="197" t="s">
        <v>9326</v>
      </c>
      <c r="J5711" s="148" t="s">
        <v>63</v>
      </c>
      <c r="K5711" s="148" t="s">
        <v>9083</v>
      </c>
      <c r="L5711" s="148" t="s">
        <v>65</v>
      </c>
      <c r="M5711" s="148" t="s">
        <v>66</v>
      </c>
      <c r="N5711" s="285">
        <v>46252.0</v>
      </c>
      <c r="O5711" s="148" t="s">
        <v>9328</v>
      </c>
      <c r="P5711" s="148" t="s">
        <v>68</v>
      </c>
      <c r="Q5711" s="103"/>
      <c r="R5711" s="103"/>
      <c r="S5711" s="103"/>
      <c r="T5711" s="103"/>
      <c r="U5711" s="148" t="s">
        <v>28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1">
        <f t="shared" si="1"/>
        <v>5706</v>
      </c>
      <c r="B5712" s="97" t="s">
        <v>9487</v>
      </c>
      <c r="C5712" s="82" t="str">
        <f>VLOOKUP($B$7:$B$5000,SUM!$L$6:$L$500,1,FALSE)</f>
        <v>#VALUE!</v>
      </c>
      <c r="D5712" s="148" t="s">
        <v>9483</v>
      </c>
      <c r="E5712" s="189" t="s">
        <v>58</v>
      </c>
      <c r="F5712" s="148" t="s">
        <v>9269</v>
      </c>
      <c r="G5712" s="191" t="s">
        <v>9484</v>
      </c>
      <c r="H5712" s="199" t="s">
        <v>1190</v>
      </c>
      <c r="I5712" s="197" t="s">
        <v>9326</v>
      </c>
      <c r="J5712" s="148" t="s">
        <v>63</v>
      </c>
      <c r="K5712" s="148" t="s">
        <v>9083</v>
      </c>
      <c r="L5712" s="148" t="s">
        <v>65</v>
      </c>
      <c r="M5712" s="148" t="s">
        <v>66</v>
      </c>
      <c r="N5712" s="285">
        <v>46252.0</v>
      </c>
      <c r="O5712" s="148" t="s">
        <v>9328</v>
      </c>
      <c r="P5712" s="148" t="s">
        <v>68</v>
      </c>
      <c r="Q5712" s="103"/>
      <c r="R5712" s="103"/>
      <c r="S5712" s="103"/>
      <c r="T5712" s="103"/>
      <c r="U5712" s="148" t="s">
        <v>28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1">
        <f t="shared" si="1"/>
        <v>5707</v>
      </c>
      <c r="B5713" s="97" t="s">
        <v>9488</v>
      </c>
      <c r="C5713" s="82" t="str">
        <f>VLOOKUP($B$7:$B$5000,SUM!$L$6:$L$500,1,FALSE)</f>
        <v>#VALUE!</v>
      </c>
      <c r="D5713" s="148" t="s">
        <v>9483</v>
      </c>
      <c r="E5713" s="189" t="s">
        <v>58</v>
      </c>
      <c r="F5713" s="148" t="s">
        <v>9269</v>
      </c>
      <c r="G5713" s="191" t="s">
        <v>9484</v>
      </c>
      <c r="H5713" s="199" t="s">
        <v>1006</v>
      </c>
      <c r="I5713" s="197" t="s">
        <v>9326</v>
      </c>
      <c r="J5713" s="148" t="s">
        <v>63</v>
      </c>
      <c r="K5713" s="148" t="s">
        <v>9083</v>
      </c>
      <c r="L5713" s="148" t="s">
        <v>65</v>
      </c>
      <c r="M5713" s="148" t="s">
        <v>66</v>
      </c>
      <c r="N5713" s="285">
        <v>46252.0</v>
      </c>
      <c r="O5713" s="148" t="s">
        <v>9328</v>
      </c>
      <c r="P5713" s="148" t="s">
        <v>68</v>
      </c>
      <c r="Q5713" s="103"/>
      <c r="R5713" s="103"/>
      <c r="S5713" s="103"/>
      <c r="T5713" s="103"/>
      <c r="U5713" s="148" t="s">
        <v>28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1">
        <f t="shared" si="1"/>
        <v>5708</v>
      </c>
      <c r="B5714" s="97" t="s">
        <v>9489</v>
      </c>
      <c r="C5714" s="82" t="str">
        <f>VLOOKUP($B$7:$B$5000,SUM!$L$6:$L$500,1,FALSE)</f>
        <v>#VALUE!</v>
      </c>
      <c r="D5714" s="148" t="s">
        <v>9483</v>
      </c>
      <c r="E5714" s="189" t="s">
        <v>58</v>
      </c>
      <c r="F5714" s="148" t="s">
        <v>9269</v>
      </c>
      <c r="G5714" s="191" t="s">
        <v>9484</v>
      </c>
      <c r="H5714" s="199" t="s">
        <v>1087</v>
      </c>
      <c r="I5714" s="197" t="s">
        <v>9326</v>
      </c>
      <c r="J5714" s="148" t="s">
        <v>63</v>
      </c>
      <c r="K5714" s="148" t="s">
        <v>9083</v>
      </c>
      <c r="L5714" s="148" t="s">
        <v>65</v>
      </c>
      <c r="M5714" s="148" t="s">
        <v>66</v>
      </c>
      <c r="N5714" s="285">
        <v>46252.0</v>
      </c>
      <c r="O5714" s="148" t="s">
        <v>9328</v>
      </c>
      <c r="P5714" s="148" t="s">
        <v>68</v>
      </c>
      <c r="Q5714" s="103"/>
      <c r="R5714" s="103"/>
      <c r="S5714" s="103"/>
      <c r="T5714" s="103"/>
      <c r="U5714" s="148" t="s">
        <v>28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1">
        <f t="shared" si="1"/>
        <v>5709</v>
      </c>
      <c r="B5715" s="97" t="s">
        <v>9490</v>
      </c>
      <c r="C5715" s="82" t="str">
        <f>VLOOKUP($B$7:$B$5000,SUM!$L$6:$L$500,1,FALSE)</f>
        <v>#VALUE!</v>
      </c>
      <c r="D5715" s="148" t="s">
        <v>9483</v>
      </c>
      <c r="E5715" s="189" t="s">
        <v>58</v>
      </c>
      <c r="F5715" s="148" t="s">
        <v>9269</v>
      </c>
      <c r="G5715" s="191" t="s">
        <v>9484</v>
      </c>
      <c r="H5715" s="199" t="s">
        <v>661</v>
      </c>
      <c r="I5715" s="197" t="s">
        <v>9326</v>
      </c>
      <c r="J5715" s="148" t="s">
        <v>63</v>
      </c>
      <c r="K5715" s="148" t="s">
        <v>9083</v>
      </c>
      <c r="L5715" s="148" t="s">
        <v>65</v>
      </c>
      <c r="M5715" s="148" t="s">
        <v>66</v>
      </c>
      <c r="N5715" s="285">
        <v>46252.0</v>
      </c>
      <c r="O5715" s="148" t="s">
        <v>9328</v>
      </c>
      <c r="P5715" s="148" t="s">
        <v>68</v>
      </c>
      <c r="Q5715" s="103"/>
      <c r="R5715" s="103"/>
      <c r="S5715" s="103"/>
      <c r="T5715" s="103"/>
      <c r="U5715" s="148" t="s">
        <v>28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1">
        <f t="shared" si="1"/>
        <v>5710</v>
      </c>
      <c r="B5716" s="97" t="s">
        <v>9491</v>
      </c>
      <c r="C5716" s="82" t="str">
        <f>VLOOKUP($B$7:$B$5000,SUM!$L$6:$L$500,1,FALSE)</f>
        <v>#VALUE!</v>
      </c>
      <c r="D5716" s="148" t="s">
        <v>9492</v>
      </c>
      <c r="E5716" s="189" t="s">
        <v>58</v>
      </c>
      <c r="F5716" s="148" t="s">
        <v>9449</v>
      </c>
      <c r="G5716" s="189" t="s">
        <v>9474</v>
      </c>
      <c r="H5716" s="148" t="s">
        <v>9493</v>
      </c>
      <c r="I5716" s="270" t="s">
        <v>9315</v>
      </c>
      <c r="J5716" s="148" t="s">
        <v>63</v>
      </c>
      <c r="K5716" s="148" t="s">
        <v>9083</v>
      </c>
      <c r="L5716" s="148" t="s">
        <v>65</v>
      </c>
      <c r="M5716" s="148" t="s">
        <v>66</v>
      </c>
      <c r="N5716" s="285">
        <v>46253.0</v>
      </c>
      <c r="O5716" s="148" t="s">
        <v>9328</v>
      </c>
      <c r="P5716" s="148" t="s">
        <v>68</v>
      </c>
      <c r="Q5716" s="103"/>
      <c r="R5716" s="103"/>
      <c r="S5716" s="103"/>
      <c r="T5716" s="103"/>
      <c r="U5716" s="148" t="s">
        <v>28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1">
        <f t="shared" si="1"/>
        <v>5711</v>
      </c>
      <c r="B5717" s="97" t="s">
        <v>9494</v>
      </c>
      <c r="C5717" s="82" t="str">
        <f>VLOOKUP($B$7:$B$5000,SUM!$L$6:$L$500,1,FALSE)</f>
        <v>#VALUE!</v>
      </c>
      <c r="D5717" s="148" t="s">
        <v>9492</v>
      </c>
      <c r="E5717" s="189" t="s">
        <v>58</v>
      </c>
      <c r="F5717" s="148" t="s">
        <v>9449</v>
      </c>
      <c r="G5717" s="189" t="s">
        <v>9474</v>
      </c>
      <c r="H5717" s="148" t="s">
        <v>9495</v>
      </c>
      <c r="I5717" s="270" t="s">
        <v>9315</v>
      </c>
      <c r="J5717" s="148" t="s">
        <v>63</v>
      </c>
      <c r="K5717" s="148" t="s">
        <v>9083</v>
      </c>
      <c r="L5717" s="148" t="s">
        <v>65</v>
      </c>
      <c r="M5717" s="148" t="s">
        <v>66</v>
      </c>
      <c r="N5717" s="285">
        <v>46253.0</v>
      </c>
      <c r="O5717" s="148" t="s">
        <v>9328</v>
      </c>
      <c r="P5717" s="148" t="s">
        <v>68</v>
      </c>
      <c r="Q5717" s="103"/>
      <c r="R5717" s="103"/>
      <c r="S5717" s="103"/>
      <c r="T5717" s="103"/>
      <c r="U5717" s="148" t="s">
        <v>28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1">
        <f t="shared" si="1"/>
        <v>5712</v>
      </c>
      <c r="B5718" s="97" t="s">
        <v>9496</v>
      </c>
      <c r="C5718" s="82" t="str">
        <f>VLOOKUP($B$7:$B$5000,SUM!$L$6:$L$500,1,FALSE)</f>
        <v>#VALUE!</v>
      </c>
      <c r="D5718" s="148" t="s">
        <v>9497</v>
      </c>
      <c r="E5718" s="189" t="s">
        <v>58</v>
      </c>
      <c r="F5718" s="199" t="s">
        <v>9269</v>
      </c>
      <c r="G5718" s="189" t="s">
        <v>9474</v>
      </c>
      <c r="H5718" s="199" t="s">
        <v>9493</v>
      </c>
      <c r="I5718" s="270" t="s">
        <v>9283</v>
      </c>
      <c r="J5718" s="148" t="s">
        <v>63</v>
      </c>
      <c r="K5718" s="148" t="s">
        <v>9083</v>
      </c>
      <c r="L5718" s="148" t="s">
        <v>65</v>
      </c>
      <c r="M5718" s="148" t="s">
        <v>66</v>
      </c>
      <c r="N5718" s="285">
        <v>46253.0</v>
      </c>
      <c r="O5718" s="148" t="s">
        <v>9328</v>
      </c>
      <c r="P5718" s="148" t="s">
        <v>68</v>
      </c>
      <c r="Q5718" s="103"/>
      <c r="R5718" s="103"/>
      <c r="S5718" s="103"/>
      <c r="T5718" s="103"/>
      <c r="U5718" s="148" t="s">
        <v>28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1">
        <f t="shared" si="1"/>
        <v>5713</v>
      </c>
      <c r="B5719" s="97" t="s">
        <v>9498</v>
      </c>
      <c r="C5719" s="82" t="str">
        <f>VLOOKUP($B$7:$B$5000,SUM!$L$6:$L$500,1,FALSE)</f>
        <v>#VALUE!</v>
      </c>
      <c r="D5719" s="148" t="s">
        <v>9497</v>
      </c>
      <c r="E5719" s="189" t="s">
        <v>58</v>
      </c>
      <c r="F5719" s="148" t="s">
        <v>9269</v>
      </c>
      <c r="G5719" s="189" t="s">
        <v>9474</v>
      </c>
      <c r="H5719" s="199" t="s">
        <v>9495</v>
      </c>
      <c r="I5719" s="270" t="s">
        <v>9283</v>
      </c>
      <c r="J5719" s="148" t="s">
        <v>63</v>
      </c>
      <c r="K5719" s="148" t="s">
        <v>9083</v>
      </c>
      <c r="L5719" s="148" t="s">
        <v>65</v>
      </c>
      <c r="M5719" s="148" t="s">
        <v>66</v>
      </c>
      <c r="N5719" s="285">
        <v>46253.0</v>
      </c>
      <c r="O5719" s="148" t="s">
        <v>9328</v>
      </c>
      <c r="P5719" s="148" t="s">
        <v>68</v>
      </c>
      <c r="Q5719" s="103"/>
      <c r="R5719" s="103"/>
      <c r="S5719" s="103"/>
      <c r="T5719" s="103"/>
      <c r="U5719" s="148" t="s">
        <v>28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1">
        <f t="shared" si="1"/>
        <v>5714</v>
      </c>
      <c r="B5720" s="97" t="s">
        <v>9499</v>
      </c>
      <c r="C5720" s="82" t="str">
        <f>VLOOKUP($B$7:$B$5000,SUM!$L$6:$L$500,1,FALSE)</f>
        <v>#VALUE!</v>
      </c>
      <c r="D5720" s="199" t="s">
        <v>9500</v>
      </c>
      <c r="E5720" s="189" t="s">
        <v>58</v>
      </c>
      <c r="F5720" s="199" t="s">
        <v>9501</v>
      </c>
      <c r="G5720" s="191" t="s">
        <v>9502</v>
      </c>
      <c r="H5720" s="301" t="s">
        <v>9503</v>
      </c>
      <c r="I5720" s="270" t="s">
        <v>9283</v>
      </c>
      <c r="J5720" s="148" t="s">
        <v>63</v>
      </c>
      <c r="K5720" s="148" t="s">
        <v>64</v>
      </c>
      <c r="L5720" s="148" t="s">
        <v>65</v>
      </c>
      <c r="M5720" s="148" t="s">
        <v>66</v>
      </c>
      <c r="N5720" s="285">
        <v>46253.0</v>
      </c>
      <c r="O5720" s="148" t="s">
        <v>9328</v>
      </c>
      <c r="P5720" s="148" t="s">
        <v>68</v>
      </c>
      <c r="Q5720" s="103"/>
      <c r="R5720" s="103"/>
      <c r="S5720" s="103"/>
      <c r="T5720" s="103"/>
      <c r="U5720" s="148" t="s">
        <v>28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1">
        <f t="shared" si="1"/>
        <v>5715</v>
      </c>
      <c r="B5721" s="97" t="s">
        <v>9504</v>
      </c>
      <c r="C5721" s="82" t="str">
        <f>VLOOKUP($B$7:$B$5000,SUM!$L$6:$L$500,1,FALSE)</f>
        <v>#VALUE!</v>
      </c>
      <c r="D5721" s="199" t="s">
        <v>9500</v>
      </c>
      <c r="E5721" s="189" t="s">
        <v>58</v>
      </c>
      <c r="F5721" s="199" t="s">
        <v>9501</v>
      </c>
      <c r="G5721" s="191" t="s">
        <v>9505</v>
      </c>
      <c r="H5721" s="301" t="s">
        <v>9506</v>
      </c>
      <c r="I5721" s="270" t="s">
        <v>9283</v>
      </c>
      <c r="J5721" s="148" t="s">
        <v>63</v>
      </c>
      <c r="K5721" s="148" t="s">
        <v>64</v>
      </c>
      <c r="L5721" s="148" t="s">
        <v>65</v>
      </c>
      <c r="M5721" s="148" t="s">
        <v>66</v>
      </c>
      <c r="N5721" s="285">
        <v>46253.0</v>
      </c>
      <c r="O5721" s="148" t="s">
        <v>9328</v>
      </c>
      <c r="P5721" s="148" t="s">
        <v>68</v>
      </c>
      <c r="Q5721" s="103"/>
      <c r="R5721" s="103"/>
      <c r="S5721" s="103"/>
      <c r="T5721" s="103"/>
      <c r="U5721" s="148" t="s">
        <v>28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1">
        <f t="shared" si="1"/>
        <v>5716</v>
      </c>
      <c r="B5722" s="97" t="s">
        <v>9507</v>
      </c>
      <c r="C5722" s="82" t="str">
        <f>VLOOKUP($B$7:$B$5000,SUM!$L$6:$L$500,1,FALSE)</f>
        <v>#VALUE!</v>
      </c>
      <c r="D5722" s="199" t="s">
        <v>9508</v>
      </c>
      <c r="E5722" s="189" t="s">
        <v>58</v>
      </c>
      <c r="F5722" s="199" t="s">
        <v>8479</v>
      </c>
      <c r="G5722" s="191" t="s">
        <v>2118</v>
      </c>
      <c r="H5722" s="199" t="s">
        <v>9509</v>
      </c>
      <c r="I5722" s="197" t="s">
        <v>8607</v>
      </c>
      <c r="J5722" s="148" t="s">
        <v>63</v>
      </c>
      <c r="K5722" s="148" t="s">
        <v>64</v>
      </c>
      <c r="L5722" s="148" t="s">
        <v>65</v>
      </c>
      <c r="M5722" s="148" t="s">
        <v>66</v>
      </c>
      <c r="N5722" s="285">
        <v>46253.0</v>
      </c>
      <c r="O5722" s="148" t="s">
        <v>9328</v>
      </c>
      <c r="P5722" s="148" t="s">
        <v>68</v>
      </c>
      <c r="Q5722" s="103"/>
      <c r="R5722" s="103"/>
      <c r="S5722" s="103"/>
      <c r="T5722" s="103"/>
      <c r="U5722" s="148" t="s">
        <v>28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1">
        <f t="shared" si="1"/>
        <v>5717</v>
      </c>
      <c r="B5723" s="97" t="s">
        <v>9510</v>
      </c>
      <c r="C5723" s="82" t="str">
        <f>VLOOKUP($B$7:$B$5000,SUM!$L$6:$L$500,1,FALSE)</f>
        <v>#VALUE!</v>
      </c>
      <c r="D5723" s="199" t="s">
        <v>9508</v>
      </c>
      <c r="E5723" s="189" t="s">
        <v>58</v>
      </c>
      <c r="F5723" s="199" t="s">
        <v>8479</v>
      </c>
      <c r="G5723" s="191" t="s">
        <v>2118</v>
      </c>
      <c r="H5723" s="199" t="s">
        <v>9511</v>
      </c>
      <c r="I5723" s="197" t="s">
        <v>8607</v>
      </c>
      <c r="J5723" s="148" t="s">
        <v>63</v>
      </c>
      <c r="K5723" s="148" t="s">
        <v>64</v>
      </c>
      <c r="L5723" s="148" t="s">
        <v>65</v>
      </c>
      <c r="M5723" s="148" t="s">
        <v>66</v>
      </c>
      <c r="N5723" s="285">
        <v>46253.0</v>
      </c>
      <c r="O5723" s="148" t="s">
        <v>9328</v>
      </c>
      <c r="P5723" s="148" t="s">
        <v>68</v>
      </c>
      <c r="Q5723" s="103"/>
      <c r="R5723" s="103"/>
      <c r="S5723" s="103"/>
      <c r="T5723" s="103"/>
      <c r="U5723" s="148" t="s">
        <v>28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1">
        <f t="shared" si="1"/>
        <v>5718</v>
      </c>
      <c r="B5724" s="97" t="s">
        <v>9512</v>
      </c>
      <c r="C5724" s="82" t="str">
        <f>VLOOKUP($B$7:$B$5000,SUM!$L$6:$L$500,1,FALSE)</f>
        <v>#VALUE!</v>
      </c>
      <c r="D5724" s="199" t="s">
        <v>9508</v>
      </c>
      <c r="E5724" s="189" t="s">
        <v>58</v>
      </c>
      <c r="F5724" s="199" t="s">
        <v>8479</v>
      </c>
      <c r="G5724" s="191" t="s">
        <v>2118</v>
      </c>
      <c r="H5724" s="199" t="s">
        <v>9513</v>
      </c>
      <c r="I5724" s="197" t="s">
        <v>8607</v>
      </c>
      <c r="J5724" s="148" t="s">
        <v>63</v>
      </c>
      <c r="K5724" s="148" t="s">
        <v>64</v>
      </c>
      <c r="L5724" s="148" t="s">
        <v>65</v>
      </c>
      <c r="M5724" s="148" t="s">
        <v>66</v>
      </c>
      <c r="N5724" s="285">
        <v>46253.0</v>
      </c>
      <c r="O5724" s="148" t="s">
        <v>9328</v>
      </c>
      <c r="P5724" s="148" t="s">
        <v>68</v>
      </c>
      <c r="Q5724" s="103"/>
      <c r="R5724" s="103"/>
      <c r="S5724" s="103"/>
      <c r="T5724" s="103"/>
      <c r="U5724" s="148" t="s">
        <v>28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1">
        <f t="shared" si="1"/>
        <v>5719</v>
      </c>
      <c r="B5725" s="97" t="s">
        <v>9514</v>
      </c>
      <c r="C5725" s="82" t="str">
        <f>VLOOKUP($B$7:$B$5000,SUM!$L$6:$L$500,1,FALSE)</f>
        <v>#VALUE!</v>
      </c>
      <c r="D5725" s="199" t="s">
        <v>9508</v>
      </c>
      <c r="E5725" s="189" t="s">
        <v>58</v>
      </c>
      <c r="F5725" s="199" t="s">
        <v>8479</v>
      </c>
      <c r="G5725" s="191" t="s">
        <v>2118</v>
      </c>
      <c r="H5725" s="199" t="s">
        <v>9515</v>
      </c>
      <c r="I5725" s="197" t="s">
        <v>8607</v>
      </c>
      <c r="J5725" s="148" t="s">
        <v>63</v>
      </c>
      <c r="K5725" s="148" t="s">
        <v>64</v>
      </c>
      <c r="L5725" s="148" t="s">
        <v>65</v>
      </c>
      <c r="M5725" s="148" t="s">
        <v>66</v>
      </c>
      <c r="N5725" s="285">
        <v>46253.0</v>
      </c>
      <c r="O5725" s="148" t="s">
        <v>9328</v>
      </c>
      <c r="P5725" s="148" t="s">
        <v>68</v>
      </c>
      <c r="Q5725" s="103"/>
      <c r="R5725" s="103"/>
      <c r="S5725" s="103"/>
      <c r="T5725" s="103"/>
      <c r="U5725" s="148" t="s">
        <v>28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1">
        <f t="shared" si="1"/>
        <v>5720</v>
      </c>
      <c r="B5726" s="97" t="s">
        <v>9516</v>
      </c>
      <c r="C5726" s="82" t="str">
        <f>VLOOKUP($B$7:$B$5000,SUM!$L$6:$L$500,1,FALSE)</f>
        <v>#VALUE!</v>
      </c>
      <c r="D5726" s="199" t="s">
        <v>9508</v>
      </c>
      <c r="E5726" s="189" t="s">
        <v>58</v>
      </c>
      <c r="F5726" s="199" t="s">
        <v>8479</v>
      </c>
      <c r="G5726" s="191" t="s">
        <v>2118</v>
      </c>
      <c r="H5726" s="199" t="s">
        <v>9517</v>
      </c>
      <c r="I5726" s="197" t="s">
        <v>8607</v>
      </c>
      <c r="J5726" s="148" t="s">
        <v>63</v>
      </c>
      <c r="K5726" s="148" t="s">
        <v>64</v>
      </c>
      <c r="L5726" s="148" t="s">
        <v>65</v>
      </c>
      <c r="M5726" s="148" t="s">
        <v>66</v>
      </c>
      <c r="N5726" s="285">
        <v>46253.0</v>
      </c>
      <c r="O5726" s="148" t="s">
        <v>9328</v>
      </c>
      <c r="P5726" s="148" t="s">
        <v>68</v>
      </c>
      <c r="Q5726" s="103"/>
      <c r="R5726" s="103"/>
      <c r="S5726" s="103"/>
      <c r="T5726" s="103"/>
      <c r="U5726" s="148" t="s">
        <v>28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1">
        <f t="shared" si="1"/>
        <v>5721</v>
      </c>
      <c r="B5727" s="97" t="s">
        <v>9518</v>
      </c>
      <c r="C5727" s="82" t="str">
        <f>VLOOKUP($B$7:$B$5000,SUM!$L$6:$L$500,1,FALSE)</f>
        <v>#VALUE!</v>
      </c>
      <c r="D5727" s="199" t="s">
        <v>9508</v>
      </c>
      <c r="E5727" s="189" t="s">
        <v>58</v>
      </c>
      <c r="F5727" s="199" t="s">
        <v>8479</v>
      </c>
      <c r="G5727" s="191" t="s">
        <v>2118</v>
      </c>
      <c r="H5727" s="199" t="s">
        <v>9519</v>
      </c>
      <c r="I5727" s="197" t="s">
        <v>8607</v>
      </c>
      <c r="J5727" s="148" t="s">
        <v>63</v>
      </c>
      <c r="K5727" s="148" t="s">
        <v>64</v>
      </c>
      <c r="L5727" s="148" t="s">
        <v>65</v>
      </c>
      <c r="M5727" s="148" t="s">
        <v>66</v>
      </c>
      <c r="N5727" s="285">
        <v>46253.0</v>
      </c>
      <c r="O5727" s="148" t="s">
        <v>9328</v>
      </c>
      <c r="P5727" s="148" t="s">
        <v>68</v>
      </c>
      <c r="Q5727" s="103"/>
      <c r="R5727" s="103"/>
      <c r="S5727" s="103"/>
      <c r="T5727" s="103"/>
      <c r="U5727" s="148" t="s">
        <v>28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1">
        <f t="shared" si="1"/>
        <v>5722</v>
      </c>
      <c r="B5728" s="97" t="s">
        <v>9520</v>
      </c>
      <c r="C5728" s="82" t="str">
        <f>VLOOKUP($B$7:$B$5000,SUM!$L$6:$L$500,1,FALSE)</f>
        <v>#VALUE!</v>
      </c>
      <c r="D5728" s="199" t="s">
        <v>9508</v>
      </c>
      <c r="E5728" s="189" t="s">
        <v>58</v>
      </c>
      <c r="F5728" s="199" t="s">
        <v>8479</v>
      </c>
      <c r="G5728" s="191" t="s">
        <v>2118</v>
      </c>
      <c r="H5728" s="199" t="s">
        <v>9521</v>
      </c>
      <c r="I5728" s="197" t="s">
        <v>8607</v>
      </c>
      <c r="J5728" s="148" t="s">
        <v>63</v>
      </c>
      <c r="K5728" s="148" t="s">
        <v>64</v>
      </c>
      <c r="L5728" s="148" t="s">
        <v>65</v>
      </c>
      <c r="M5728" s="148" t="s">
        <v>66</v>
      </c>
      <c r="N5728" s="285">
        <v>46253.0</v>
      </c>
      <c r="O5728" s="148" t="s">
        <v>9328</v>
      </c>
      <c r="P5728" s="148" t="s">
        <v>68</v>
      </c>
      <c r="Q5728" s="103"/>
      <c r="R5728" s="103"/>
      <c r="S5728" s="103"/>
      <c r="T5728" s="103"/>
      <c r="U5728" s="148" t="s">
        <v>28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1">
        <f t="shared" si="1"/>
        <v>5723</v>
      </c>
      <c r="B5729" s="97" t="s">
        <v>9522</v>
      </c>
      <c r="C5729" s="82" t="str">
        <f>VLOOKUP($B$7:$B$5000,SUM!$L$6:$L$500,1,FALSE)</f>
        <v>#VALUE!</v>
      </c>
      <c r="D5729" s="199" t="s">
        <v>9508</v>
      </c>
      <c r="E5729" s="189" t="s">
        <v>58</v>
      </c>
      <c r="F5729" s="199" t="s">
        <v>8479</v>
      </c>
      <c r="G5729" s="191" t="s">
        <v>2118</v>
      </c>
      <c r="H5729" s="199" t="s">
        <v>9523</v>
      </c>
      <c r="I5729" s="197" t="s">
        <v>8607</v>
      </c>
      <c r="J5729" s="148" t="s">
        <v>63</v>
      </c>
      <c r="K5729" s="148" t="s">
        <v>64</v>
      </c>
      <c r="L5729" s="148" t="s">
        <v>65</v>
      </c>
      <c r="M5729" s="148" t="s">
        <v>66</v>
      </c>
      <c r="N5729" s="285">
        <v>46253.0</v>
      </c>
      <c r="O5729" s="148" t="s">
        <v>9328</v>
      </c>
      <c r="P5729" s="148" t="s">
        <v>68</v>
      </c>
      <c r="Q5729" s="103"/>
      <c r="R5729" s="103"/>
      <c r="S5729" s="103"/>
      <c r="T5729" s="103"/>
      <c r="U5729" s="148" t="s">
        <v>28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1">
        <f t="shared" si="1"/>
        <v>5724</v>
      </c>
      <c r="B5730" s="97" t="s">
        <v>9524</v>
      </c>
      <c r="C5730" s="82" t="str">
        <f>VLOOKUP($B$7:$B$5000,SUM!$L$6:$L$500,1,FALSE)</f>
        <v>#VALUE!</v>
      </c>
      <c r="D5730" s="199" t="s">
        <v>9508</v>
      </c>
      <c r="E5730" s="189" t="s">
        <v>58</v>
      </c>
      <c r="F5730" s="199" t="s">
        <v>8479</v>
      </c>
      <c r="G5730" s="191" t="s">
        <v>2118</v>
      </c>
      <c r="H5730" s="199" t="s">
        <v>9525</v>
      </c>
      <c r="I5730" s="197" t="s">
        <v>8607</v>
      </c>
      <c r="J5730" s="148" t="s">
        <v>63</v>
      </c>
      <c r="K5730" s="148" t="s">
        <v>64</v>
      </c>
      <c r="L5730" s="148" t="s">
        <v>65</v>
      </c>
      <c r="M5730" s="148" t="s">
        <v>66</v>
      </c>
      <c r="N5730" s="285">
        <v>46253.0</v>
      </c>
      <c r="O5730" s="148" t="s">
        <v>9328</v>
      </c>
      <c r="P5730" s="148" t="s">
        <v>68</v>
      </c>
      <c r="Q5730" s="103"/>
      <c r="R5730" s="103"/>
      <c r="S5730" s="103"/>
      <c r="T5730" s="103"/>
      <c r="U5730" s="148" t="s">
        <v>28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1">
        <f t="shared" si="1"/>
        <v>5725</v>
      </c>
      <c r="B5731" s="97" t="s">
        <v>9526</v>
      </c>
      <c r="C5731" s="82" t="str">
        <f>VLOOKUP($B$7:$B$5000,SUM!$L$6:$L$500,1,FALSE)</f>
        <v>#VALUE!</v>
      </c>
      <c r="D5731" s="199" t="s">
        <v>9508</v>
      </c>
      <c r="E5731" s="189" t="s">
        <v>58</v>
      </c>
      <c r="F5731" s="199" t="s">
        <v>8479</v>
      </c>
      <c r="G5731" s="191" t="s">
        <v>2118</v>
      </c>
      <c r="H5731" s="199" t="s">
        <v>9527</v>
      </c>
      <c r="I5731" s="197" t="s">
        <v>8607</v>
      </c>
      <c r="J5731" s="148" t="s">
        <v>63</v>
      </c>
      <c r="K5731" s="148" t="s">
        <v>64</v>
      </c>
      <c r="L5731" s="148" t="s">
        <v>65</v>
      </c>
      <c r="M5731" s="148" t="s">
        <v>66</v>
      </c>
      <c r="N5731" s="285">
        <v>46253.0</v>
      </c>
      <c r="O5731" s="148" t="s">
        <v>9328</v>
      </c>
      <c r="P5731" s="148" t="s">
        <v>68</v>
      </c>
      <c r="Q5731" s="103"/>
      <c r="R5731" s="103"/>
      <c r="S5731" s="103"/>
      <c r="T5731" s="103"/>
      <c r="U5731" s="148" t="s">
        <v>28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1">
        <f t="shared" si="1"/>
        <v>5726</v>
      </c>
      <c r="B5732" s="97" t="s">
        <v>9528</v>
      </c>
      <c r="C5732" s="82" t="str">
        <f>VLOOKUP($B$7:$B$5000,SUM!$L$6:$L$500,1,FALSE)</f>
        <v>#VALUE!</v>
      </c>
      <c r="D5732" s="199" t="s">
        <v>9508</v>
      </c>
      <c r="E5732" s="189" t="s">
        <v>58</v>
      </c>
      <c r="F5732" s="199" t="s">
        <v>8479</v>
      </c>
      <c r="G5732" s="191" t="s">
        <v>2118</v>
      </c>
      <c r="H5732" s="199" t="s">
        <v>9529</v>
      </c>
      <c r="I5732" s="197" t="s">
        <v>8607</v>
      </c>
      <c r="J5732" s="148" t="s">
        <v>63</v>
      </c>
      <c r="K5732" s="148" t="s">
        <v>64</v>
      </c>
      <c r="L5732" s="148" t="s">
        <v>65</v>
      </c>
      <c r="M5732" s="148" t="s">
        <v>66</v>
      </c>
      <c r="N5732" s="285">
        <v>46253.0</v>
      </c>
      <c r="O5732" s="148" t="s">
        <v>9328</v>
      </c>
      <c r="P5732" s="148" t="s">
        <v>68</v>
      </c>
      <c r="Q5732" s="103"/>
      <c r="R5732" s="103"/>
      <c r="S5732" s="103"/>
      <c r="T5732" s="103"/>
      <c r="U5732" s="148" t="s">
        <v>28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1">
        <f t="shared" si="1"/>
        <v>5727</v>
      </c>
      <c r="B5733" s="97" t="s">
        <v>9530</v>
      </c>
      <c r="C5733" s="82" t="str">
        <f>VLOOKUP($B$7:$B$5000,SUM!$L$6:$L$500,1,FALSE)</f>
        <v>#VALUE!</v>
      </c>
      <c r="D5733" s="199" t="s">
        <v>9508</v>
      </c>
      <c r="E5733" s="189" t="s">
        <v>58</v>
      </c>
      <c r="F5733" s="199" t="s">
        <v>8479</v>
      </c>
      <c r="G5733" s="191" t="s">
        <v>2118</v>
      </c>
      <c r="H5733" s="199" t="s">
        <v>9531</v>
      </c>
      <c r="I5733" s="197" t="s">
        <v>8607</v>
      </c>
      <c r="J5733" s="148" t="s">
        <v>63</v>
      </c>
      <c r="K5733" s="148" t="s">
        <v>64</v>
      </c>
      <c r="L5733" s="148" t="s">
        <v>65</v>
      </c>
      <c r="M5733" s="148" t="s">
        <v>66</v>
      </c>
      <c r="N5733" s="285">
        <v>46253.0</v>
      </c>
      <c r="O5733" s="148" t="s">
        <v>9328</v>
      </c>
      <c r="P5733" s="148" t="s">
        <v>68</v>
      </c>
      <c r="Q5733" s="103"/>
      <c r="R5733" s="103"/>
      <c r="S5733" s="103"/>
      <c r="T5733" s="103"/>
      <c r="U5733" s="148" t="s">
        <v>28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1">
        <f t="shared" si="1"/>
        <v>5728</v>
      </c>
      <c r="B5734" s="97" t="s">
        <v>9532</v>
      </c>
      <c r="C5734" s="82" t="str">
        <f>VLOOKUP($B$7:$B$5000,SUM!$L$6:$L$500,1,FALSE)</f>
        <v>#VALUE!</v>
      </c>
      <c r="D5734" s="148" t="s">
        <v>9533</v>
      </c>
      <c r="E5734" s="189" t="s">
        <v>58</v>
      </c>
      <c r="F5734" s="148" t="s">
        <v>9449</v>
      </c>
      <c r="G5734" s="189" t="s">
        <v>9450</v>
      </c>
      <c r="H5734" s="148" t="s">
        <v>9534</v>
      </c>
      <c r="I5734" s="270" t="s">
        <v>9315</v>
      </c>
      <c r="J5734" s="148" t="s">
        <v>63</v>
      </c>
      <c r="K5734" s="148" t="s">
        <v>9535</v>
      </c>
      <c r="L5734" s="148" t="s">
        <v>65</v>
      </c>
      <c r="M5734" s="148" t="s">
        <v>66</v>
      </c>
      <c r="N5734" s="285">
        <v>46254.0</v>
      </c>
      <c r="O5734" s="148" t="s">
        <v>9328</v>
      </c>
      <c r="P5734" s="148" t="s">
        <v>68</v>
      </c>
      <c r="Q5734" s="103"/>
      <c r="R5734" s="103"/>
      <c r="S5734" s="103"/>
      <c r="T5734" s="103"/>
      <c r="U5734" s="148" t="s">
        <v>28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1">
        <f t="shared" si="1"/>
        <v>5729</v>
      </c>
      <c r="B5735" s="97" t="s">
        <v>9536</v>
      </c>
      <c r="C5735" s="82" t="str">
        <f>VLOOKUP($B$7:$B$5000,SUM!$L$6:$L$500,1,FALSE)</f>
        <v>#VALUE!</v>
      </c>
      <c r="D5735" s="148" t="s">
        <v>9533</v>
      </c>
      <c r="E5735" s="189" t="s">
        <v>58</v>
      </c>
      <c r="F5735" s="148" t="s">
        <v>9449</v>
      </c>
      <c r="G5735" s="189" t="s">
        <v>9450</v>
      </c>
      <c r="H5735" s="148" t="s">
        <v>9537</v>
      </c>
      <c r="I5735" s="270" t="s">
        <v>9315</v>
      </c>
      <c r="J5735" s="148" t="s">
        <v>63</v>
      </c>
      <c r="K5735" s="148" t="s">
        <v>9535</v>
      </c>
      <c r="L5735" s="148" t="s">
        <v>65</v>
      </c>
      <c r="M5735" s="148" t="s">
        <v>66</v>
      </c>
      <c r="N5735" s="285">
        <v>46254.0</v>
      </c>
      <c r="O5735" s="148" t="s">
        <v>9328</v>
      </c>
      <c r="P5735" s="148" t="s">
        <v>68</v>
      </c>
      <c r="Q5735" s="103"/>
      <c r="R5735" s="103"/>
      <c r="S5735" s="103"/>
      <c r="T5735" s="103"/>
      <c r="U5735" s="148" t="s">
        <v>28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1">
        <f t="shared" si="1"/>
        <v>5730</v>
      </c>
      <c r="B5736" s="97" t="s">
        <v>9538</v>
      </c>
      <c r="C5736" s="82" t="str">
        <f>VLOOKUP($B$7:$B$5000,SUM!$L$6:$L$500,1,FALSE)</f>
        <v>#VALUE!</v>
      </c>
      <c r="D5736" s="148" t="s">
        <v>9533</v>
      </c>
      <c r="E5736" s="189" t="s">
        <v>58</v>
      </c>
      <c r="F5736" s="148" t="s">
        <v>9449</v>
      </c>
      <c r="G5736" s="189" t="s">
        <v>9450</v>
      </c>
      <c r="H5736" s="148" t="s">
        <v>9539</v>
      </c>
      <c r="I5736" s="270" t="s">
        <v>9315</v>
      </c>
      <c r="J5736" s="148" t="s">
        <v>63</v>
      </c>
      <c r="K5736" s="148" t="s">
        <v>9535</v>
      </c>
      <c r="L5736" s="148" t="s">
        <v>65</v>
      </c>
      <c r="M5736" s="148" t="s">
        <v>66</v>
      </c>
      <c r="N5736" s="285">
        <v>46254.0</v>
      </c>
      <c r="O5736" s="148" t="s">
        <v>9328</v>
      </c>
      <c r="P5736" s="148" t="s">
        <v>68</v>
      </c>
      <c r="Q5736" s="103"/>
      <c r="R5736" s="103"/>
      <c r="S5736" s="103"/>
      <c r="T5736" s="103"/>
      <c r="U5736" s="148" t="s">
        <v>28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1">
        <f t="shared" si="1"/>
        <v>5731</v>
      </c>
      <c r="B5737" s="97" t="s">
        <v>9540</v>
      </c>
      <c r="C5737" s="82" t="str">
        <f>VLOOKUP($B$7:$B$5000,SUM!$L$6:$L$500,1,FALSE)</f>
        <v>#VALUE!</v>
      </c>
      <c r="D5737" s="148" t="s">
        <v>9541</v>
      </c>
      <c r="E5737" s="189" t="s">
        <v>58</v>
      </c>
      <c r="F5737" s="148" t="s">
        <v>9269</v>
      </c>
      <c r="G5737" s="189" t="s">
        <v>9450</v>
      </c>
      <c r="H5737" s="148" t="s">
        <v>9534</v>
      </c>
      <c r="I5737" s="270" t="s">
        <v>9283</v>
      </c>
      <c r="J5737" s="148" t="s">
        <v>63</v>
      </c>
      <c r="K5737" s="148" t="s">
        <v>9535</v>
      </c>
      <c r="L5737" s="148" t="s">
        <v>65</v>
      </c>
      <c r="M5737" s="148" t="s">
        <v>66</v>
      </c>
      <c r="N5737" s="285">
        <v>46254.0</v>
      </c>
      <c r="O5737" s="148" t="s">
        <v>9328</v>
      </c>
      <c r="P5737" s="148" t="s">
        <v>68</v>
      </c>
      <c r="Q5737" s="103"/>
      <c r="R5737" s="103"/>
      <c r="S5737" s="103"/>
      <c r="T5737" s="103"/>
      <c r="U5737" s="148" t="s">
        <v>28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1">
        <f t="shared" si="1"/>
        <v>5732</v>
      </c>
      <c r="B5738" s="97" t="s">
        <v>9542</v>
      </c>
      <c r="C5738" s="82" t="str">
        <f>VLOOKUP($B$7:$B$5000,SUM!$L$6:$L$500,1,FALSE)</f>
        <v>#VALUE!</v>
      </c>
      <c r="D5738" s="148" t="s">
        <v>9541</v>
      </c>
      <c r="E5738" s="189" t="s">
        <v>58</v>
      </c>
      <c r="F5738" s="148" t="s">
        <v>9269</v>
      </c>
      <c r="G5738" s="189" t="s">
        <v>9450</v>
      </c>
      <c r="H5738" s="148" t="s">
        <v>9537</v>
      </c>
      <c r="I5738" s="270" t="s">
        <v>9283</v>
      </c>
      <c r="J5738" s="148" t="s">
        <v>63</v>
      </c>
      <c r="K5738" s="148" t="s">
        <v>9535</v>
      </c>
      <c r="L5738" s="148" t="s">
        <v>65</v>
      </c>
      <c r="M5738" s="148" t="s">
        <v>66</v>
      </c>
      <c r="N5738" s="285">
        <v>46254.0</v>
      </c>
      <c r="O5738" s="148" t="s">
        <v>9328</v>
      </c>
      <c r="P5738" s="148" t="s">
        <v>68</v>
      </c>
      <c r="Q5738" s="103"/>
      <c r="R5738" s="103"/>
      <c r="S5738" s="103"/>
      <c r="T5738" s="103"/>
      <c r="U5738" s="148" t="s">
        <v>28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1">
        <f t="shared" si="1"/>
        <v>5733</v>
      </c>
      <c r="B5739" s="97" t="s">
        <v>9543</v>
      </c>
      <c r="C5739" s="82" t="str">
        <f>VLOOKUP($B$7:$B$5000,SUM!$L$6:$L$500,1,FALSE)</f>
        <v>#VALUE!</v>
      </c>
      <c r="D5739" s="148" t="s">
        <v>9541</v>
      </c>
      <c r="E5739" s="189" t="s">
        <v>58</v>
      </c>
      <c r="F5739" s="148" t="s">
        <v>9269</v>
      </c>
      <c r="G5739" s="189" t="s">
        <v>9450</v>
      </c>
      <c r="H5739" s="148" t="s">
        <v>9539</v>
      </c>
      <c r="I5739" s="270" t="s">
        <v>9283</v>
      </c>
      <c r="J5739" s="148" t="s">
        <v>63</v>
      </c>
      <c r="K5739" s="148" t="s">
        <v>9535</v>
      </c>
      <c r="L5739" s="148" t="s">
        <v>65</v>
      </c>
      <c r="M5739" s="148" t="s">
        <v>66</v>
      </c>
      <c r="N5739" s="285">
        <v>46254.0</v>
      </c>
      <c r="O5739" s="148" t="s">
        <v>9328</v>
      </c>
      <c r="P5739" s="148" t="s">
        <v>68</v>
      </c>
      <c r="Q5739" s="103"/>
      <c r="R5739" s="103"/>
      <c r="S5739" s="103"/>
      <c r="T5739" s="103"/>
      <c r="U5739" s="148" t="s">
        <v>28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1">
        <f t="shared" si="1"/>
        <v>5734</v>
      </c>
      <c r="B5740" s="97" t="s">
        <v>9544</v>
      </c>
      <c r="C5740" s="82" t="str">
        <f>VLOOKUP($B$7:$B$5000,SUM!$L$6:$L$500,1,FALSE)</f>
        <v>#VALUE!</v>
      </c>
      <c r="D5740" s="302" t="s">
        <v>9545</v>
      </c>
      <c r="E5740" s="191" t="s">
        <v>58</v>
      </c>
      <c r="F5740" s="148" t="s">
        <v>9546</v>
      </c>
      <c r="G5740" s="191" t="s">
        <v>5443</v>
      </c>
      <c r="H5740" s="303" t="s">
        <v>8555</v>
      </c>
      <c r="I5740" s="201" t="s">
        <v>9547</v>
      </c>
      <c r="J5740" s="148" t="s">
        <v>63</v>
      </c>
      <c r="K5740" s="148" t="s">
        <v>64</v>
      </c>
      <c r="L5740" s="148" t="s">
        <v>65</v>
      </c>
      <c r="M5740" s="148" t="s">
        <v>66</v>
      </c>
      <c r="N5740" s="285">
        <v>46256.0</v>
      </c>
      <c r="O5740" s="148" t="s">
        <v>9328</v>
      </c>
      <c r="P5740" s="148" t="s">
        <v>68</v>
      </c>
      <c r="Q5740" s="103"/>
      <c r="R5740" s="103"/>
      <c r="S5740" s="103"/>
      <c r="T5740" s="103"/>
      <c r="U5740" s="148" t="s">
        <v>28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1">
        <f t="shared" si="1"/>
        <v>5735</v>
      </c>
      <c r="B5741" s="97" t="s">
        <v>9548</v>
      </c>
      <c r="C5741" s="82" t="str">
        <f>VLOOKUP($B$7:$B$5000,SUM!$L$6:$L$500,1,FALSE)</f>
        <v>#VALUE!</v>
      </c>
      <c r="D5741" s="302" t="s">
        <v>9545</v>
      </c>
      <c r="E5741" s="191" t="s">
        <v>58</v>
      </c>
      <c r="F5741" s="148" t="s">
        <v>9546</v>
      </c>
      <c r="G5741" s="191" t="s">
        <v>5443</v>
      </c>
      <c r="H5741" s="303" t="s">
        <v>6367</v>
      </c>
      <c r="I5741" s="201" t="s">
        <v>9547</v>
      </c>
      <c r="J5741" s="148" t="s">
        <v>63</v>
      </c>
      <c r="K5741" s="148" t="s">
        <v>64</v>
      </c>
      <c r="L5741" s="148" t="s">
        <v>65</v>
      </c>
      <c r="M5741" s="148" t="s">
        <v>66</v>
      </c>
      <c r="N5741" s="285">
        <v>46256.0</v>
      </c>
      <c r="O5741" s="148" t="s">
        <v>9328</v>
      </c>
      <c r="P5741" s="148" t="s">
        <v>68</v>
      </c>
      <c r="Q5741" s="103"/>
      <c r="R5741" s="103"/>
      <c r="S5741" s="103"/>
      <c r="T5741" s="103"/>
      <c r="U5741" s="148" t="s">
        <v>28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1">
        <f t="shared" si="1"/>
        <v>5736</v>
      </c>
      <c r="B5742" s="97" t="s">
        <v>9549</v>
      </c>
      <c r="C5742" s="82" t="str">
        <f>VLOOKUP($B$7:$B$5000,SUM!$L$6:$L$500,1,FALSE)</f>
        <v>#VALUE!</v>
      </c>
      <c r="D5742" s="302" t="s">
        <v>9545</v>
      </c>
      <c r="E5742" s="191" t="s">
        <v>58</v>
      </c>
      <c r="F5742" s="148" t="s">
        <v>9546</v>
      </c>
      <c r="G5742" s="191" t="s">
        <v>5443</v>
      </c>
      <c r="H5742" s="303" t="s">
        <v>3864</v>
      </c>
      <c r="I5742" s="201" t="s">
        <v>9547</v>
      </c>
      <c r="J5742" s="148" t="s">
        <v>63</v>
      </c>
      <c r="K5742" s="148" t="s">
        <v>64</v>
      </c>
      <c r="L5742" s="148" t="s">
        <v>65</v>
      </c>
      <c r="M5742" s="148" t="s">
        <v>66</v>
      </c>
      <c r="N5742" s="285">
        <v>46256.0</v>
      </c>
      <c r="O5742" s="148" t="s">
        <v>9328</v>
      </c>
      <c r="P5742" s="148" t="s">
        <v>68</v>
      </c>
      <c r="Q5742" s="103"/>
      <c r="R5742" s="103"/>
      <c r="S5742" s="103"/>
      <c r="T5742" s="103"/>
      <c r="U5742" s="148" t="s">
        <v>28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1">
        <f t="shared" si="1"/>
        <v>5737</v>
      </c>
      <c r="B5743" s="97" t="s">
        <v>9550</v>
      </c>
      <c r="C5743" s="82" t="str">
        <f>VLOOKUP($B$7:$B$5000,SUM!$L$6:$L$500,1,FALSE)</f>
        <v>#VALUE!</v>
      </c>
      <c r="D5743" s="288" t="s">
        <v>9551</v>
      </c>
      <c r="E5743" s="304" t="s">
        <v>58</v>
      </c>
      <c r="F5743" s="199" t="s">
        <v>9552</v>
      </c>
      <c r="G5743" s="191" t="s">
        <v>5443</v>
      </c>
      <c r="H5743" s="303" t="s">
        <v>9553</v>
      </c>
      <c r="I5743" s="197" t="s">
        <v>9554</v>
      </c>
      <c r="J5743" s="148" t="s">
        <v>108</v>
      </c>
      <c r="K5743" s="148" t="s">
        <v>64</v>
      </c>
      <c r="L5743" s="148" t="s">
        <v>65</v>
      </c>
      <c r="M5743" s="148" t="s">
        <v>66</v>
      </c>
      <c r="N5743" s="285">
        <v>46258.0</v>
      </c>
      <c r="O5743" s="148" t="s">
        <v>9328</v>
      </c>
      <c r="P5743" s="148" t="s">
        <v>68</v>
      </c>
      <c r="Q5743" s="103"/>
      <c r="R5743" s="103"/>
      <c r="S5743" s="103"/>
      <c r="T5743" s="103"/>
      <c r="U5743" s="148" t="s">
        <v>28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1">
        <f t="shared" si="1"/>
        <v>5738</v>
      </c>
      <c r="B5744" s="97" t="s">
        <v>9555</v>
      </c>
      <c r="C5744" s="82" t="str">
        <f>VLOOKUP($B$7:$B$5000,SUM!$L$6:$L$500,1,FALSE)</f>
        <v>#VALUE!</v>
      </c>
      <c r="D5744" s="288" t="s">
        <v>9551</v>
      </c>
      <c r="E5744" s="191" t="s">
        <v>58</v>
      </c>
      <c r="F5744" s="199" t="s">
        <v>9552</v>
      </c>
      <c r="G5744" s="191" t="s">
        <v>5443</v>
      </c>
      <c r="H5744" s="303" t="s">
        <v>9556</v>
      </c>
      <c r="I5744" s="197" t="s">
        <v>9554</v>
      </c>
      <c r="J5744" s="148" t="s">
        <v>108</v>
      </c>
      <c r="K5744" s="148" t="s">
        <v>64</v>
      </c>
      <c r="L5744" s="148" t="s">
        <v>65</v>
      </c>
      <c r="M5744" s="148" t="s">
        <v>66</v>
      </c>
      <c r="N5744" s="285">
        <v>46258.0</v>
      </c>
      <c r="O5744" s="148" t="s">
        <v>9328</v>
      </c>
      <c r="P5744" s="148" t="s">
        <v>68</v>
      </c>
      <c r="Q5744" s="103"/>
      <c r="R5744" s="103"/>
      <c r="S5744" s="103"/>
      <c r="T5744" s="103"/>
      <c r="U5744" s="148" t="s">
        <v>28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1">
        <f t="shared" si="1"/>
        <v>5739</v>
      </c>
      <c r="B5745" s="97" t="s">
        <v>9557</v>
      </c>
      <c r="C5745" s="82" t="str">
        <f>VLOOKUP($B$7:$B$5000,SUM!$L$6:$L$500,1,FALSE)</f>
        <v>#VALUE!</v>
      </c>
      <c r="D5745" s="288" t="s">
        <v>9551</v>
      </c>
      <c r="E5745" s="191" t="s">
        <v>58</v>
      </c>
      <c r="F5745" s="199" t="s">
        <v>9552</v>
      </c>
      <c r="G5745" s="191" t="s">
        <v>5443</v>
      </c>
      <c r="H5745" s="303" t="s">
        <v>9558</v>
      </c>
      <c r="I5745" s="197" t="s">
        <v>9554</v>
      </c>
      <c r="J5745" s="148" t="s">
        <v>108</v>
      </c>
      <c r="K5745" s="148" t="s">
        <v>64</v>
      </c>
      <c r="L5745" s="148" t="s">
        <v>65</v>
      </c>
      <c r="M5745" s="148" t="s">
        <v>66</v>
      </c>
      <c r="N5745" s="285">
        <v>46258.0</v>
      </c>
      <c r="O5745" s="148" t="s">
        <v>9328</v>
      </c>
      <c r="P5745" s="148" t="s">
        <v>68</v>
      </c>
      <c r="Q5745" s="103"/>
      <c r="R5745" s="103"/>
      <c r="S5745" s="103"/>
      <c r="T5745" s="103"/>
      <c r="U5745" s="148" t="s">
        <v>28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1">
        <f t="shared" si="1"/>
        <v>5740</v>
      </c>
      <c r="B5746" s="97" t="s">
        <v>9559</v>
      </c>
      <c r="C5746" s="82" t="str">
        <f>VLOOKUP($B$7:$B$5000,SUM!$L$6:$L$500,1,FALSE)</f>
        <v>#VALUE!</v>
      </c>
      <c r="D5746" s="288" t="s">
        <v>9551</v>
      </c>
      <c r="E5746" s="191" t="s">
        <v>58</v>
      </c>
      <c r="F5746" s="199" t="s">
        <v>9552</v>
      </c>
      <c r="G5746" s="191" t="s">
        <v>5443</v>
      </c>
      <c r="H5746" s="303" t="s">
        <v>8154</v>
      </c>
      <c r="I5746" s="197" t="s">
        <v>9554</v>
      </c>
      <c r="J5746" s="148" t="s">
        <v>108</v>
      </c>
      <c r="K5746" s="148" t="s">
        <v>64</v>
      </c>
      <c r="L5746" s="148" t="s">
        <v>65</v>
      </c>
      <c r="M5746" s="148" t="s">
        <v>66</v>
      </c>
      <c r="N5746" s="285">
        <v>46258.0</v>
      </c>
      <c r="O5746" s="148" t="s">
        <v>9328</v>
      </c>
      <c r="P5746" s="148" t="s">
        <v>68</v>
      </c>
      <c r="Q5746" s="103"/>
      <c r="R5746" s="103"/>
      <c r="S5746" s="103"/>
      <c r="T5746" s="103"/>
      <c r="U5746" s="148" t="s">
        <v>28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1">
        <f t="shared" si="1"/>
        <v>5741</v>
      </c>
      <c r="B5747" s="97" t="s">
        <v>9560</v>
      </c>
      <c r="C5747" s="82" t="str">
        <f>VLOOKUP($B$7:$B$5000,SUM!$L$6:$L$500,1,FALSE)</f>
        <v>#VALUE!</v>
      </c>
      <c r="D5747" s="288" t="s">
        <v>9551</v>
      </c>
      <c r="E5747" s="191" t="s">
        <v>58</v>
      </c>
      <c r="F5747" s="199" t="s">
        <v>9552</v>
      </c>
      <c r="G5747" s="191" t="s">
        <v>5443</v>
      </c>
      <c r="H5747" s="303" t="s">
        <v>9561</v>
      </c>
      <c r="I5747" s="197" t="s">
        <v>9554</v>
      </c>
      <c r="J5747" s="148" t="s">
        <v>108</v>
      </c>
      <c r="K5747" s="148" t="s">
        <v>64</v>
      </c>
      <c r="L5747" s="148" t="s">
        <v>65</v>
      </c>
      <c r="M5747" s="148" t="s">
        <v>66</v>
      </c>
      <c r="N5747" s="285">
        <v>46258.0</v>
      </c>
      <c r="O5747" s="148" t="s">
        <v>9328</v>
      </c>
      <c r="P5747" s="148" t="s">
        <v>68</v>
      </c>
      <c r="Q5747" s="103"/>
      <c r="R5747" s="103"/>
      <c r="S5747" s="103"/>
      <c r="T5747" s="103"/>
      <c r="U5747" s="148" t="s">
        <v>28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1">
        <f t="shared" si="1"/>
        <v>5742</v>
      </c>
      <c r="B5748" s="97" t="s">
        <v>9562</v>
      </c>
      <c r="C5748" s="82" t="str">
        <f>VLOOKUP($B$7:$B$5000,SUM!$L$6:$L$500,1,FALSE)</f>
        <v>#VALUE!</v>
      </c>
      <c r="D5748" s="288" t="s">
        <v>9551</v>
      </c>
      <c r="E5748" s="191" t="s">
        <v>58</v>
      </c>
      <c r="F5748" s="199" t="s">
        <v>9552</v>
      </c>
      <c r="G5748" s="191" t="s">
        <v>5443</v>
      </c>
      <c r="H5748" s="303" t="s">
        <v>9563</v>
      </c>
      <c r="I5748" s="197" t="s">
        <v>9554</v>
      </c>
      <c r="J5748" s="148" t="s">
        <v>108</v>
      </c>
      <c r="K5748" s="148" t="s">
        <v>64</v>
      </c>
      <c r="L5748" s="148" t="s">
        <v>65</v>
      </c>
      <c r="M5748" s="148" t="s">
        <v>66</v>
      </c>
      <c r="N5748" s="285">
        <v>46258.0</v>
      </c>
      <c r="O5748" s="148" t="s">
        <v>9328</v>
      </c>
      <c r="P5748" s="148" t="s">
        <v>68</v>
      </c>
      <c r="Q5748" s="103"/>
      <c r="R5748" s="103"/>
      <c r="S5748" s="103"/>
      <c r="T5748" s="103"/>
      <c r="U5748" s="148" t="s">
        <v>28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1">
        <f t="shared" si="1"/>
        <v>5743</v>
      </c>
      <c r="B5749" s="97" t="s">
        <v>9564</v>
      </c>
      <c r="C5749" s="82" t="str">
        <f>VLOOKUP($B$7:$B$5000,SUM!$L$6:$L$500,1,FALSE)</f>
        <v>#VALUE!</v>
      </c>
      <c r="D5749" s="288" t="s">
        <v>9551</v>
      </c>
      <c r="E5749" s="191" t="s">
        <v>58</v>
      </c>
      <c r="F5749" s="199" t="s">
        <v>9552</v>
      </c>
      <c r="G5749" s="191" t="s">
        <v>5443</v>
      </c>
      <c r="H5749" s="303" t="s">
        <v>9565</v>
      </c>
      <c r="I5749" s="197" t="s">
        <v>9554</v>
      </c>
      <c r="J5749" s="148" t="s">
        <v>108</v>
      </c>
      <c r="K5749" s="148" t="s">
        <v>64</v>
      </c>
      <c r="L5749" s="148" t="s">
        <v>65</v>
      </c>
      <c r="M5749" s="148" t="s">
        <v>66</v>
      </c>
      <c r="N5749" s="285">
        <v>46258.0</v>
      </c>
      <c r="O5749" s="148" t="s">
        <v>9328</v>
      </c>
      <c r="P5749" s="148" t="s">
        <v>68</v>
      </c>
      <c r="Q5749" s="103"/>
      <c r="R5749" s="103"/>
      <c r="S5749" s="103"/>
      <c r="T5749" s="103"/>
      <c r="U5749" s="148" t="s">
        <v>28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1">
        <f t="shared" si="1"/>
        <v>5744</v>
      </c>
      <c r="B5750" s="97" t="s">
        <v>9566</v>
      </c>
      <c r="C5750" s="82" t="str">
        <f>VLOOKUP($B$7:$B$5000,SUM!$L$6:$L$500,1,FALSE)</f>
        <v>#VALUE!</v>
      </c>
      <c r="D5750" s="288" t="s">
        <v>9551</v>
      </c>
      <c r="E5750" s="191" t="s">
        <v>58</v>
      </c>
      <c r="F5750" s="199" t="s">
        <v>9552</v>
      </c>
      <c r="G5750" s="191" t="s">
        <v>5443</v>
      </c>
      <c r="H5750" s="303" t="s">
        <v>9567</v>
      </c>
      <c r="I5750" s="197" t="s">
        <v>9554</v>
      </c>
      <c r="J5750" s="148" t="s">
        <v>108</v>
      </c>
      <c r="K5750" s="148" t="s">
        <v>64</v>
      </c>
      <c r="L5750" s="148" t="s">
        <v>65</v>
      </c>
      <c r="M5750" s="148" t="s">
        <v>66</v>
      </c>
      <c r="N5750" s="285">
        <v>46258.0</v>
      </c>
      <c r="O5750" s="148" t="s">
        <v>9328</v>
      </c>
      <c r="P5750" s="148" t="s">
        <v>68</v>
      </c>
      <c r="Q5750" s="103"/>
      <c r="R5750" s="103"/>
      <c r="S5750" s="103"/>
      <c r="T5750" s="103"/>
      <c r="U5750" s="148" t="s">
        <v>28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1">
        <f t="shared" si="1"/>
        <v>5745</v>
      </c>
      <c r="B5751" s="97" t="s">
        <v>9568</v>
      </c>
      <c r="C5751" s="82" t="str">
        <f>VLOOKUP($B$7:$B$5000,SUM!$L$6:$L$500,1,FALSE)</f>
        <v>#VALUE!</v>
      </c>
      <c r="D5751" s="288" t="s">
        <v>9551</v>
      </c>
      <c r="E5751" s="191" t="s">
        <v>58</v>
      </c>
      <c r="F5751" s="199" t="s">
        <v>9552</v>
      </c>
      <c r="G5751" s="191" t="s">
        <v>5443</v>
      </c>
      <c r="H5751" s="303" t="s">
        <v>9569</v>
      </c>
      <c r="I5751" s="197" t="s">
        <v>9554</v>
      </c>
      <c r="J5751" s="148" t="s">
        <v>108</v>
      </c>
      <c r="K5751" s="148" t="s">
        <v>64</v>
      </c>
      <c r="L5751" s="148" t="s">
        <v>65</v>
      </c>
      <c r="M5751" s="148" t="s">
        <v>66</v>
      </c>
      <c r="N5751" s="285">
        <v>46258.0</v>
      </c>
      <c r="O5751" s="148" t="s">
        <v>9328</v>
      </c>
      <c r="P5751" s="148" t="s">
        <v>68</v>
      </c>
      <c r="Q5751" s="103"/>
      <c r="R5751" s="103"/>
      <c r="S5751" s="103"/>
      <c r="T5751" s="103"/>
      <c r="U5751" s="148" t="s">
        <v>28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1">
        <f t="shared" si="1"/>
        <v>5746</v>
      </c>
      <c r="B5752" s="97" t="s">
        <v>9570</v>
      </c>
      <c r="C5752" s="82" t="str">
        <f>VLOOKUP($B$7:$B$5000,SUM!$L$6:$L$500,1,FALSE)</f>
        <v>#VALUE!</v>
      </c>
      <c r="D5752" s="288" t="s">
        <v>9551</v>
      </c>
      <c r="E5752" s="191" t="s">
        <v>58</v>
      </c>
      <c r="F5752" s="199" t="s">
        <v>9552</v>
      </c>
      <c r="G5752" s="191" t="s">
        <v>5443</v>
      </c>
      <c r="H5752" s="303" t="s">
        <v>9571</v>
      </c>
      <c r="I5752" s="197" t="s">
        <v>9554</v>
      </c>
      <c r="J5752" s="148" t="s">
        <v>108</v>
      </c>
      <c r="K5752" s="148" t="s">
        <v>64</v>
      </c>
      <c r="L5752" s="148" t="s">
        <v>65</v>
      </c>
      <c r="M5752" s="148" t="s">
        <v>66</v>
      </c>
      <c r="N5752" s="285">
        <v>46258.0</v>
      </c>
      <c r="O5752" s="148" t="s">
        <v>9328</v>
      </c>
      <c r="P5752" s="148" t="s">
        <v>68</v>
      </c>
      <c r="Q5752" s="103"/>
      <c r="R5752" s="103"/>
      <c r="S5752" s="103"/>
      <c r="T5752" s="103"/>
      <c r="U5752" s="148" t="s">
        <v>28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1">
        <f t="shared" si="1"/>
        <v>5747</v>
      </c>
      <c r="B5753" s="97" t="s">
        <v>9572</v>
      </c>
      <c r="C5753" s="82" t="str">
        <f>VLOOKUP($B$7:$B$5000,SUM!$L$6:$L$500,1,FALSE)</f>
        <v>#VALUE!</v>
      </c>
      <c r="D5753" s="288" t="s">
        <v>9551</v>
      </c>
      <c r="E5753" s="191" t="s">
        <v>58</v>
      </c>
      <c r="F5753" s="199" t="s">
        <v>9552</v>
      </c>
      <c r="G5753" s="191" t="s">
        <v>5443</v>
      </c>
      <c r="H5753" s="303" t="s">
        <v>9573</v>
      </c>
      <c r="I5753" s="197" t="s">
        <v>9554</v>
      </c>
      <c r="J5753" s="148" t="s">
        <v>108</v>
      </c>
      <c r="K5753" s="148" t="s">
        <v>64</v>
      </c>
      <c r="L5753" s="148" t="s">
        <v>65</v>
      </c>
      <c r="M5753" s="148" t="s">
        <v>66</v>
      </c>
      <c r="N5753" s="285">
        <v>46258.0</v>
      </c>
      <c r="O5753" s="148" t="s">
        <v>9328</v>
      </c>
      <c r="P5753" s="148" t="s">
        <v>68</v>
      </c>
      <c r="Q5753" s="103"/>
      <c r="R5753" s="103"/>
      <c r="S5753" s="103"/>
      <c r="T5753" s="103"/>
      <c r="U5753" s="148" t="s">
        <v>28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1">
        <f t="shared" si="1"/>
        <v>5748</v>
      </c>
      <c r="B5754" s="97" t="s">
        <v>9574</v>
      </c>
      <c r="C5754" s="82" t="str">
        <f>VLOOKUP($B$7:$B$5000,SUM!$L$6:$L$500,1,FALSE)</f>
        <v>#VALUE!</v>
      </c>
      <c r="D5754" s="288" t="s">
        <v>9551</v>
      </c>
      <c r="E5754" s="191" t="s">
        <v>58</v>
      </c>
      <c r="F5754" s="199" t="s">
        <v>9552</v>
      </c>
      <c r="G5754" s="191" t="s">
        <v>5443</v>
      </c>
      <c r="H5754" s="303" t="s">
        <v>9575</v>
      </c>
      <c r="I5754" s="197" t="s">
        <v>9554</v>
      </c>
      <c r="J5754" s="148" t="s">
        <v>108</v>
      </c>
      <c r="K5754" s="148" t="s">
        <v>64</v>
      </c>
      <c r="L5754" s="148" t="s">
        <v>65</v>
      </c>
      <c r="M5754" s="148" t="s">
        <v>66</v>
      </c>
      <c r="N5754" s="285">
        <v>46258.0</v>
      </c>
      <c r="O5754" s="148" t="s">
        <v>9328</v>
      </c>
      <c r="P5754" s="148" t="s">
        <v>68</v>
      </c>
      <c r="Q5754" s="103"/>
      <c r="R5754" s="103"/>
      <c r="S5754" s="103"/>
      <c r="T5754" s="103"/>
      <c r="U5754" s="148" t="s">
        <v>28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1">
        <f t="shared" si="1"/>
        <v>5749</v>
      </c>
      <c r="B5755" s="97" t="s">
        <v>9576</v>
      </c>
      <c r="C5755" s="82" t="str">
        <f>VLOOKUP($B$7:$B$5000,SUM!$L$6:$L$500,1,FALSE)</f>
        <v>#VALUE!</v>
      </c>
      <c r="D5755" s="288" t="s">
        <v>9551</v>
      </c>
      <c r="E5755" s="191" t="s">
        <v>58</v>
      </c>
      <c r="F5755" s="199" t="s">
        <v>9552</v>
      </c>
      <c r="G5755" s="191" t="s">
        <v>5443</v>
      </c>
      <c r="H5755" s="303" t="s">
        <v>9577</v>
      </c>
      <c r="I5755" s="197" t="s">
        <v>9554</v>
      </c>
      <c r="J5755" s="148" t="s">
        <v>108</v>
      </c>
      <c r="K5755" s="148" t="s">
        <v>64</v>
      </c>
      <c r="L5755" s="148" t="s">
        <v>65</v>
      </c>
      <c r="M5755" s="148" t="s">
        <v>66</v>
      </c>
      <c r="N5755" s="285">
        <v>46258.0</v>
      </c>
      <c r="O5755" s="148" t="s">
        <v>9328</v>
      </c>
      <c r="P5755" s="148" t="s">
        <v>68</v>
      </c>
      <c r="Q5755" s="103"/>
      <c r="R5755" s="103"/>
      <c r="S5755" s="103"/>
      <c r="T5755" s="103"/>
      <c r="U5755" s="148" t="s">
        <v>28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1">
        <f t="shared" si="1"/>
        <v>5750</v>
      </c>
      <c r="B5756" s="97" t="s">
        <v>9578</v>
      </c>
      <c r="C5756" s="82" t="str">
        <f>VLOOKUP($B$7:$B$5000,SUM!$L$6:$L$500,1,FALSE)</f>
        <v>#VALUE!</v>
      </c>
      <c r="D5756" s="288" t="s">
        <v>9551</v>
      </c>
      <c r="E5756" s="191" t="s">
        <v>58</v>
      </c>
      <c r="F5756" s="199" t="s">
        <v>9552</v>
      </c>
      <c r="G5756" s="191" t="s">
        <v>5443</v>
      </c>
      <c r="H5756" s="303" t="s">
        <v>9579</v>
      </c>
      <c r="I5756" s="197" t="s">
        <v>9554</v>
      </c>
      <c r="J5756" s="148" t="s">
        <v>108</v>
      </c>
      <c r="K5756" s="148" t="s">
        <v>64</v>
      </c>
      <c r="L5756" s="148" t="s">
        <v>65</v>
      </c>
      <c r="M5756" s="148" t="s">
        <v>66</v>
      </c>
      <c r="N5756" s="285">
        <v>46258.0</v>
      </c>
      <c r="O5756" s="148" t="s">
        <v>9328</v>
      </c>
      <c r="P5756" s="148" t="s">
        <v>68</v>
      </c>
      <c r="Q5756" s="103"/>
      <c r="R5756" s="103"/>
      <c r="S5756" s="103"/>
      <c r="T5756" s="103"/>
      <c r="U5756" s="148" t="s">
        <v>28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1">
        <f t="shared" si="1"/>
        <v>5751</v>
      </c>
      <c r="B5757" s="97" t="s">
        <v>9580</v>
      </c>
      <c r="C5757" s="82" t="str">
        <f>VLOOKUP($B$7:$B$5000,SUM!$L$6:$L$500,1,FALSE)</f>
        <v>#VALUE!</v>
      </c>
      <c r="D5757" s="288" t="s">
        <v>9551</v>
      </c>
      <c r="E5757" s="191" t="s">
        <v>58</v>
      </c>
      <c r="F5757" s="199" t="s">
        <v>9552</v>
      </c>
      <c r="G5757" s="191" t="s">
        <v>5443</v>
      </c>
      <c r="H5757" s="303" t="s">
        <v>9581</v>
      </c>
      <c r="I5757" s="197" t="s">
        <v>9554</v>
      </c>
      <c r="J5757" s="148" t="s">
        <v>108</v>
      </c>
      <c r="K5757" s="148" t="s">
        <v>64</v>
      </c>
      <c r="L5757" s="148" t="s">
        <v>65</v>
      </c>
      <c r="M5757" s="148" t="s">
        <v>66</v>
      </c>
      <c r="N5757" s="285">
        <v>46258.0</v>
      </c>
      <c r="O5757" s="148" t="s">
        <v>9328</v>
      </c>
      <c r="P5757" s="148" t="s">
        <v>68</v>
      </c>
      <c r="Q5757" s="103"/>
      <c r="R5757" s="103"/>
      <c r="S5757" s="103"/>
      <c r="T5757" s="103"/>
      <c r="U5757" s="148" t="s">
        <v>28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1">
        <f t="shared" si="1"/>
        <v>5752</v>
      </c>
      <c r="B5758" s="97" t="s">
        <v>9582</v>
      </c>
      <c r="C5758" s="82" t="str">
        <f>VLOOKUP($B$7:$B$5000,SUM!$L$6:$L$500,1,FALSE)</f>
        <v>#VALUE!</v>
      </c>
      <c r="D5758" s="288" t="s">
        <v>9551</v>
      </c>
      <c r="E5758" s="191" t="s">
        <v>58</v>
      </c>
      <c r="F5758" s="199" t="s">
        <v>9552</v>
      </c>
      <c r="G5758" s="191" t="s">
        <v>5443</v>
      </c>
      <c r="H5758" s="303" t="s">
        <v>9583</v>
      </c>
      <c r="I5758" s="197" t="s">
        <v>9554</v>
      </c>
      <c r="J5758" s="148" t="s">
        <v>108</v>
      </c>
      <c r="K5758" s="148" t="s">
        <v>64</v>
      </c>
      <c r="L5758" s="148" t="s">
        <v>65</v>
      </c>
      <c r="M5758" s="148" t="s">
        <v>66</v>
      </c>
      <c r="N5758" s="285">
        <v>46258.0</v>
      </c>
      <c r="O5758" s="148" t="s">
        <v>9328</v>
      </c>
      <c r="P5758" s="148" t="s">
        <v>68</v>
      </c>
      <c r="Q5758" s="103"/>
      <c r="R5758" s="103"/>
      <c r="S5758" s="103"/>
      <c r="T5758" s="103"/>
      <c r="U5758" s="148" t="s">
        <v>28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1">
        <f t="shared" si="1"/>
        <v>5753</v>
      </c>
      <c r="B5759" s="97" t="s">
        <v>9584</v>
      </c>
      <c r="C5759" s="82" t="str">
        <f>VLOOKUP($B$7:$B$5000,SUM!$L$6:$L$500,1,FALSE)</f>
        <v>#VALUE!</v>
      </c>
      <c r="D5759" s="288" t="s">
        <v>9551</v>
      </c>
      <c r="E5759" s="191" t="s">
        <v>58</v>
      </c>
      <c r="F5759" s="199" t="s">
        <v>9552</v>
      </c>
      <c r="G5759" s="191" t="s">
        <v>5443</v>
      </c>
      <c r="H5759" s="303" t="s">
        <v>9585</v>
      </c>
      <c r="I5759" s="270" t="s">
        <v>9554</v>
      </c>
      <c r="J5759" s="148" t="s">
        <v>108</v>
      </c>
      <c r="K5759" s="148" t="s">
        <v>64</v>
      </c>
      <c r="L5759" s="148" t="s">
        <v>65</v>
      </c>
      <c r="M5759" s="148" t="s">
        <v>66</v>
      </c>
      <c r="N5759" s="285">
        <v>46258.0</v>
      </c>
      <c r="O5759" s="148" t="s">
        <v>9328</v>
      </c>
      <c r="P5759" s="148" t="s">
        <v>68</v>
      </c>
      <c r="Q5759" s="103"/>
      <c r="R5759" s="103"/>
      <c r="S5759" s="103"/>
      <c r="T5759" s="103"/>
      <c r="U5759" s="148" t="s">
        <v>28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1">
        <f t="shared" si="1"/>
        <v>5754</v>
      </c>
      <c r="B5760" s="97" t="s">
        <v>9586</v>
      </c>
      <c r="C5760" s="82" t="str">
        <f>VLOOKUP($B$7:$B$5000,SUM!$L$6:$L$500,1,FALSE)</f>
        <v>#VALUE!</v>
      </c>
      <c r="D5760" s="271" t="s">
        <v>9587</v>
      </c>
      <c r="E5760" s="191" t="s">
        <v>58</v>
      </c>
      <c r="F5760" s="148" t="s">
        <v>9269</v>
      </c>
      <c r="G5760" s="189" t="s">
        <v>9450</v>
      </c>
      <c r="H5760" s="303" t="s">
        <v>9588</v>
      </c>
      <c r="I5760" s="270" t="s">
        <v>9283</v>
      </c>
      <c r="J5760" s="148" t="s">
        <v>63</v>
      </c>
      <c r="K5760" s="148" t="s">
        <v>9589</v>
      </c>
      <c r="L5760" s="148" t="s">
        <v>65</v>
      </c>
      <c r="M5760" s="148" t="s">
        <v>66</v>
      </c>
      <c r="N5760" s="285">
        <v>46258.0</v>
      </c>
      <c r="O5760" s="148" t="s">
        <v>9328</v>
      </c>
      <c r="P5760" s="148" t="s">
        <v>68</v>
      </c>
      <c r="Q5760" s="103"/>
      <c r="R5760" s="103"/>
      <c r="S5760" s="103"/>
      <c r="T5760" s="103"/>
      <c r="U5760" s="148" t="s">
        <v>28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1">
        <f t="shared" si="1"/>
        <v>5755</v>
      </c>
      <c r="B5761" s="97" t="s">
        <v>9590</v>
      </c>
      <c r="C5761" s="82" t="str">
        <f>VLOOKUP($B$7:$B$5000,SUM!$L$6:$L$500,1,FALSE)</f>
        <v>#VALUE!</v>
      </c>
      <c r="D5761" s="271" t="s">
        <v>9587</v>
      </c>
      <c r="E5761" s="191" t="s">
        <v>58</v>
      </c>
      <c r="F5761" s="148" t="s">
        <v>9269</v>
      </c>
      <c r="G5761" s="189" t="s">
        <v>9450</v>
      </c>
      <c r="H5761" s="303" t="s">
        <v>9591</v>
      </c>
      <c r="I5761" s="270" t="s">
        <v>9283</v>
      </c>
      <c r="J5761" s="148" t="s">
        <v>63</v>
      </c>
      <c r="K5761" s="148" t="s">
        <v>9589</v>
      </c>
      <c r="L5761" s="148" t="s">
        <v>65</v>
      </c>
      <c r="M5761" s="148" t="s">
        <v>66</v>
      </c>
      <c r="N5761" s="285">
        <v>46258.0</v>
      </c>
      <c r="O5761" s="148" t="s">
        <v>9328</v>
      </c>
      <c r="P5761" s="148" t="s">
        <v>68</v>
      </c>
      <c r="Q5761" s="103"/>
      <c r="R5761" s="103"/>
      <c r="S5761" s="103"/>
      <c r="T5761" s="103"/>
      <c r="U5761" s="148" t="s">
        <v>28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1">
        <f t="shared" si="1"/>
        <v>5756</v>
      </c>
      <c r="B5762" s="97" t="s">
        <v>9592</v>
      </c>
      <c r="C5762" s="82" t="str">
        <f>VLOOKUP($B$7:$B$5000,SUM!$L$6:$L$500,1,FALSE)</f>
        <v>#VALUE!</v>
      </c>
      <c r="D5762" s="271" t="s">
        <v>9593</v>
      </c>
      <c r="E5762" s="191" t="s">
        <v>58</v>
      </c>
      <c r="F5762" s="148" t="s">
        <v>9449</v>
      </c>
      <c r="G5762" s="189" t="s">
        <v>9450</v>
      </c>
      <c r="H5762" s="303" t="s">
        <v>9588</v>
      </c>
      <c r="I5762" s="270" t="s">
        <v>9594</v>
      </c>
      <c r="J5762" s="148" t="s">
        <v>63</v>
      </c>
      <c r="K5762" s="148" t="s">
        <v>9589</v>
      </c>
      <c r="L5762" s="148" t="s">
        <v>65</v>
      </c>
      <c r="M5762" s="148" t="s">
        <v>66</v>
      </c>
      <c r="N5762" s="285">
        <v>46258.0</v>
      </c>
      <c r="O5762" s="148" t="s">
        <v>9328</v>
      </c>
      <c r="P5762" s="148" t="s">
        <v>68</v>
      </c>
      <c r="Q5762" s="103"/>
      <c r="R5762" s="103"/>
      <c r="S5762" s="103"/>
      <c r="T5762" s="103"/>
      <c r="U5762" s="148" t="s">
        <v>28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1">
        <f t="shared" si="1"/>
        <v>5757</v>
      </c>
      <c r="B5763" s="97" t="s">
        <v>9595</v>
      </c>
      <c r="C5763" s="82" t="str">
        <f>VLOOKUP($B$7:$B$5000,SUM!$L$6:$L$500,1,FALSE)</f>
        <v>#VALUE!</v>
      </c>
      <c r="D5763" s="271" t="s">
        <v>9593</v>
      </c>
      <c r="E5763" s="191" t="s">
        <v>58</v>
      </c>
      <c r="F5763" s="148" t="s">
        <v>9449</v>
      </c>
      <c r="G5763" s="189" t="s">
        <v>9450</v>
      </c>
      <c r="H5763" s="303" t="s">
        <v>9591</v>
      </c>
      <c r="I5763" s="270" t="s">
        <v>9594</v>
      </c>
      <c r="J5763" s="148" t="s">
        <v>63</v>
      </c>
      <c r="K5763" s="148" t="s">
        <v>9589</v>
      </c>
      <c r="L5763" s="148" t="s">
        <v>65</v>
      </c>
      <c r="M5763" s="148" t="s">
        <v>66</v>
      </c>
      <c r="N5763" s="285">
        <v>46258.0</v>
      </c>
      <c r="O5763" s="148" t="s">
        <v>9328</v>
      </c>
      <c r="P5763" s="148" t="s">
        <v>68</v>
      </c>
      <c r="Q5763" s="103"/>
      <c r="R5763" s="103"/>
      <c r="S5763" s="103"/>
      <c r="T5763" s="103"/>
      <c r="U5763" s="148" t="s">
        <v>28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1">
        <f t="shared" si="1"/>
        <v>5758</v>
      </c>
      <c r="B5764" s="97" t="s">
        <v>9596</v>
      </c>
      <c r="C5764" s="82" t="str">
        <f>VLOOKUP($B$7:$B$5000,SUM!$L$6:$L$500,1,FALSE)</f>
        <v>#VALUE!</v>
      </c>
      <c r="D5764" s="271" t="s">
        <v>9597</v>
      </c>
      <c r="E5764" s="191" t="s">
        <v>58</v>
      </c>
      <c r="F5764" s="148" t="s">
        <v>9598</v>
      </c>
      <c r="G5764" s="189" t="s">
        <v>9599</v>
      </c>
      <c r="H5764" s="303" t="s">
        <v>9600</v>
      </c>
      <c r="I5764" s="270" t="s">
        <v>9601</v>
      </c>
      <c r="J5764" s="148" t="s">
        <v>63</v>
      </c>
      <c r="K5764" s="148" t="s">
        <v>9589</v>
      </c>
      <c r="L5764" s="148" t="s">
        <v>65</v>
      </c>
      <c r="M5764" s="148" t="s">
        <v>66</v>
      </c>
      <c r="N5764" s="285">
        <v>46259.0</v>
      </c>
      <c r="O5764" s="148" t="s">
        <v>9328</v>
      </c>
      <c r="P5764" s="148" t="s">
        <v>68</v>
      </c>
      <c r="Q5764" s="103"/>
      <c r="R5764" s="103"/>
      <c r="S5764" s="103"/>
      <c r="T5764" s="103"/>
      <c r="U5764" s="148" t="s">
        <v>28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1">
        <f t="shared" si="1"/>
        <v>5759</v>
      </c>
      <c r="B5765" s="97" t="s">
        <v>9602</v>
      </c>
      <c r="C5765" s="82" t="str">
        <f>VLOOKUP($B$7:$B$5000,SUM!$L$6:$L$500,1,FALSE)</f>
        <v>#VALUE!</v>
      </c>
      <c r="D5765" s="271" t="s">
        <v>9597</v>
      </c>
      <c r="E5765" s="191" t="s">
        <v>58</v>
      </c>
      <c r="F5765" s="148" t="s">
        <v>9598</v>
      </c>
      <c r="G5765" s="189" t="s">
        <v>9599</v>
      </c>
      <c r="H5765" s="303" t="s">
        <v>9603</v>
      </c>
      <c r="I5765" s="270" t="s">
        <v>9601</v>
      </c>
      <c r="J5765" s="148" t="s">
        <v>63</v>
      </c>
      <c r="K5765" s="148" t="s">
        <v>9589</v>
      </c>
      <c r="L5765" s="148" t="s">
        <v>65</v>
      </c>
      <c r="M5765" s="148" t="s">
        <v>66</v>
      </c>
      <c r="N5765" s="285">
        <v>46259.0</v>
      </c>
      <c r="O5765" s="148" t="s">
        <v>9328</v>
      </c>
      <c r="P5765" s="148" t="s">
        <v>68</v>
      </c>
      <c r="Q5765" s="103"/>
      <c r="R5765" s="103"/>
      <c r="S5765" s="103"/>
      <c r="T5765" s="103"/>
      <c r="U5765" s="148" t="s">
        <v>28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1">
        <f t="shared" si="1"/>
        <v>5760</v>
      </c>
      <c r="B5766" s="97" t="s">
        <v>9604</v>
      </c>
      <c r="C5766" s="82" t="str">
        <f>VLOOKUP($B$7:$B$5000,SUM!$L$6:$L$500,1,FALSE)</f>
        <v>#VALUE!</v>
      </c>
      <c r="D5766" s="305" t="s">
        <v>9605</v>
      </c>
      <c r="E5766" s="191" t="s">
        <v>58</v>
      </c>
      <c r="F5766" s="148" t="s">
        <v>9449</v>
      </c>
      <c r="G5766" s="191" t="s">
        <v>9450</v>
      </c>
      <c r="H5766" s="303" t="s">
        <v>9606</v>
      </c>
      <c r="I5766" s="270" t="s">
        <v>9594</v>
      </c>
      <c r="J5766" s="148" t="s">
        <v>63</v>
      </c>
      <c r="K5766" s="148" t="s">
        <v>9589</v>
      </c>
      <c r="L5766" s="148" t="s">
        <v>65</v>
      </c>
      <c r="M5766" s="148" t="s">
        <v>66</v>
      </c>
      <c r="N5766" s="285">
        <v>46262.0</v>
      </c>
      <c r="O5766" s="148" t="s">
        <v>9328</v>
      </c>
      <c r="P5766" s="148" t="s">
        <v>68</v>
      </c>
      <c r="Q5766" s="103"/>
      <c r="R5766" s="103"/>
      <c r="S5766" s="103"/>
      <c r="T5766" s="103"/>
      <c r="U5766" s="148" t="s">
        <v>28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1">
        <f t="shared" si="1"/>
        <v>5761</v>
      </c>
      <c r="B5767" s="97" t="s">
        <v>9607</v>
      </c>
      <c r="C5767" s="82" t="str">
        <f>VLOOKUP($B$7:$B$5000,SUM!$L$6:$L$500,1,FALSE)</f>
        <v>#VALUE!</v>
      </c>
      <c r="D5767" s="306" t="s">
        <v>9605</v>
      </c>
      <c r="E5767" s="191" t="s">
        <v>58</v>
      </c>
      <c r="F5767" s="148" t="s">
        <v>9449</v>
      </c>
      <c r="G5767" s="191" t="s">
        <v>9450</v>
      </c>
      <c r="H5767" s="303" t="s">
        <v>9608</v>
      </c>
      <c r="I5767" s="197" t="s">
        <v>9594</v>
      </c>
      <c r="J5767" s="148" t="s">
        <v>63</v>
      </c>
      <c r="K5767" s="148" t="s">
        <v>9589</v>
      </c>
      <c r="L5767" s="148" t="s">
        <v>65</v>
      </c>
      <c r="M5767" s="148" t="s">
        <v>66</v>
      </c>
      <c r="N5767" s="285">
        <v>46262.0</v>
      </c>
      <c r="O5767" s="148" t="s">
        <v>9328</v>
      </c>
      <c r="P5767" s="148" t="s">
        <v>68</v>
      </c>
      <c r="Q5767" s="103"/>
      <c r="R5767" s="103"/>
      <c r="S5767" s="103"/>
      <c r="T5767" s="103"/>
      <c r="U5767" s="148" t="s">
        <v>28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1">
        <f t="shared" si="1"/>
        <v>5762</v>
      </c>
      <c r="B5768" s="97" t="s">
        <v>9609</v>
      </c>
      <c r="C5768" s="82" t="str">
        <f>VLOOKUP($B$7:$B$5000,SUM!$L$6:$L$500,1,FALSE)</f>
        <v>#VALUE!</v>
      </c>
      <c r="D5768" s="306" t="s">
        <v>9610</v>
      </c>
      <c r="E5768" s="191" t="s">
        <v>58</v>
      </c>
      <c r="F5768" s="148" t="s">
        <v>9269</v>
      </c>
      <c r="G5768" s="189" t="s">
        <v>9611</v>
      </c>
      <c r="H5768" s="303" t="s">
        <v>9612</v>
      </c>
      <c r="I5768" s="197" t="s">
        <v>9283</v>
      </c>
      <c r="J5768" s="148" t="s">
        <v>63</v>
      </c>
      <c r="K5768" s="148" t="s">
        <v>9589</v>
      </c>
      <c r="L5768" s="148" t="s">
        <v>65</v>
      </c>
      <c r="M5768" s="148" t="s">
        <v>66</v>
      </c>
      <c r="N5768" s="285">
        <v>46262.0</v>
      </c>
      <c r="O5768" s="148" t="s">
        <v>9328</v>
      </c>
      <c r="P5768" s="148" t="s">
        <v>68</v>
      </c>
      <c r="Q5768" s="103"/>
      <c r="R5768" s="103"/>
      <c r="S5768" s="103"/>
      <c r="T5768" s="103"/>
      <c r="U5768" s="148" t="s">
        <v>28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1">
        <f t="shared" si="1"/>
        <v>5763</v>
      </c>
      <c r="B5769" s="97" t="s">
        <v>9613</v>
      </c>
      <c r="C5769" s="82" t="str">
        <f>VLOOKUP($B$7:$B$5000,SUM!$L$6:$L$500,1,FALSE)</f>
        <v>#VALUE!</v>
      </c>
      <c r="D5769" s="306" t="s">
        <v>9610</v>
      </c>
      <c r="E5769" s="191" t="s">
        <v>58</v>
      </c>
      <c r="F5769" s="199" t="s">
        <v>9269</v>
      </c>
      <c r="G5769" s="191" t="s">
        <v>9611</v>
      </c>
      <c r="H5769" s="303" t="s">
        <v>9614</v>
      </c>
      <c r="I5769" s="197" t="s">
        <v>9283</v>
      </c>
      <c r="J5769" s="148" t="s">
        <v>63</v>
      </c>
      <c r="K5769" s="148" t="s">
        <v>9589</v>
      </c>
      <c r="L5769" s="148" t="s">
        <v>65</v>
      </c>
      <c r="M5769" s="148" t="s">
        <v>66</v>
      </c>
      <c r="N5769" s="285">
        <v>46262.0</v>
      </c>
      <c r="O5769" s="148" t="s">
        <v>9328</v>
      </c>
      <c r="P5769" s="148" t="s">
        <v>68</v>
      </c>
      <c r="Q5769" s="103"/>
      <c r="R5769" s="103"/>
      <c r="S5769" s="103"/>
      <c r="T5769" s="103"/>
      <c r="U5769" s="148" t="s">
        <v>28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1">
        <f t="shared" si="1"/>
        <v>5764</v>
      </c>
      <c r="B5770" s="97" t="s">
        <v>9615</v>
      </c>
      <c r="C5770" s="82" t="str">
        <f>VLOOKUP($B$7:$B$5000,SUM!$L$6:$L$500,1,FALSE)</f>
        <v>#VALUE!</v>
      </c>
      <c r="D5770" s="306" t="s">
        <v>9610</v>
      </c>
      <c r="E5770" s="191" t="s">
        <v>58</v>
      </c>
      <c r="F5770" s="199" t="s">
        <v>9269</v>
      </c>
      <c r="G5770" s="191" t="s">
        <v>9611</v>
      </c>
      <c r="H5770" s="303" t="s">
        <v>9616</v>
      </c>
      <c r="I5770" s="197" t="s">
        <v>9283</v>
      </c>
      <c r="J5770" s="148" t="s">
        <v>63</v>
      </c>
      <c r="K5770" s="148" t="s">
        <v>9589</v>
      </c>
      <c r="L5770" s="148" t="s">
        <v>65</v>
      </c>
      <c r="M5770" s="148" t="s">
        <v>66</v>
      </c>
      <c r="N5770" s="285">
        <v>46262.0</v>
      </c>
      <c r="O5770" s="148" t="s">
        <v>9328</v>
      </c>
      <c r="P5770" s="148" t="s">
        <v>68</v>
      </c>
      <c r="Q5770" s="103"/>
      <c r="R5770" s="103"/>
      <c r="S5770" s="103"/>
      <c r="T5770" s="103"/>
      <c r="U5770" s="148" t="s">
        <v>28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1">
        <f t="shared" si="1"/>
        <v>5765</v>
      </c>
      <c r="B5771" s="97" t="s">
        <v>9617</v>
      </c>
      <c r="C5771" s="82" t="str">
        <f>VLOOKUP($B$7:$B$5000,SUM!$L$6:$L$500,1,FALSE)</f>
        <v>#VALUE!</v>
      </c>
      <c r="D5771" s="306" t="s">
        <v>9610</v>
      </c>
      <c r="E5771" s="191" t="s">
        <v>58</v>
      </c>
      <c r="F5771" s="199" t="s">
        <v>9269</v>
      </c>
      <c r="G5771" s="191" t="s">
        <v>9611</v>
      </c>
      <c r="H5771" s="303" t="s">
        <v>9618</v>
      </c>
      <c r="I5771" s="270" t="s">
        <v>9283</v>
      </c>
      <c r="J5771" s="148" t="s">
        <v>63</v>
      </c>
      <c r="K5771" s="148" t="s">
        <v>9589</v>
      </c>
      <c r="L5771" s="148" t="s">
        <v>65</v>
      </c>
      <c r="M5771" s="148" t="s">
        <v>66</v>
      </c>
      <c r="N5771" s="285">
        <v>46262.0</v>
      </c>
      <c r="O5771" s="148" t="s">
        <v>9328</v>
      </c>
      <c r="P5771" s="148" t="s">
        <v>68</v>
      </c>
      <c r="Q5771" s="103"/>
      <c r="R5771" s="103"/>
      <c r="S5771" s="103"/>
      <c r="T5771" s="103"/>
      <c r="U5771" s="148" t="s">
        <v>28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1">
        <f t="shared" si="1"/>
        <v>5766</v>
      </c>
      <c r="B5772" s="97" t="s">
        <v>9619</v>
      </c>
      <c r="C5772" s="82" t="str">
        <f>VLOOKUP($B$7:$B$5000,SUM!$L$6:$L$500,1,FALSE)</f>
        <v>#VALUE!</v>
      </c>
      <c r="D5772" s="306" t="s">
        <v>9620</v>
      </c>
      <c r="E5772" s="191" t="s">
        <v>58</v>
      </c>
      <c r="F5772" s="199" t="s">
        <v>9269</v>
      </c>
      <c r="G5772" s="191" t="s">
        <v>9611</v>
      </c>
      <c r="H5772" s="303" t="s">
        <v>9621</v>
      </c>
      <c r="I5772" s="270" t="s">
        <v>9283</v>
      </c>
      <c r="J5772" s="148" t="s">
        <v>63</v>
      </c>
      <c r="K5772" s="148" t="s">
        <v>9589</v>
      </c>
      <c r="L5772" s="148" t="s">
        <v>65</v>
      </c>
      <c r="M5772" s="148" t="s">
        <v>66</v>
      </c>
      <c r="N5772" s="285">
        <v>46263.0</v>
      </c>
      <c r="O5772" s="148" t="s">
        <v>9328</v>
      </c>
      <c r="P5772" s="148" t="s">
        <v>68</v>
      </c>
      <c r="Q5772" s="103"/>
      <c r="R5772" s="103"/>
      <c r="S5772" s="103"/>
      <c r="T5772" s="103"/>
      <c r="U5772" s="148" t="s">
        <v>28</v>
      </c>
      <c r="V5772" s="9"/>
      <c r="W5772" s="9"/>
      <c r="X5772" s="9"/>
      <c r="Y5772" s="9"/>
      <c r="Z5772" s="9"/>
      <c r="AA5772" s="9"/>
      <c r="AB5772" s="9"/>
    </row>
    <row r="5773" ht="18.0" customHeight="1">
      <c r="A5773" s="131">
        <f t="shared" si="1"/>
        <v>5767</v>
      </c>
      <c r="B5773" s="97" t="s">
        <v>9622</v>
      </c>
      <c r="C5773" s="82" t="str">
        <f>VLOOKUP($B$7:$B$5000,SUM!$L$6:$L$500,1,FALSE)</f>
        <v>#VALUE!</v>
      </c>
      <c r="D5773" s="306" t="s">
        <v>9620</v>
      </c>
      <c r="E5773" s="191" t="s">
        <v>58</v>
      </c>
      <c r="F5773" s="199" t="s">
        <v>9269</v>
      </c>
      <c r="G5773" s="191" t="s">
        <v>9611</v>
      </c>
      <c r="H5773" s="303" t="s">
        <v>9623</v>
      </c>
      <c r="I5773" s="270" t="s">
        <v>9283</v>
      </c>
      <c r="J5773" s="148" t="s">
        <v>63</v>
      </c>
      <c r="K5773" s="148" t="s">
        <v>9589</v>
      </c>
      <c r="L5773" s="148" t="s">
        <v>65</v>
      </c>
      <c r="M5773" s="148" t="s">
        <v>66</v>
      </c>
      <c r="N5773" s="285">
        <v>46263.0</v>
      </c>
      <c r="O5773" s="148" t="s">
        <v>9328</v>
      </c>
      <c r="P5773" s="148" t="s">
        <v>68</v>
      </c>
      <c r="Q5773" s="103"/>
      <c r="R5773" s="103"/>
      <c r="S5773" s="103"/>
      <c r="T5773" s="103"/>
      <c r="U5773" s="148" t="s">
        <v>28</v>
      </c>
      <c r="V5773" s="9"/>
      <c r="W5773" s="9"/>
      <c r="X5773" s="9"/>
      <c r="Y5773" s="9"/>
      <c r="Z5773" s="9"/>
      <c r="AA5773" s="9"/>
      <c r="AB5773" s="9"/>
    </row>
    <row r="5774" ht="18.0" customHeight="1">
      <c r="A5774" s="131">
        <f t="shared" si="1"/>
        <v>5768</v>
      </c>
      <c r="B5774" s="97" t="s">
        <v>9624</v>
      </c>
      <c r="C5774" s="82" t="str">
        <f>VLOOKUP($B$7:$B$5000,SUM!$L$6:$L$500,1,FALSE)</f>
        <v>#VALUE!</v>
      </c>
      <c r="D5774" s="306" t="s">
        <v>9620</v>
      </c>
      <c r="E5774" s="191" t="s">
        <v>58</v>
      </c>
      <c r="F5774" s="199" t="s">
        <v>9269</v>
      </c>
      <c r="G5774" s="191" t="s">
        <v>9611</v>
      </c>
      <c r="H5774" s="303" t="s">
        <v>9625</v>
      </c>
      <c r="I5774" s="270" t="s">
        <v>9283</v>
      </c>
      <c r="J5774" s="148" t="s">
        <v>63</v>
      </c>
      <c r="K5774" s="148" t="s">
        <v>9589</v>
      </c>
      <c r="L5774" s="148" t="s">
        <v>65</v>
      </c>
      <c r="M5774" s="148" t="s">
        <v>66</v>
      </c>
      <c r="N5774" s="285">
        <v>46263.0</v>
      </c>
      <c r="O5774" s="148" t="s">
        <v>9328</v>
      </c>
      <c r="P5774" s="148" t="s">
        <v>68</v>
      </c>
      <c r="Q5774" s="103"/>
      <c r="R5774" s="103"/>
      <c r="S5774" s="103"/>
      <c r="T5774" s="103"/>
      <c r="U5774" s="148" t="s">
        <v>28</v>
      </c>
      <c r="V5774" s="9"/>
      <c r="W5774" s="9"/>
      <c r="X5774" s="9"/>
      <c r="Y5774" s="9"/>
      <c r="Z5774" s="9"/>
      <c r="AA5774" s="9"/>
      <c r="AB5774" s="9"/>
    </row>
    <row r="5775" ht="18.0" customHeight="1">
      <c r="A5775" s="131">
        <f t="shared" si="1"/>
        <v>5769</v>
      </c>
      <c r="B5775" s="97" t="s">
        <v>9626</v>
      </c>
      <c r="C5775" s="82" t="str">
        <f>VLOOKUP($B$7:$B$5000,SUM!$L$6:$L$500,1,FALSE)</f>
        <v>#VALUE!</v>
      </c>
      <c r="D5775" s="306" t="s">
        <v>9620</v>
      </c>
      <c r="E5775" s="191" t="s">
        <v>58</v>
      </c>
      <c r="F5775" s="199" t="s">
        <v>9269</v>
      </c>
      <c r="G5775" s="191" t="s">
        <v>9611</v>
      </c>
      <c r="H5775" s="303" t="s">
        <v>9627</v>
      </c>
      <c r="I5775" s="270" t="s">
        <v>9283</v>
      </c>
      <c r="J5775" s="148" t="s">
        <v>63</v>
      </c>
      <c r="K5775" s="148" t="s">
        <v>9589</v>
      </c>
      <c r="L5775" s="148" t="s">
        <v>65</v>
      </c>
      <c r="M5775" s="148" t="s">
        <v>66</v>
      </c>
      <c r="N5775" s="285">
        <v>46263.0</v>
      </c>
      <c r="O5775" s="148" t="s">
        <v>9328</v>
      </c>
      <c r="P5775" s="148" t="s">
        <v>68</v>
      </c>
      <c r="Q5775" s="103"/>
      <c r="R5775" s="103"/>
      <c r="S5775" s="103"/>
      <c r="T5775" s="103"/>
      <c r="U5775" s="148" t="s">
        <v>28</v>
      </c>
      <c r="V5775" s="9"/>
      <c r="W5775" s="9"/>
      <c r="X5775" s="9"/>
      <c r="Y5775" s="9"/>
      <c r="Z5775" s="9"/>
      <c r="AA5775" s="9"/>
      <c r="AB5775" s="9"/>
    </row>
    <row r="5776" ht="18.0" customHeight="1">
      <c r="A5776" s="131">
        <f t="shared" si="1"/>
        <v>5770</v>
      </c>
      <c r="B5776" s="97" t="s">
        <v>9628</v>
      </c>
      <c r="C5776" s="82" t="str">
        <f>VLOOKUP($B$7:$B$5000,SUM!$L$6:$L$500,1,FALSE)</f>
        <v>#VALUE!</v>
      </c>
      <c r="D5776" s="306" t="s">
        <v>9620</v>
      </c>
      <c r="E5776" s="191" t="s">
        <v>58</v>
      </c>
      <c r="F5776" s="199" t="s">
        <v>9269</v>
      </c>
      <c r="G5776" s="191" t="s">
        <v>9611</v>
      </c>
      <c r="H5776" s="243" t="s">
        <v>9629</v>
      </c>
      <c r="I5776" s="270" t="s">
        <v>9283</v>
      </c>
      <c r="J5776" s="148" t="s">
        <v>63</v>
      </c>
      <c r="K5776" s="148" t="s">
        <v>9589</v>
      </c>
      <c r="L5776" s="148" t="s">
        <v>65</v>
      </c>
      <c r="M5776" s="148" t="s">
        <v>66</v>
      </c>
      <c r="N5776" s="285">
        <v>46263.0</v>
      </c>
      <c r="O5776" s="148" t="s">
        <v>9328</v>
      </c>
      <c r="P5776" s="148" t="s">
        <v>68</v>
      </c>
      <c r="Q5776" s="103"/>
      <c r="R5776" s="103"/>
      <c r="S5776" s="103"/>
      <c r="T5776" s="103"/>
      <c r="U5776" s="148" t="s">
        <v>28</v>
      </c>
      <c r="V5776" s="9"/>
      <c r="W5776" s="9"/>
      <c r="X5776" s="9"/>
      <c r="Y5776" s="9"/>
      <c r="Z5776" s="9"/>
      <c r="AA5776" s="9"/>
      <c r="AB5776" s="9"/>
    </row>
    <row r="5777" ht="18.0" customHeight="1">
      <c r="A5777" s="131">
        <f t="shared" si="1"/>
        <v>5771</v>
      </c>
      <c r="B5777" s="97" t="s">
        <v>9630</v>
      </c>
      <c r="C5777" s="82" t="str">
        <f>VLOOKUP($B$7:$B$5000,SUM!$L$6:$L$500,1,FALSE)</f>
        <v>#VALUE!</v>
      </c>
      <c r="D5777" s="306" t="s">
        <v>9631</v>
      </c>
      <c r="E5777" s="191" t="s">
        <v>58</v>
      </c>
      <c r="F5777" s="148" t="s">
        <v>9449</v>
      </c>
      <c r="G5777" s="191" t="s">
        <v>9611</v>
      </c>
      <c r="H5777" s="243" t="s">
        <v>9629</v>
      </c>
      <c r="I5777" s="270" t="s">
        <v>9594</v>
      </c>
      <c r="J5777" s="148" t="s">
        <v>63</v>
      </c>
      <c r="K5777" s="148" t="s">
        <v>9589</v>
      </c>
      <c r="L5777" s="148" t="s">
        <v>65</v>
      </c>
      <c r="M5777" s="148" t="s">
        <v>66</v>
      </c>
      <c r="N5777" s="285">
        <v>46263.0</v>
      </c>
      <c r="O5777" s="148" t="s">
        <v>9328</v>
      </c>
      <c r="P5777" s="148" t="s">
        <v>68</v>
      </c>
      <c r="Q5777" s="103"/>
      <c r="R5777" s="103"/>
      <c r="S5777" s="103"/>
      <c r="T5777" s="103"/>
      <c r="U5777" s="148" t="s">
        <v>28</v>
      </c>
      <c r="V5777" s="9"/>
      <c r="W5777" s="9"/>
      <c r="X5777" s="9"/>
      <c r="Y5777" s="9"/>
      <c r="Z5777" s="9"/>
      <c r="AA5777" s="9"/>
      <c r="AB5777" s="9"/>
    </row>
    <row r="5778" ht="18.0" customHeight="1">
      <c r="A5778" s="131">
        <f t="shared" si="1"/>
        <v>5772</v>
      </c>
      <c r="B5778" s="97" t="s">
        <v>9632</v>
      </c>
      <c r="C5778" s="82" t="str">
        <f>VLOOKUP($B$7:$B$5000,SUM!$L$6:$L$500,1,FALSE)</f>
        <v>#VALUE!</v>
      </c>
      <c r="D5778" s="306" t="s">
        <v>9631</v>
      </c>
      <c r="E5778" s="191" t="s">
        <v>58</v>
      </c>
      <c r="F5778" s="148" t="s">
        <v>9449</v>
      </c>
      <c r="G5778" s="191" t="s">
        <v>9611</v>
      </c>
      <c r="H5778" s="243" t="s">
        <v>9629</v>
      </c>
      <c r="I5778" s="270" t="s">
        <v>9594</v>
      </c>
      <c r="J5778" s="148" t="s">
        <v>63</v>
      </c>
      <c r="K5778" s="148" t="s">
        <v>9589</v>
      </c>
      <c r="L5778" s="148" t="s">
        <v>65</v>
      </c>
      <c r="M5778" s="148" t="s">
        <v>66</v>
      </c>
      <c r="N5778" s="285">
        <v>46263.0</v>
      </c>
      <c r="O5778" s="148" t="s">
        <v>9328</v>
      </c>
      <c r="P5778" s="148" t="s">
        <v>68</v>
      </c>
      <c r="Q5778" s="103"/>
      <c r="R5778" s="103"/>
      <c r="S5778" s="103"/>
      <c r="T5778" s="103"/>
      <c r="U5778" s="148" t="s">
        <v>28</v>
      </c>
      <c r="V5778" s="9"/>
      <c r="W5778" s="9"/>
      <c r="X5778" s="9"/>
      <c r="Y5778" s="9"/>
      <c r="Z5778" s="9"/>
      <c r="AA5778" s="9"/>
      <c r="AB5778" s="9"/>
    </row>
    <row r="5779" ht="18.0" customHeight="1">
      <c r="A5779" s="131">
        <f t="shared" si="1"/>
        <v>5773</v>
      </c>
      <c r="B5779" s="97" t="s">
        <v>9633</v>
      </c>
      <c r="C5779" s="82" t="str">
        <f>VLOOKUP($B$7:$B$5000,SUM!$L$6:$L$500,1,FALSE)</f>
        <v>#VALUE!</v>
      </c>
      <c r="D5779" s="306" t="s">
        <v>9631</v>
      </c>
      <c r="E5779" s="191" t="s">
        <v>58</v>
      </c>
      <c r="F5779" s="148" t="s">
        <v>9449</v>
      </c>
      <c r="G5779" s="191" t="s">
        <v>9611</v>
      </c>
      <c r="H5779" s="243" t="s">
        <v>9629</v>
      </c>
      <c r="I5779" s="270" t="s">
        <v>9594</v>
      </c>
      <c r="J5779" s="148" t="s">
        <v>63</v>
      </c>
      <c r="K5779" s="148" t="s">
        <v>9589</v>
      </c>
      <c r="L5779" s="148" t="s">
        <v>65</v>
      </c>
      <c r="M5779" s="148" t="s">
        <v>66</v>
      </c>
      <c r="N5779" s="285">
        <v>46263.0</v>
      </c>
      <c r="O5779" s="148" t="s">
        <v>9328</v>
      </c>
      <c r="P5779" s="148" t="s">
        <v>68</v>
      </c>
      <c r="Q5779" s="103"/>
      <c r="R5779" s="103"/>
      <c r="S5779" s="103"/>
      <c r="T5779" s="103"/>
      <c r="U5779" s="148" t="s">
        <v>28</v>
      </c>
      <c r="V5779" s="9"/>
      <c r="W5779" s="9"/>
      <c r="X5779" s="9"/>
      <c r="Y5779" s="9"/>
      <c r="Z5779" s="9"/>
      <c r="AA5779" s="9"/>
      <c r="AB5779" s="9"/>
    </row>
    <row r="5780" ht="18.0" customHeight="1">
      <c r="A5780" s="131">
        <f t="shared" si="1"/>
        <v>5774</v>
      </c>
      <c r="B5780" s="97" t="s">
        <v>9634</v>
      </c>
      <c r="C5780" s="82" t="str">
        <f>VLOOKUP($B$7:$B$5000,SUM!$L$6:$L$500,1,FALSE)</f>
        <v>#VALUE!</v>
      </c>
      <c r="D5780" s="190" t="s">
        <v>9635</v>
      </c>
      <c r="E5780" s="191" t="s">
        <v>58</v>
      </c>
      <c r="F5780" s="199" t="s">
        <v>8479</v>
      </c>
      <c r="G5780" s="191" t="s">
        <v>9636</v>
      </c>
      <c r="H5780" s="199" t="s">
        <v>9517</v>
      </c>
      <c r="I5780" s="149"/>
      <c r="J5780" s="103"/>
      <c r="K5780" s="103"/>
      <c r="L5780" s="103"/>
      <c r="M5780" s="103"/>
      <c r="N5780" s="103"/>
      <c r="O5780" s="103"/>
      <c r="P5780" s="103"/>
      <c r="Q5780" s="103"/>
      <c r="R5780" s="103"/>
      <c r="S5780" s="103"/>
      <c r="T5780" s="103"/>
      <c r="U5780" s="103"/>
      <c r="V5780" s="9"/>
      <c r="W5780" s="9"/>
      <c r="X5780" s="9"/>
      <c r="Y5780" s="9"/>
      <c r="Z5780" s="9"/>
      <c r="AA5780" s="9"/>
      <c r="AB5780" s="9"/>
    </row>
    <row r="5781" ht="18.0" customHeight="1">
      <c r="A5781" s="131">
        <f t="shared" si="1"/>
        <v>5775</v>
      </c>
      <c r="B5781" s="97" t="s">
        <v>9637</v>
      </c>
      <c r="C5781" s="82" t="str">
        <f>VLOOKUP($B$7:$B$5000,SUM!$L$6:$L$500,1,FALSE)</f>
        <v>#VALUE!</v>
      </c>
      <c r="D5781" s="190" t="s">
        <v>9635</v>
      </c>
      <c r="E5781" s="191" t="s">
        <v>58</v>
      </c>
      <c r="F5781" s="199" t="s">
        <v>8479</v>
      </c>
      <c r="G5781" s="191" t="s">
        <v>9636</v>
      </c>
      <c r="H5781" s="199" t="s">
        <v>9519</v>
      </c>
      <c r="I5781" s="149"/>
      <c r="J5781" s="103"/>
      <c r="K5781" s="103"/>
      <c r="L5781" s="103"/>
      <c r="M5781" s="103"/>
      <c r="N5781" s="103"/>
      <c r="O5781" s="103"/>
      <c r="P5781" s="103"/>
      <c r="Q5781" s="103"/>
      <c r="R5781" s="103"/>
      <c r="S5781" s="103"/>
      <c r="T5781" s="103"/>
      <c r="U5781" s="103"/>
      <c r="V5781" s="9"/>
      <c r="W5781" s="9"/>
      <c r="X5781" s="9"/>
      <c r="Y5781" s="9"/>
      <c r="Z5781" s="9"/>
      <c r="AA5781" s="9"/>
      <c r="AB5781" s="9"/>
    </row>
    <row r="5782" ht="18.0" customHeight="1">
      <c r="A5782" s="131">
        <f t="shared" si="1"/>
        <v>5776</v>
      </c>
      <c r="B5782" s="97" t="s">
        <v>9638</v>
      </c>
      <c r="C5782" s="82" t="str">
        <f>VLOOKUP($B$7:$B$5000,SUM!$L$6:$L$500,1,FALSE)</f>
        <v>#VALUE!</v>
      </c>
      <c r="D5782" s="190" t="s">
        <v>9635</v>
      </c>
      <c r="E5782" s="191" t="s">
        <v>58</v>
      </c>
      <c r="F5782" s="199" t="s">
        <v>8479</v>
      </c>
      <c r="G5782" s="191" t="s">
        <v>9636</v>
      </c>
      <c r="H5782" s="199" t="s">
        <v>9517</v>
      </c>
      <c r="I5782" s="149"/>
      <c r="J5782" s="103"/>
      <c r="K5782" s="103"/>
      <c r="L5782" s="103"/>
      <c r="M5782" s="103"/>
      <c r="N5782" s="103"/>
      <c r="O5782" s="103"/>
      <c r="P5782" s="103"/>
      <c r="Q5782" s="103"/>
      <c r="R5782" s="103"/>
      <c r="S5782" s="103"/>
      <c r="T5782" s="103"/>
      <c r="U5782" s="103"/>
      <c r="V5782" s="9"/>
      <c r="W5782" s="9"/>
      <c r="X5782" s="9"/>
      <c r="Y5782" s="9"/>
      <c r="Z5782" s="9"/>
      <c r="AA5782" s="9"/>
      <c r="AB5782" s="9"/>
    </row>
    <row r="5783" ht="18.0" customHeight="1">
      <c r="A5783" s="131">
        <f t="shared" si="1"/>
        <v>5777</v>
      </c>
      <c r="B5783" s="97" t="s">
        <v>9639</v>
      </c>
      <c r="C5783" s="82" t="str">
        <f>VLOOKUP($B$7:$B$5000,SUM!$L$6:$L$500,1,FALSE)</f>
        <v>#VALUE!</v>
      </c>
      <c r="D5783" s="190" t="s">
        <v>9635</v>
      </c>
      <c r="E5783" s="191" t="s">
        <v>58</v>
      </c>
      <c r="F5783" s="199" t="s">
        <v>8479</v>
      </c>
      <c r="G5783" s="191" t="s">
        <v>9636</v>
      </c>
      <c r="H5783" s="199" t="s">
        <v>9519</v>
      </c>
      <c r="I5783" s="149"/>
      <c r="J5783" s="103"/>
      <c r="K5783" s="103"/>
      <c r="L5783" s="103"/>
      <c r="M5783" s="103"/>
      <c r="N5783" s="103"/>
      <c r="O5783" s="103"/>
      <c r="P5783" s="103"/>
      <c r="Q5783" s="103"/>
      <c r="R5783" s="103"/>
      <c r="S5783" s="103"/>
      <c r="T5783" s="103"/>
      <c r="U5783" s="103"/>
      <c r="V5783" s="9"/>
      <c r="W5783" s="9"/>
      <c r="X5783" s="9"/>
      <c r="Y5783" s="9"/>
      <c r="Z5783" s="9"/>
      <c r="AA5783" s="9"/>
      <c r="AB5783" s="9"/>
    </row>
    <row r="5784" ht="18.0" customHeight="1">
      <c r="A5784" s="131">
        <f t="shared" si="1"/>
        <v>5778</v>
      </c>
      <c r="B5784" s="97" t="s">
        <v>9640</v>
      </c>
      <c r="C5784" s="82" t="str">
        <f>VLOOKUP($B$7:$B$5000,SUM!$L$6:$L$500,1,FALSE)</f>
        <v>#VALUE!</v>
      </c>
      <c r="D5784" s="190" t="s">
        <v>9635</v>
      </c>
      <c r="E5784" s="191" t="s">
        <v>58</v>
      </c>
      <c r="F5784" s="199" t="s">
        <v>8479</v>
      </c>
      <c r="G5784" s="191" t="s">
        <v>9636</v>
      </c>
      <c r="H5784" s="199" t="s">
        <v>9517</v>
      </c>
      <c r="I5784" s="149"/>
      <c r="J5784" s="103"/>
      <c r="K5784" s="103"/>
      <c r="L5784" s="103"/>
      <c r="M5784" s="103"/>
      <c r="N5784" s="103"/>
      <c r="O5784" s="103"/>
      <c r="P5784" s="103"/>
      <c r="Q5784" s="103"/>
      <c r="R5784" s="103"/>
      <c r="S5784" s="103"/>
      <c r="T5784" s="103"/>
      <c r="U5784" s="103"/>
      <c r="V5784" s="9"/>
      <c r="W5784" s="9"/>
      <c r="X5784" s="9"/>
      <c r="Y5784" s="9"/>
      <c r="Z5784" s="9"/>
      <c r="AA5784" s="9"/>
      <c r="AB5784" s="9"/>
    </row>
    <row r="5785" ht="18.0" customHeight="1">
      <c r="A5785" s="131">
        <f t="shared" si="1"/>
        <v>5779</v>
      </c>
      <c r="B5785" s="97" t="s">
        <v>9641</v>
      </c>
      <c r="C5785" s="82" t="str">
        <f>VLOOKUP($B$7:$B$5000,SUM!$L$6:$L$500,1,FALSE)</f>
        <v>#VALUE!</v>
      </c>
      <c r="D5785" s="190" t="s">
        <v>9635</v>
      </c>
      <c r="E5785" s="191" t="s">
        <v>58</v>
      </c>
      <c r="F5785" s="199" t="s">
        <v>8479</v>
      </c>
      <c r="G5785" s="191" t="s">
        <v>9636</v>
      </c>
      <c r="H5785" s="199" t="s">
        <v>9519</v>
      </c>
      <c r="I5785" s="149"/>
      <c r="J5785" s="103"/>
      <c r="K5785" s="103"/>
      <c r="L5785" s="103"/>
      <c r="M5785" s="103"/>
      <c r="N5785" s="103"/>
      <c r="O5785" s="103"/>
      <c r="P5785" s="103"/>
      <c r="Q5785" s="103"/>
      <c r="R5785" s="103"/>
      <c r="S5785" s="103"/>
      <c r="T5785" s="103"/>
      <c r="U5785" s="103"/>
      <c r="V5785" s="9"/>
      <c r="W5785" s="9"/>
      <c r="X5785" s="9"/>
      <c r="Y5785" s="9"/>
      <c r="Z5785" s="9"/>
      <c r="AA5785" s="9"/>
      <c r="AB5785" s="9"/>
    </row>
    <row r="5786" ht="18.0" customHeight="1">
      <c r="A5786" s="131">
        <f t="shared" si="1"/>
        <v>5780</v>
      </c>
      <c r="B5786" s="97" t="s">
        <v>9642</v>
      </c>
      <c r="C5786" s="82" t="str">
        <f>VLOOKUP($B$7:$B$5000,SUM!$L$6:$L$500,1,FALSE)</f>
        <v>#VALUE!</v>
      </c>
      <c r="D5786" s="190" t="s">
        <v>9635</v>
      </c>
      <c r="E5786" s="191" t="s">
        <v>58</v>
      </c>
      <c r="F5786" s="199" t="s">
        <v>8479</v>
      </c>
      <c r="G5786" s="191" t="s">
        <v>9636</v>
      </c>
      <c r="H5786" s="199" t="s">
        <v>9517</v>
      </c>
      <c r="I5786" s="149"/>
      <c r="J5786" s="103"/>
      <c r="K5786" s="103"/>
      <c r="L5786" s="103"/>
      <c r="M5786" s="103"/>
      <c r="N5786" s="103"/>
      <c r="O5786" s="103"/>
      <c r="P5786" s="103"/>
      <c r="Q5786" s="103"/>
      <c r="R5786" s="103"/>
      <c r="S5786" s="103"/>
      <c r="T5786" s="103"/>
      <c r="U5786" s="103"/>
      <c r="V5786" s="9"/>
      <c r="W5786" s="9"/>
      <c r="X5786" s="9"/>
      <c r="Y5786" s="9"/>
      <c r="Z5786" s="9"/>
      <c r="AA5786" s="9"/>
      <c r="AB5786" s="9"/>
    </row>
    <row r="5787" ht="18.0" customHeight="1">
      <c r="A5787" s="131">
        <f t="shared" si="1"/>
        <v>5781</v>
      </c>
      <c r="B5787" s="97" t="s">
        <v>9643</v>
      </c>
      <c r="C5787" s="82" t="str">
        <f>VLOOKUP($B$7:$B$5000,SUM!$L$6:$L$500,1,FALSE)</f>
        <v>#VALUE!</v>
      </c>
      <c r="D5787" s="190" t="s">
        <v>9635</v>
      </c>
      <c r="E5787" s="191" t="s">
        <v>58</v>
      </c>
      <c r="F5787" s="199" t="s">
        <v>8479</v>
      </c>
      <c r="G5787" s="191" t="s">
        <v>9636</v>
      </c>
      <c r="H5787" s="199" t="s">
        <v>9519</v>
      </c>
      <c r="I5787" s="149"/>
      <c r="J5787" s="103"/>
      <c r="K5787" s="103"/>
      <c r="L5787" s="103"/>
      <c r="M5787" s="103"/>
      <c r="N5787" s="103"/>
      <c r="O5787" s="103"/>
      <c r="P5787" s="103"/>
      <c r="Q5787" s="103"/>
      <c r="R5787" s="103"/>
      <c r="S5787" s="103"/>
      <c r="T5787" s="103"/>
      <c r="U5787" s="103"/>
      <c r="V5787" s="9"/>
      <c r="W5787" s="9"/>
      <c r="X5787" s="9"/>
      <c r="Y5787" s="9"/>
      <c r="Z5787" s="9"/>
      <c r="AA5787" s="9"/>
      <c r="AB5787" s="9"/>
    </row>
    <row r="5788" ht="18.0" customHeight="1">
      <c r="A5788" s="131">
        <f t="shared" si="1"/>
        <v>5782</v>
      </c>
      <c r="B5788" s="97" t="s">
        <v>9644</v>
      </c>
      <c r="C5788" s="82" t="str">
        <f>VLOOKUP($B$7:$B$5000,SUM!$L$6:$L$500,1,FALSE)</f>
        <v>#VALUE!</v>
      </c>
      <c r="D5788" s="190" t="s">
        <v>9635</v>
      </c>
      <c r="E5788" s="191" t="s">
        <v>58</v>
      </c>
      <c r="F5788" s="199" t="s">
        <v>8479</v>
      </c>
      <c r="G5788" s="191" t="s">
        <v>9636</v>
      </c>
      <c r="H5788" s="199" t="s">
        <v>9517</v>
      </c>
      <c r="I5788" s="149"/>
      <c r="J5788" s="103"/>
      <c r="K5788" s="103"/>
      <c r="L5788" s="103"/>
      <c r="M5788" s="103"/>
      <c r="N5788" s="103"/>
      <c r="O5788" s="103"/>
      <c r="P5788" s="103"/>
      <c r="Q5788" s="103"/>
      <c r="R5788" s="103"/>
      <c r="S5788" s="103"/>
      <c r="T5788" s="103"/>
      <c r="U5788" s="103"/>
      <c r="V5788" s="9"/>
      <c r="W5788" s="9"/>
      <c r="X5788" s="9"/>
      <c r="Y5788" s="9"/>
      <c r="Z5788" s="9"/>
      <c r="AA5788" s="9"/>
      <c r="AB5788" s="9"/>
    </row>
    <row r="5789" ht="18.0" customHeight="1">
      <c r="A5789" s="131">
        <f t="shared" si="1"/>
        <v>5783</v>
      </c>
      <c r="B5789" s="97" t="s">
        <v>9645</v>
      </c>
      <c r="C5789" s="82" t="str">
        <f>VLOOKUP($B$7:$B$5000,SUM!$L$6:$L$500,1,FALSE)</f>
        <v>#VALUE!</v>
      </c>
      <c r="D5789" s="190" t="s">
        <v>9635</v>
      </c>
      <c r="E5789" s="191" t="s">
        <v>58</v>
      </c>
      <c r="F5789" s="199" t="s">
        <v>8479</v>
      </c>
      <c r="G5789" s="191" t="s">
        <v>9636</v>
      </c>
      <c r="H5789" s="199" t="s">
        <v>9519</v>
      </c>
      <c r="I5789" s="149"/>
      <c r="J5789" s="103"/>
      <c r="K5789" s="103"/>
      <c r="L5789" s="103"/>
      <c r="M5789" s="103"/>
      <c r="N5789" s="103"/>
      <c r="O5789" s="103"/>
      <c r="P5789" s="103"/>
      <c r="Q5789" s="103"/>
      <c r="R5789" s="103"/>
      <c r="S5789" s="103"/>
      <c r="T5789" s="103"/>
      <c r="U5789" s="103"/>
      <c r="V5789" s="9"/>
      <c r="W5789" s="9"/>
      <c r="X5789" s="9"/>
      <c r="Y5789" s="9"/>
      <c r="Z5789" s="9"/>
      <c r="AA5789" s="9"/>
      <c r="AB5789" s="9"/>
    </row>
    <row r="5790" ht="18.0" customHeight="1">
      <c r="A5790" s="131">
        <f t="shared" si="1"/>
        <v>5784</v>
      </c>
      <c r="B5790" s="97" t="s">
        <v>9646</v>
      </c>
      <c r="C5790" s="82" t="str">
        <f>VLOOKUP($B$7:$B$5000,SUM!$L$6:$L$500,1,FALSE)</f>
        <v>#VALUE!</v>
      </c>
      <c r="D5790" s="190" t="s">
        <v>9635</v>
      </c>
      <c r="E5790" s="191" t="s">
        <v>58</v>
      </c>
      <c r="F5790" s="199" t="s">
        <v>8479</v>
      </c>
      <c r="G5790" s="191" t="s">
        <v>9636</v>
      </c>
      <c r="H5790" s="199" t="s">
        <v>9517</v>
      </c>
      <c r="I5790" s="149"/>
      <c r="J5790" s="103"/>
      <c r="K5790" s="103"/>
      <c r="L5790" s="103"/>
      <c r="M5790" s="103"/>
      <c r="N5790" s="103"/>
      <c r="O5790" s="103"/>
      <c r="P5790" s="103"/>
      <c r="Q5790" s="103"/>
      <c r="R5790" s="103"/>
      <c r="S5790" s="103"/>
      <c r="T5790" s="103"/>
      <c r="U5790" s="103"/>
      <c r="V5790" s="9"/>
      <c r="W5790" s="9"/>
      <c r="X5790" s="9"/>
      <c r="Y5790" s="9"/>
      <c r="Z5790" s="9"/>
      <c r="AA5790" s="9"/>
      <c r="AB5790" s="9"/>
    </row>
    <row r="5791" ht="18.0" customHeight="1">
      <c r="A5791" s="131">
        <f t="shared" si="1"/>
        <v>5785</v>
      </c>
      <c r="B5791" s="97" t="s">
        <v>9647</v>
      </c>
      <c r="C5791" s="82" t="str">
        <f>VLOOKUP($B$7:$B$5000,SUM!$L$6:$L$500,1,FALSE)</f>
        <v>#VALUE!</v>
      </c>
      <c r="D5791" s="190" t="s">
        <v>9635</v>
      </c>
      <c r="E5791" s="191" t="s">
        <v>58</v>
      </c>
      <c r="F5791" s="199" t="s">
        <v>8479</v>
      </c>
      <c r="G5791" s="191" t="s">
        <v>9636</v>
      </c>
      <c r="H5791" s="199" t="s">
        <v>9519</v>
      </c>
      <c r="I5791" s="149"/>
      <c r="J5791" s="103"/>
      <c r="K5791" s="103"/>
      <c r="L5791" s="103"/>
      <c r="M5791" s="103"/>
      <c r="N5791" s="103"/>
      <c r="O5791" s="103"/>
      <c r="P5791" s="103"/>
      <c r="Q5791" s="103"/>
      <c r="R5791" s="103"/>
      <c r="S5791" s="103"/>
      <c r="T5791" s="103"/>
      <c r="U5791" s="103"/>
      <c r="V5791" s="9"/>
      <c r="W5791" s="9"/>
      <c r="X5791" s="9"/>
      <c r="Y5791" s="9"/>
      <c r="Z5791" s="9"/>
      <c r="AA5791" s="9"/>
      <c r="AB5791" s="9"/>
    </row>
    <row r="5792" ht="18.0" customHeight="1">
      <c r="A5792" s="131">
        <f t="shared" si="1"/>
        <v>5786</v>
      </c>
      <c r="B5792" s="97" t="s">
        <v>9648</v>
      </c>
      <c r="C5792" s="82" t="str">
        <f>VLOOKUP($B$7:$B$5000,SUM!$L$6:$L$500,1,FALSE)</f>
        <v>#VALUE!</v>
      </c>
      <c r="D5792" s="190" t="s">
        <v>9649</v>
      </c>
      <c r="E5792" s="191" t="s">
        <v>2678</v>
      </c>
      <c r="F5792" s="148" t="s">
        <v>9449</v>
      </c>
      <c r="G5792" s="189" t="s">
        <v>9611</v>
      </c>
      <c r="H5792" s="283" t="s">
        <v>9650</v>
      </c>
      <c r="I5792" s="270" t="s">
        <v>9315</v>
      </c>
      <c r="J5792" s="148" t="s">
        <v>63</v>
      </c>
      <c r="K5792" s="148" t="s">
        <v>80</v>
      </c>
      <c r="L5792" s="148" t="s">
        <v>65</v>
      </c>
      <c r="M5792" s="148" t="s">
        <v>66</v>
      </c>
      <c r="N5792" s="148" t="s">
        <v>9651</v>
      </c>
      <c r="O5792" s="148" t="s">
        <v>9328</v>
      </c>
      <c r="P5792" s="148" t="s">
        <v>68</v>
      </c>
      <c r="Q5792" s="103"/>
      <c r="R5792" s="103"/>
      <c r="S5792" s="103"/>
      <c r="T5792" s="103"/>
      <c r="U5792" s="148" t="s">
        <v>28</v>
      </c>
      <c r="V5792" s="9"/>
      <c r="W5792" s="9"/>
      <c r="X5792" s="9"/>
      <c r="Y5792" s="9"/>
      <c r="Z5792" s="9"/>
      <c r="AA5792" s="9"/>
      <c r="AB5792" s="9"/>
    </row>
    <row r="5793" ht="18.0" customHeight="1">
      <c r="A5793" s="131">
        <f t="shared" si="1"/>
        <v>5787</v>
      </c>
      <c r="B5793" s="97" t="s">
        <v>9652</v>
      </c>
      <c r="C5793" s="82" t="str">
        <f>VLOOKUP($B$7:$B$5000,SUM!$L$6:$L$500,1,FALSE)</f>
        <v>#VALUE!</v>
      </c>
      <c r="D5793" s="190" t="s">
        <v>9649</v>
      </c>
      <c r="E5793" s="191" t="s">
        <v>58</v>
      </c>
      <c r="F5793" s="148" t="s">
        <v>9449</v>
      </c>
      <c r="G5793" s="189" t="s">
        <v>9611</v>
      </c>
      <c r="H5793" s="283" t="s">
        <v>9653</v>
      </c>
      <c r="I5793" s="270" t="s">
        <v>9315</v>
      </c>
      <c r="J5793" s="148" t="s">
        <v>63</v>
      </c>
      <c r="K5793" s="148" t="s">
        <v>80</v>
      </c>
      <c r="L5793" s="148" t="s">
        <v>65</v>
      </c>
      <c r="M5793" s="148" t="s">
        <v>66</v>
      </c>
      <c r="N5793" s="148" t="s">
        <v>9651</v>
      </c>
      <c r="O5793" s="148" t="s">
        <v>9328</v>
      </c>
      <c r="P5793" s="148" t="s">
        <v>68</v>
      </c>
      <c r="Q5793" s="103"/>
      <c r="R5793" s="103"/>
      <c r="S5793" s="103"/>
      <c r="T5793" s="103"/>
      <c r="U5793" s="148" t="s">
        <v>28</v>
      </c>
      <c r="V5793" s="9"/>
      <c r="W5793" s="9"/>
      <c r="X5793" s="9"/>
      <c r="Y5793" s="9"/>
      <c r="Z5793" s="9"/>
      <c r="AA5793" s="9"/>
      <c r="AB5793" s="9"/>
    </row>
    <row r="5794" ht="18.0" customHeight="1">
      <c r="A5794" s="131">
        <f t="shared" si="1"/>
        <v>5788</v>
      </c>
      <c r="B5794" s="97" t="s">
        <v>9654</v>
      </c>
      <c r="C5794" s="82" t="str">
        <f>VLOOKUP($B$7:$B$5000,SUM!$L$6:$L$500,1,FALSE)</f>
        <v>#VALUE!</v>
      </c>
      <c r="D5794" s="190" t="s">
        <v>9649</v>
      </c>
      <c r="E5794" s="191" t="s">
        <v>58</v>
      </c>
      <c r="F5794" s="148" t="s">
        <v>9449</v>
      </c>
      <c r="G5794" s="189" t="s">
        <v>9611</v>
      </c>
      <c r="H5794" s="283" t="s">
        <v>9655</v>
      </c>
      <c r="I5794" s="270" t="s">
        <v>9315</v>
      </c>
      <c r="J5794" s="148" t="s">
        <v>63</v>
      </c>
      <c r="K5794" s="148" t="s">
        <v>80</v>
      </c>
      <c r="L5794" s="148" t="s">
        <v>65</v>
      </c>
      <c r="M5794" s="148" t="s">
        <v>66</v>
      </c>
      <c r="N5794" s="148" t="s">
        <v>9651</v>
      </c>
      <c r="O5794" s="148" t="s">
        <v>9328</v>
      </c>
      <c r="P5794" s="148" t="s">
        <v>68</v>
      </c>
      <c r="Q5794" s="103"/>
      <c r="R5794" s="103"/>
      <c r="S5794" s="103"/>
      <c r="T5794" s="103"/>
      <c r="U5794" s="148" t="s">
        <v>28</v>
      </c>
      <c r="V5794" s="9"/>
      <c r="W5794" s="9"/>
      <c r="X5794" s="9"/>
      <c r="Y5794" s="9"/>
      <c r="Z5794" s="9"/>
      <c r="AA5794" s="9"/>
      <c r="AB5794" s="9"/>
    </row>
    <row r="5795" ht="18.0" customHeight="1">
      <c r="A5795" s="131">
        <f t="shared" si="1"/>
        <v>5789</v>
      </c>
      <c r="B5795" s="97" t="s">
        <v>9656</v>
      </c>
      <c r="C5795" s="82" t="str">
        <f>VLOOKUP($B$7:$B$5000,SUM!$L$6:$L$500,1,FALSE)</f>
        <v>#VALUE!</v>
      </c>
      <c r="D5795" s="190" t="s">
        <v>9649</v>
      </c>
      <c r="E5795" s="191" t="s">
        <v>58</v>
      </c>
      <c r="F5795" s="148" t="s">
        <v>9449</v>
      </c>
      <c r="G5795" s="189" t="s">
        <v>9611</v>
      </c>
      <c r="H5795" s="283" t="s">
        <v>9657</v>
      </c>
      <c r="I5795" s="270" t="s">
        <v>9315</v>
      </c>
      <c r="J5795" s="148" t="s">
        <v>63</v>
      </c>
      <c r="K5795" s="148" t="s">
        <v>80</v>
      </c>
      <c r="L5795" s="148" t="s">
        <v>65</v>
      </c>
      <c r="M5795" s="148" t="s">
        <v>66</v>
      </c>
      <c r="N5795" s="148" t="s">
        <v>9651</v>
      </c>
      <c r="O5795" s="148" t="s">
        <v>9328</v>
      </c>
      <c r="P5795" s="148" t="s">
        <v>68</v>
      </c>
      <c r="Q5795" s="103"/>
      <c r="R5795" s="103"/>
      <c r="S5795" s="103"/>
      <c r="T5795" s="103"/>
      <c r="U5795" s="148" t="s">
        <v>28</v>
      </c>
      <c r="V5795" s="9"/>
      <c r="W5795" s="9"/>
      <c r="X5795" s="9"/>
      <c r="Y5795" s="9"/>
      <c r="Z5795" s="9"/>
      <c r="AA5795" s="9"/>
      <c r="AB5795" s="9"/>
    </row>
    <row r="5796" ht="18.0" customHeight="1">
      <c r="A5796" s="131">
        <f t="shared" si="1"/>
        <v>5790</v>
      </c>
      <c r="B5796" s="97" t="s">
        <v>9658</v>
      </c>
      <c r="C5796" s="82" t="str">
        <f>VLOOKUP($B$7:$B$5000,SUM!$L$6:$L$500,1,FALSE)</f>
        <v>#VALUE!</v>
      </c>
      <c r="D5796" s="190" t="s">
        <v>9649</v>
      </c>
      <c r="E5796" s="191" t="s">
        <v>2678</v>
      </c>
      <c r="F5796" s="148" t="s">
        <v>9449</v>
      </c>
      <c r="G5796" s="189" t="s">
        <v>9611</v>
      </c>
      <c r="H5796" s="283" t="s">
        <v>9659</v>
      </c>
      <c r="I5796" s="270" t="s">
        <v>9315</v>
      </c>
      <c r="J5796" s="148" t="s">
        <v>63</v>
      </c>
      <c r="K5796" s="148" t="s">
        <v>80</v>
      </c>
      <c r="L5796" s="148" t="s">
        <v>65</v>
      </c>
      <c r="M5796" s="148" t="s">
        <v>66</v>
      </c>
      <c r="N5796" s="148" t="s">
        <v>9651</v>
      </c>
      <c r="O5796" s="148" t="s">
        <v>9328</v>
      </c>
      <c r="P5796" s="148" t="s">
        <v>68</v>
      </c>
      <c r="Q5796" s="103"/>
      <c r="R5796" s="103"/>
      <c r="S5796" s="103"/>
      <c r="T5796" s="103"/>
      <c r="U5796" s="148" t="s">
        <v>28</v>
      </c>
      <c r="V5796" s="9"/>
      <c r="W5796" s="9"/>
      <c r="X5796" s="9"/>
      <c r="Y5796" s="9"/>
      <c r="Z5796" s="9"/>
      <c r="AA5796" s="9"/>
      <c r="AB5796" s="9"/>
    </row>
    <row r="5797" ht="18.0" customHeight="1">
      <c r="A5797" s="131">
        <f t="shared" si="1"/>
        <v>5791</v>
      </c>
      <c r="B5797" s="97" t="s">
        <v>9660</v>
      </c>
      <c r="C5797" s="82" t="str">
        <f>VLOOKUP($B$7:$B$5000,SUM!$L$6:$L$500,1,FALSE)</f>
        <v>#VALUE!</v>
      </c>
      <c r="D5797" s="190" t="s">
        <v>9649</v>
      </c>
      <c r="E5797" s="191" t="s">
        <v>58</v>
      </c>
      <c r="F5797" s="148" t="s">
        <v>9449</v>
      </c>
      <c r="G5797" s="189" t="s">
        <v>9611</v>
      </c>
      <c r="H5797" s="283" t="s">
        <v>9661</v>
      </c>
      <c r="I5797" s="270" t="s">
        <v>9315</v>
      </c>
      <c r="J5797" s="148" t="s">
        <v>63</v>
      </c>
      <c r="K5797" s="148" t="s">
        <v>80</v>
      </c>
      <c r="L5797" s="148" t="s">
        <v>65</v>
      </c>
      <c r="M5797" s="148" t="s">
        <v>66</v>
      </c>
      <c r="N5797" s="148" t="s">
        <v>9651</v>
      </c>
      <c r="O5797" s="148" t="s">
        <v>9328</v>
      </c>
      <c r="P5797" s="148" t="s">
        <v>68</v>
      </c>
      <c r="Q5797" s="103"/>
      <c r="R5797" s="103"/>
      <c r="S5797" s="103"/>
      <c r="T5797" s="103"/>
      <c r="U5797" s="148" t="s">
        <v>28</v>
      </c>
      <c r="V5797" s="9"/>
      <c r="W5797" s="9"/>
      <c r="X5797" s="9"/>
      <c r="Y5797" s="9"/>
      <c r="Z5797" s="9"/>
      <c r="AA5797" s="9"/>
      <c r="AB5797" s="9"/>
    </row>
    <row r="5798" ht="18.0" customHeight="1">
      <c r="A5798" s="131">
        <f t="shared" si="1"/>
        <v>5792</v>
      </c>
      <c r="B5798" s="97" t="s">
        <v>9662</v>
      </c>
      <c r="C5798" s="82" t="str">
        <f>VLOOKUP($B$7:$B$5000,SUM!$L$6:$L$500,1,FALSE)</f>
        <v>#VALUE!</v>
      </c>
      <c r="D5798" s="190" t="s">
        <v>9649</v>
      </c>
      <c r="E5798" s="191" t="s">
        <v>58</v>
      </c>
      <c r="F5798" s="148" t="s">
        <v>9449</v>
      </c>
      <c r="G5798" s="189" t="s">
        <v>9611</v>
      </c>
      <c r="H5798" s="283" t="s">
        <v>9663</v>
      </c>
      <c r="I5798" s="270" t="s">
        <v>9315</v>
      </c>
      <c r="J5798" s="148" t="s">
        <v>63</v>
      </c>
      <c r="K5798" s="148" t="s">
        <v>80</v>
      </c>
      <c r="L5798" s="148" t="s">
        <v>65</v>
      </c>
      <c r="M5798" s="148" t="s">
        <v>66</v>
      </c>
      <c r="N5798" s="148" t="s">
        <v>9651</v>
      </c>
      <c r="O5798" s="148" t="s">
        <v>9328</v>
      </c>
      <c r="P5798" s="148" t="s">
        <v>68</v>
      </c>
      <c r="Q5798" s="103"/>
      <c r="R5798" s="103"/>
      <c r="S5798" s="103"/>
      <c r="T5798" s="103"/>
      <c r="U5798" s="148" t="s">
        <v>28</v>
      </c>
      <c r="V5798" s="9"/>
      <c r="W5798" s="9"/>
      <c r="X5798" s="9"/>
      <c r="Y5798" s="9"/>
      <c r="Z5798" s="9"/>
      <c r="AA5798" s="9"/>
      <c r="AB5798" s="9"/>
    </row>
    <row r="5799" ht="18.0" customHeight="1">
      <c r="A5799" s="131">
        <f t="shared" si="1"/>
        <v>5793</v>
      </c>
      <c r="B5799" s="97" t="s">
        <v>9664</v>
      </c>
      <c r="C5799" s="82" t="str">
        <f>VLOOKUP($B$7:$B$5000,SUM!$L$6:$L$500,1,FALSE)</f>
        <v>#VALUE!</v>
      </c>
      <c r="D5799" s="190" t="s">
        <v>9649</v>
      </c>
      <c r="E5799" s="191" t="s">
        <v>58</v>
      </c>
      <c r="F5799" s="148" t="s">
        <v>9449</v>
      </c>
      <c r="G5799" s="189" t="s">
        <v>9611</v>
      </c>
      <c r="H5799" s="283" t="s">
        <v>9665</v>
      </c>
      <c r="I5799" s="270" t="s">
        <v>9315</v>
      </c>
      <c r="J5799" s="148" t="s">
        <v>63</v>
      </c>
      <c r="K5799" s="148" t="s">
        <v>80</v>
      </c>
      <c r="L5799" s="148" t="s">
        <v>65</v>
      </c>
      <c r="M5799" s="148" t="s">
        <v>66</v>
      </c>
      <c r="N5799" s="148" t="s">
        <v>9651</v>
      </c>
      <c r="O5799" s="148" t="s">
        <v>9328</v>
      </c>
      <c r="P5799" s="148" t="s">
        <v>68</v>
      </c>
      <c r="Q5799" s="103"/>
      <c r="R5799" s="103"/>
      <c r="S5799" s="103"/>
      <c r="T5799" s="103"/>
      <c r="U5799" s="148" t="s">
        <v>28</v>
      </c>
      <c r="V5799" s="9"/>
      <c r="W5799" s="9"/>
      <c r="X5799" s="9"/>
      <c r="Y5799" s="9"/>
      <c r="Z5799" s="9"/>
      <c r="AA5799" s="9"/>
      <c r="AB5799" s="9"/>
    </row>
    <row r="5800" ht="18.0" customHeight="1">
      <c r="A5800" s="131">
        <f t="shared" si="1"/>
        <v>5794</v>
      </c>
      <c r="B5800" s="97" t="s">
        <v>9666</v>
      </c>
      <c r="C5800" s="82" t="str">
        <f>VLOOKUP($B$7:$B$5000,SUM!$L$6:$L$500,1,FALSE)</f>
        <v>#VALUE!</v>
      </c>
      <c r="D5800" s="271" t="s">
        <v>9667</v>
      </c>
      <c r="E5800" s="191" t="s">
        <v>2678</v>
      </c>
      <c r="F5800" s="148" t="s">
        <v>9269</v>
      </c>
      <c r="G5800" s="189" t="s">
        <v>9668</v>
      </c>
      <c r="H5800" s="283" t="s">
        <v>7691</v>
      </c>
      <c r="I5800" s="270" t="s">
        <v>9283</v>
      </c>
      <c r="J5800" s="148" t="s">
        <v>63</v>
      </c>
      <c r="K5800" s="148" t="s">
        <v>80</v>
      </c>
      <c r="L5800" s="148" t="s">
        <v>65</v>
      </c>
      <c r="M5800" s="148" t="s">
        <v>66</v>
      </c>
      <c r="N5800" s="148" t="s">
        <v>9651</v>
      </c>
      <c r="O5800" s="148" t="s">
        <v>9328</v>
      </c>
      <c r="P5800" s="148" t="s">
        <v>68</v>
      </c>
      <c r="Q5800" s="103"/>
      <c r="R5800" s="103"/>
      <c r="S5800" s="103"/>
      <c r="T5800" s="103"/>
      <c r="U5800" s="148" t="s">
        <v>28</v>
      </c>
      <c r="V5800" s="9"/>
      <c r="W5800" s="9"/>
      <c r="X5800" s="9"/>
      <c r="Y5800" s="9"/>
      <c r="Z5800" s="9"/>
      <c r="AA5800" s="9"/>
      <c r="AB5800" s="9"/>
    </row>
    <row r="5801" ht="18.0" customHeight="1">
      <c r="A5801" s="131">
        <f t="shared" si="1"/>
        <v>5795</v>
      </c>
      <c r="B5801" s="97" t="s">
        <v>9669</v>
      </c>
      <c r="C5801" s="82" t="str">
        <f>VLOOKUP($B$7:$B$5000,SUM!$L$6:$L$500,1,FALSE)</f>
        <v>#VALUE!</v>
      </c>
      <c r="D5801" s="271" t="s">
        <v>9667</v>
      </c>
      <c r="E5801" s="191" t="s">
        <v>58</v>
      </c>
      <c r="F5801" s="148" t="s">
        <v>9269</v>
      </c>
      <c r="G5801" s="189" t="s">
        <v>9670</v>
      </c>
      <c r="H5801" s="283" t="s">
        <v>9659</v>
      </c>
      <c r="I5801" s="270" t="s">
        <v>9283</v>
      </c>
      <c r="J5801" s="148" t="s">
        <v>63</v>
      </c>
      <c r="K5801" s="148" t="s">
        <v>80</v>
      </c>
      <c r="L5801" s="148" t="s">
        <v>65</v>
      </c>
      <c r="M5801" s="148" t="s">
        <v>66</v>
      </c>
      <c r="N5801" s="148" t="s">
        <v>9651</v>
      </c>
      <c r="O5801" s="148" t="s">
        <v>9328</v>
      </c>
      <c r="P5801" s="148" t="s">
        <v>68</v>
      </c>
      <c r="Q5801" s="103"/>
      <c r="R5801" s="103"/>
      <c r="S5801" s="103"/>
      <c r="T5801" s="103"/>
      <c r="U5801" s="148" t="s">
        <v>28</v>
      </c>
      <c r="V5801" s="9"/>
      <c r="W5801" s="9"/>
      <c r="X5801" s="9"/>
      <c r="Y5801" s="9"/>
      <c r="Z5801" s="9"/>
      <c r="AA5801" s="9"/>
      <c r="AB5801" s="9"/>
    </row>
    <row r="5802" ht="18.0" customHeight="1">
      <c r="A5802" s="131">
        <f t="shared" si="1"/>
        <v>5796</v>
      </c>
      <c r="B5802" s="97" t="s">
        <v>9671</v>
      </c>
      <c r="C5802" s="82" t="str">
        <f>VLOOKUP($B$7:$B$5000,SUM!$L$6:$L$500,1,FALSE)</f>
        <v>#VALUE!</v>
      </c>
      <c r="D5802" s="271" t="s">
        <v>9667</v>
      </c>
      <c r="E5802" s="191" t="s">
        <v>58</v>
      </c>
      <c r="F5802" s="148" t="s">
        <v>9269</v>
      </c>
      <c r="G5802" s="189" t="s">
        <v>9670</v>
      </c>
      <c r="H5802" s="283" t="s">
        <v>9661</v>
      </c>
      <c r="I5802" s="270" t="s">
        <v>9283</v>
      </c>
      <c r="J5802" s="148" t="s">
        <v>63</v>
      </c>
      <c r="K5802" s="148" t="s">
        <v>80</v>
      </c>
      <c r="L5802" s="148" t="s">
        <v>65</v>
      </c>
      <c r="M5802" s="148" t="s">
        <v>66</v>
      </c>
      <c r="N5802" s="148" t="s">
        <v>9651</v>
      </c>
      <c r="O5802" s="148" t="s">
        <v>9328</v>
      </c>
      <c r="P5802" s="148" t="s">
        <v>68</v>
      </c>
      <c r="Q5802" s="103"/>
      <c r="R5802" s="103"/>
      <c r="S5802" s="103"/>
      <c r="T5802" s="103"/>
      <c r="U5802" s="148" t="s">
        <v>28</v>
      </c>
      <c r="V5802" s="9"/>
      <c r="W5802" s="9"/>
      <c r="X5802" s="9"/>
      <c r="Y5802" s="9"/>
      <c r="Z5802" s="9"/>
      <c r="AA5802" s="9"/>
      <c r="AB5802" s="9"/>
    </row>
    <row r="5803" ht="18.0" customHeight="1">
      <c r="A5803" s="131">
        <f t="shared" si="1"/>
        <v>5797</v>
      </c>
      <c r="B5803" s="97" t="s">
        <v>9672</v>
      </c>
      <c r="C5803" s="82" t="str">
        <f>VLOOKUP($B$7:$B$5000,SUM!$L$6:$L$500,1,FALSE)</f>
        <v>#VALUE!</v>
      </c>
      <c r="D5803" s="271" t="s">
        <v>9667</v>
      </c>
      <c r="E5803" s="191" t="s">
        <v>58</v>
      </c>
      <c r="F5803" s="148" t="s">
        <v>9269</v>
      </c>
      <c r="G5803" s="189" t="s">
        <v>9670</v>
      </c>
      <c r="H5803" s="283" t="s">
        <v>9663</v>
      </c>
      <c r="I5803" s="270" t="s">
        <v>9283</v>
      </c>
      <c r="J5803" s="148" t="s">
        <v>63</v>
      </c>
      <c r="K5803" s="148" t="s">
        <v>80</v>
      </c>
      <c r="L5803" s="148" t="s">
        <v>65</v>
      </c>
      <c r="M5803" s="148" t="s">
        <v>66</v>
      </c>
      <c r="N5803" s="148" t="s">
        <v>9651</v>
      </c>
      <c r="O5803" s="148" t="s">
        <v>9328</v>
      </c>
      <c r="P5803" s="148" t="s">
        <v>68</v>
      </c>
      <c r="Q5803" s="103"/>
      <c r="R5803" s="103"/>
      <c r="S5803" s="103"/>
      <c r="T5803" s="103"/>
      <c r="U5803" s="148" t="s">
        <v>28</v>
      </c>
      <c r="V5803" s="9"/>
      <c r="W5803" s="9"/>
      <c r="X5803" s="9"/>
      <c r="Y5803" s="9"/>
      <c r="Z5803" s="9"/>
      <c r="AA5803" s="9"/>
      <c r="AB5803" s="9"/>
    </row>
    <row r="5804" ht="18.0" customHeight="1">
      <c r="A5804" s="131">
        <f t="shared" si="1"/>
        <v>5798</v>
      </c>
      <c r="B5804" s="97" t="s">
        <v>9673</v>
      </c>
      <c r="C5804" s="82" t="str">
        <f>VLOOKUP($B$7:$B$5000,SUM!$L$6:$L$500,1,FALSE)</f>
        <v>#VALUE!</v>
      </c>
      <c r="D5804" s="271" t="s">
        <v>9667</v>
      </c>
      <c r="E5804" s="191" t="s">
        <v>58</v>
      </c>
      <c r="F5804" s="148" t="s">
        <v>9269</v>
      </c>
      <c r="G5804" s="189" t="s">
        <v>9670</v>
      </c>
      <c r="H5804" s="283" t="s">
        <v>9665</v>
      </c>
      <c r="I5804" s="270" t="s">
        <v>9283</v>
      </c>
      <c r="J5804" s="148" t="s">
        <v>63</v>
      </c>
      <c r="K5804" s="148" t="s">
        <v>80</v>
      </c>
      <c r="L5804" s="148" t="s">
        <v>65</v>
      </c>
      <c r="M5804" s="148" t="s">
        <v>66</v>
      </c>
      <c r="N5804" s="148" t="s">
        <v>9651</v>
      </c>
      <c r="O5804" s="148" t="s">
        <v>9328</v>
      </c>
      <c r="P5804" s="148" t="s">
        <v>68</v>
      </c>
      <c r="Q5804" s="103"/>
      <c r="R5804" s="103"/>
      <c r="S5804" s="103"/>
      <c r="T5804" s="103"/>
      <c r="U5804" s="148" t="s">
        <v>28</v>
      </c>
      <c r="V5804" s="9"/>
      <c r="W5804" s="9"/>
      <c r="X5804" s="9"/>
      <c r="Y5804" s="9"/>
      <c r="Z5804" s="9"/>
      <c r="AA5804" s="9"/>
      <c r="AB5804" s="9"/>
    </row>
    <row r="5805" ht="18.0" customHeight="1">
      <c r="A5805" s="131">
        <f t="shared" si="1"/>
        <v>5799</v>
      </c>
      <c r="B5805" s="97" t="s">
        <v>9674</v>
      </c>
      <c r="C5805" s="82" t="str">
        <f>VLOOKUP($B$7:$B$5000,SUM!$L$6:$L$500,1,FALSE)</f>
        <v>#VALUE!</v>
      </c>
      <c r="D5805" s="190" t="s">
        <v>9675</v>
      </c>
      <c r="E5805" s="191" t="s">
        <v>58</v>
      </c>
      <c r="F5805" s="199" t="s">
        <v>9676</v>
      </c>
      <c r="G5805" s="191" t="s">
        <v>9677</v>
      </c>
      <c r="H5805" s="243" t="s">
        <v>8968</v>
      </c>
      <c r="I5805" s="93" t="s">
        <v>209</v>
      </c>
      <c r="J5805" s="148" t="s">
        <v>63</v>
      </c>
      <c r="K5805" s="148" t="s">
        <v>80</v>
      </c>
      <c r="L5805" s="148" t="s">
        <v>65</v>
      </c>
      <c r="M5805" s="148" t="s">
        <v>66</v>
      </c>
      <c r="N5805" s="148" t="s">
        <v>9651</v>
      </c>
      <c r="O5805" s="148" t="s">
        <v>9328</v>
      </c>
      <c r="P5805" s="148" t="s">
        <v>68</v>
      </c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1">
        <f t="shared" si="1"/>
        <v>5800</v>
      </c>
      <c r="B5806" s="97" t="s">
        <v>9678</v>
      </c>
      <c r="C5806" s="82" t="str">
        <f>VLOOKUP($B$7:$B$5000,SUM!$L$6:$L$500,1,FALSE)</f>
        <v>#VALUE!</v>
      </c>
      <c r="D5806" s="190" t="s">
        <v>9675</v>
      </c>
      <c r="E5806" s="191" t="s">
        <v>58</v>
      </c>
      <c r="F5806" s="199" t="s">
        <v>9676</v>
      </c>
      <c r="G5806" s="191" t="s">
        <v>9677</v>
      </c>
      <c r="H5806" s="243" t="s">
        <v>8968</v>
      </c>
      <c r="I5806" s="93" t="s">
        <v>211</v>
      </c>
      <c r="J5806" s="148" t="s">
        <v>63</v>
      </c>
      <c r="K5806" s="148" t="s">
        <v>80</v>
      </c>
      <c r="L5806" s="148" t="s">
        <v>65</v>
      </c>
      <c r="M5806" s="148" t="s">
        <v>66</v>
      </c>
      <c r="N5806" s="148" t="s">
        <v>9651</v>
      </c>
      <c r="O5806" s="148" t="s">
        <v>9328</v>
      </c>
      <c r="P5806" s="148" t="s">
        <v>68</v>
      </c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1">
        <f t="shared" si="1"/>
        <v>5801</v>
      </c>
      <c r="B5807" s="97" t="s">
        <v>9679</v>
      </c>
      <c r="C5807" s="82" t="str">
        <f>VLOOKUP($B$7:$B$5000,SUM!$L$6:$L$500,1,FALSE)</f>
        <v>#VALUE!</v>
      </c>
      <c r="D5807" s="190" t="s">
        <v>9675</v>
      </c>
      <c r="E5807" s="191" t="s">
        <v>58</v>
      </c>
      <c r="F5807" s="199" t="s">
        <v>9676</v>
      </c>
      <c r="G5807" s="191" t="s">
        <v>9677</v>
      </c>
      <c r="H5807" s="243" t="s">
        <v>8968</v>
      </c>
      <c r="I5807" s="93" t="s">
        <v>215</v>
      </c>
      <c r="J5807" s="148" t="s">
        <v>63</v>
      </c>
      <c r="K5807" s="148" t="s">
        <v>80</v>
      </c>
      <c r="L5807" s="148" t="s">
        <v>65</v>
      </c>
      <c r="M5807" s="148" t="s">
        <v>66</v>
      </c>
      <c r="N5807" s="148" t="s">
        <v>9651</v>
      </c>
      <c r="O5807" s="148" t="s">
        <v>9328</v>
      </c>
      <c r="P5807" s="148" t="s">
        <v>68</v>
      </c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1">
        <f t="shared" si="1"/>
        <v>5802</v>
      </c>
      <c r="B5808" s="97" t="s">
        <v>9680</v>
      </c>
      <c r="C5808" s="82" t="str">
        <f>VLOOKUP($B$7:$B$5000,SUM!$L$6:$L$500,1,FALSE)</f>
        <v>#VALUE!</v>
      </c>
      <c r="D5808" s="190" t="s">
        <v>9675</v>
      </c>
      <c r="E5808" s="191" t="s">
        <v>58</v>
      </c>
      <c r="F5808" s="199" t="s">
        <v>9676</v>
      </c>
      <c r="G5808" s="191" t="s">
        <v>9677</v>
      </c>
      <c r="H5808" s="243" t="s">
        <v>8968</v>
      </c>
      <c r="I5808" s="220" t="s">
        <v>9681</v>
      </c>
      <c r="J5808" s="148" t="s">
        <v>63</v>
      </c>
      <c r="K5808" s="148" t="s">
        <v>80</v>
      </c>
      <c r="L5808" s="148" t="s">
        <v>65</v>
      </c>
      <c r="M5808" s="148" t="s">
        <v>66</v>
      </c>
      <c r="N5808" s="148" t="s">
        <v>9651</v>
      </c>
      <c r="O5808" s="148" t="s">
        <v>9328</v>
      </c>
      <c r="P5808" s="148" t="s">
        <v>68</v>
      </c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1">
        <f t="shared" si="1"/>
        <v>5803</v>
      </c>
      <c r="B5809" s="97" t="s">
        <v>9682</v>
      </c>
      <c r="C5809" s="82" t="str">
        <f>VLOOKUP($B$7:$B$5000,SUM!$L$6:$L$500,1,FALSE)</f>
        <v>#VALUE!</v>
      </c>
      <c r="D5809" s="190" t="s">
        <v>9683</v>
      </c>
      <c r="E5809" s="191" t="s">
        <v>58</v>
      </c>
      <c r="F5809" s="199" t="s">
        <v>9684</v>
      </c>
      <c r="G5809" s="191" t="s">
        <v>9685</v>
      </c>
      <c r="H5809" s="243" t="s">
        <v>8968</v>
      </c>
      <c r="I5809" s="220" t="s">
        <v>9686</v>
      </c>
      <c r="J5809" s="148" t="s">
        <v>63</v>
      </c>
      <c r="K5809" s="148" t="s">
        <v>80</v>
      </c>
      <c r="L5809" s="148" t="s">
        <v>65</v>
      </c>
      <c r="M5809" s="148" t="s">
        <v>66</v>
      </c>
      <c r="N5809" s="148" t="s">
        <v>9651</v>
      </c>
      <c r="O5809" s="148" t="s">
        <v>9328</v>
      </c>
      <c r="P5809" s="148" t="s">
        <v>68</v>
      </c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1">
        <f t="shared" si="1"/>
        <v>5804</v>
      </c>
      <c r="B5810" s="97" t="s">
        <v>9687</v>
      </c>
      <c r="C5810" s="82" t="str">
        <f>VLOOKUP($B$7:$B$5000,SUM!$L$6:$L$500,1,FALSE)</f>
        <v>#VALUE!</v>
      </c>
      <c r="D5810" s="190" t="s">
        <v>9683</v>
      </c>
      <c r="E5810" s="191" t="s">
        <v>58</v>
      </c>
      <c r="F5810" s="199" t="s">
        <v>9684</v>
      </c>
      <c r="G5810" s="191" t="s">
        <v>9685</v>
      </c>
      <c r="H5810" s="243" t="s">
        <v>8968</v>
      </c>
      <c r="I5810" s="220" t="s">
        <v>9688</v>
      </c>
      <c r="J5810" s="148" t="s">
        <v>63</v>
      </c>
      <c r="K5810" s="148" t="s">
        <v>80</v>
      </c>
      <c r="L5810" s="148" t="s">
        <v>65</v>
      </c>
      <c r="M5810" s="148" t="s">
        <v>66</v>
      </c>
      <c r="N5810" s="148" t="s">
        <v>9651</v>
      </c>
      <c r="O5810" s="148" t="s">
        <v>9328</v>
      </c>
      <c r="P5810" s="148" t="s">
        <v>68</v>
      </c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1">
        <f t="shared" si="1"/>
        <v>5805</v>
      </c>
      <c r="B5811" s="97" t="s">
        <v>9689</v>
      </c>
      <c r="C5811" s="82" t="str">
        <f>VLOOKUP($B$7:$B$5000,SUM!$L$6:$L$500,1,FALSE)</f>
        <v>#VALUE!</v>
      </c>
      <c r="D5811" s="190" t="s">
        <v>9683</v>
      </c>
      <c r="E5811" s="191" t="s">
        <v>58</v>
      </c>
      <c r="F5811" s="199" t="s">
        <v>9684</v>
      </c>
      <c r="G5811" s="191" t="s">
        <v>9685</v>
      </c>
      <c r="H5811" s="243" t="s">
        <v>8968</v>
      </c>
      <c r="I5811" s="220" t="s">
        <v>9690</v>
      </c>
      <c r="J5811" s="148" t="s">
        <v>63</v>
      </c>
      <c r="K5811" s="148" t="s">
        <v>80</v>
      </c>
      <c r="L5811" s="148" t="s">
        <v>65</v>
      </c>
      <c r="M5811" s="148" t="s">
        <v>66</v>
      </c>
      <c r="N5811" s="148" t="s">
        <v>9651</v>
      </c>
      <c r="O5811" s="148" t="s">
        <v>9328</v>
      </c>
      <c r="P5811" s="148" t="s">
        <v>68</v>
      </c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1">
        <f t="shared" si="1"/>
        <v>5806</v>
      </c>
      <c r="B5812" s="97" t="s">
        <v>9691</v>
      </c>
      <c r="C5812" s="82" t="str">
        <f>VLOOKUP($B$7:$B$5000,SUM!$L$6:$L$500,1,FALSE)</f>
        <v>#VALUE!</v>
      </c>
      <c r="D5812" s="190" t="s">
        <v>9683</v>
      </c>
      <c r="E5812" s="191" t="s">
        <v>58</v>
      </c>
      <c r="F5812" s="199" t="s">
        <v>9684</v>
      </c>
      <c r="G5812" s="191" t="s">
        <v>9685</v>
      </c>
      <c r="H5812" s="243" t="s">
        <v>8968</v>
      </c>
      <c r="I5812" s="220" t="s">
        <v>9692</v>
      </c>
      <c r="J5812" s="148" t="s">
        <v>63</v>
      </c>
      <c r="K5812" s="148" t="s">
        <v>80</v>
      </c>
      <c r="L5812" s="148" t="s">
        <v>65</v>
      </c>
      <c r="M5812" s="148" t="s">
        <v>66</v>
      </c>
      <c r="N5812" s="148" t="s">
        <v>9651</v>
      </c>
      <c r="O5812" s="148" t="s">
        <v>9328</v>
      </c>
      <c r="P5812" s="148" t="s">
        <v>68</v>
      </c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1">
        <f t="shared" si="1"/>
        <v>5807</v>
      </c>
      <c r="B5813" s="97"/>
      <c r="C5813" s="82"/>
      <c r="D5813" s="171"/>
      <c r="E5813" s="125"/>
      <c r="F5813" s="81"/>
      <c r="G5813" s="191"/>
      <c r="H5813" s="307"/>
      <c r="I5813" s="149"/>
      <c r="J5813" s="103"/>
      <c r="K5813" s="103"/>
      <c r="L5813" s="103"/>
      <c r="M5813" s="103"/>
      <c r="N5813" s="103"/>
      <c r="O5813" s="103"/>
      <c r="P5813" s="103"/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1">
        <f t="shared" si="1"/>
        <v>5808</v>
      </c>
      <c r="B5814" s="97"/>
      <c r="C5814" s="82"/>
      <c r="D5814" s="171"/>
      <c r="E5814" s="125"/>
      <c r="F5814" s="81"/>
      <c r="G5814" s="125"/>
      <c r="H5814" s="308"/>
      <c r="I5814" s="149"/>
      <c r="J5814" s="103"/>
      <c r="K5814" s="103"/>
      <c r="L5814" s="103"/>
      <c r="M5814" s="103"/>
      <c r="N5814" s="103"/>
      <c r="O5814" s="103"/>
      <c r="P5814" s="103"/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1">
        <f t="shared" si="1"/>
        <v>5809</v>
      </c>
      <c r="B5815" s="97"/>
      <c r="C5815" s="82"/>
      <c r="D5815" s="171"/>
      <c r="E5815" s="125"/>
      <c r="F5815" s="81"/>
      <c r="G5815" s="125"/>
      <c r="H5815" s="81"/>
      <c r="I5815" s="149"/>
      <c r="J5815" s="103"/>
      <c r="K5815" s="103"/>
      <c r="L5815" s="103"/>
      <c r="M5815" s="103"/>
      <c r="N5815" s="103"/>
      <c r="O5815" s="103"/>
      <c r="P5815" s="103"/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1">
        <f t="shared" si="1"/>
        <v>5810</v>
      </c>
      <c r="B5816" s="90"/>
      <c r="C5816" s="82"/>
      <c r="D5816" s="171"/>
      <c r="E5816" s="125"/>
      <c r="F5816" s="81"/>
      <c r="G5816" s="125"/>
      <c r="H5816" s="81"/>
      <c r="I5816" s="149"/>
      <c r="J5816" s="103"/>
      <c r="K5816" s="103"/>
      <c r="L5816" s="103"/>
      <c r="M5816" s="103"/>
      <c r="N5816" s="103"/>
      <c r="O5816" s="103"/>
      <c r="P5816" s="103"/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1">
        <f t="shared" si="1"/>
        <v>5811</v>
      </c>
      <c r="B5817" s="90"/>
      <c r="C5817" s="82"/>
      <c r="D5817" s="171"/>
      <c r="E5817" s="125"/>
      <c r="F5817" s="81"/>
      <c r="G5817" s="125"/>
      <c r="H5817" s="81"/>
      <c r="I5817" s="149"/>
      <c r="J5817" s="103"/>
      <c r="K5817" s="103"/>
      <c r="L5817" s="103"/>
      <c r="M5817" s="103"/>
      <c r="N5817" s="103"/>
      <c r="O5817" s="103"/>
      <c r="P5817" s="103"/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1">
        <f t="shared" si="1"/>
        <v>5812</v>
      </c>
      <c r="B5818" s="90"/>
      <c r="C5818" s="82"/>
      <c r="D5818" s="171"/>
      <c r="E5818" s="125"/>
      <c r="F5818" s="81"/>
      <c r="G5818" s="125"/>
      <c r="H5818" s="81"/>
      <c r="I5818" s="149"/>
      <c r="J5818" s="103"/>
      <c r="K5818" s="103"/>
      <c r="L5818" s="103"/>
      <c r="M5818" s="103"/>
      <c r="N5818" s="103"/>
      <c r="O5818" s="103"/>
      <c r="P5818" s="103"/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1">
        <f t="shared" si="1"/>
        <v>5813</v>
      </c>
      <c r="B5819" s="90"/>
      <c r="C5819" s="82"/>
      <c r="D5819" s="171"/>
      <c r="E5819" s="125"/>
      <c r="F5819" s="81"/>
      <c r="G5819" s="125"/>
      <c r="H5819" s="81"/>
      <c r="I5819" s="149"/>
      <c r="J5819" s="103"/>
      <c r="K5819" s="103"/>
      <c r="L5819" s="103"/>
      <c r="M5819" s="103"/>
      <c r="N5819" s="103"/>
      <c r="O5819" s="103"/>
      <c r="P5819" s="103"/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1">
        <f t="shared" si="1"/>
        <v>5814</v>
      </c>
      <c r="B5820" s="90"/>
      <c r="C5820" s="82"/>
      <c r="D5820" s="171"/>
      <c r="E5820" s="125"/>
      <c r="F5820" s="81"/>
      <c r="G5820" s="125"/>
      <c r="H5820" s="81"/>
      <c r="I5820" s="149"/>
      <c r="J5820" s="103"/>
      <c r="K5820" s="103"/>
      <c r="L5820" s="103"/>
      <c r="M5820" s="103"/>
      <c r="N5820" s="103"/>
      <c r="O5820" s="103"/>
      <c r="P5820" s="103"/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1">
        <f t="shared" si="1"/>
        <v>5815</v>
      </c>
      <c r="B5821" s="90"/>
      <c r="C5821" s="82"/>
      <c r="D5821" s="171"/>
      <c r="E5821" s="125"/>
      <c r="F5821" s="81"/>
      <c r="G5821" s="125"/>
      <c r="H5821" s="81"/>
      <c r="I5821" s="149"/>
      <c r="J5821" s="103"/>
      <c r="K5821" s="103"/>
      <c r="L5821" s="103"/>
      <c r="M5821" s="103"/>
      <c r="N5821" s="103"/>
      <c r="O5821" s="103"/>
      <c r="P5821" s="103"/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1">
        <f t="shared" si="1"/>
        <v>5816</v>
      </c>
      <c r="B5822" s="90"/>
      <c r="C5822" s="82"/>
      <c r="D5822" s="171"/>
      <c r="E5822" s="125"/>
      <c r="F5822" s="81"/>
      <c r="G5822" s="125"/>
      <c r="H5822" s="81"/>
      <c r="I5822" s="149"/>
      <c r="J5822" s="103"/>
      <c r="K5822" s="103"/>
      <c r="L5822" s="103"/>
      <c r="M5822" s="103"/>
      <c r="N5822" s="103"/>
      <c r="O5822" s="103"/>
      <c r="P5822" s="103"/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1">
        <f t="shared" si="1"/>
        <v>5817</v>
      </c>
      <c r="B5823" s="90"/>
      <c r="C5823" s="82"/>
      <c r="D5823" s="171"/>
      <c r="E5823" s="125"/>
      <c r="F5823" s="81"/>
      <c r="G5823" s="125"/>
      <c r="H5823" s="81"/>
      <c r="I5823" s="149"/>
      <c r="J5823" s="103"/>
      <c r="K5823" s="103"/>
      <c r="L5823" s="103"/>
      <c r="M5823" s="103"/>
      <c r="N5823" s="103"/>
      <c r="O5823" s="103"/>
      <c r="P5823" s="103"/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1">
        <f t="shared" si="1"/>
        <v>5818</v>
      </c>
      <c r="B5824" s="90"/>
      <c r="C5824" s="82"/>
      <c r="D5824" s="171"/>
      <c r="E5824" s="125"/>
      <c r="F5824" s="81"/>
      <c r="G5824" s="125"/>
      <c r="H5824" s="81"/>
      <c r="I5824" s="149"/>
      <c r="J5824" s="103"/>
      <c r="K5824" s="103"/>
      <c r="L5824" s="103"/>
      <c r="M5824" s="103"/>
      <c r="N5824" s="103"/>
      <c r="O5824" s="103"/>
      <c r="P5824" s="103"/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1">
        <f t="shared" si="1"/>
        <v>5819</v>
      </c>
      <c r="B5825" s="90"/>
      <c r="C5825" s="81"/>
      <c r="D5825" s="171"/>
      <c r="E5825" s="125"/>
      <c r="F5825" s="81"/>
      <c r="G5825" s="125"/>
      <c r="H5825" s="81"/>
      <c r="I5825" s="149"/>
      <c r="J5825" s="103"/>
      <c r="K5825" s="103"/>
      <c r="L5825" s="103"/>
      <c r="M5825" s="103"/>
      <c r="N5825" s="103"/>
      <c r="O5825" s="103"/>
      <c r="P5825" s="103"/>
      <c r="Q5825" s="103"/>
      <c r="R5825" s="103"/>
      <c r="S5825" s="103"/>
      <c r="T5825" s="103"/>
      <c r="U5825" s="103"/>
      <c r="V5825" s="9"/>
      <c r="W5825" s="9"/>
      <c r="X5825" s="9"/>
      <c r="Y5825" s="9"/>
      <c r="Z5825" s="9"/>
      <c r="AA5825" s="9"/>
      <c r="AB5825" s="9"/>
    </row>
    <row r="5826" ht="18.0" customHeight="1">
      <c r="A5826" s="131">
        <f t="shared" si="1"/>
        <v>5820</v>
      </c>
      <c r="B5826" s="90"/>
      <c r="C5826" s="81"/>
      <c r="D5826" s="171"/>
      <c r="E5826" s="125"/>
      <c r="F5826" s="81"/>
      <c r="G5826" s="125"/>
      <c r="H5826" s="81"/>
      <c r="I5826" s="149"/>
      <c r="J5826" s="103"/>
      <c r="K5826" s="103"/>
      <c r="L5826" s="103"/>
      <c r="M5826" s="103"/>
      <c r="N5826" s="103"/>
      <c r="O5826" s="103"/>
      <c r="P5826" s="103"/>
      <c r="Q5826" s="103"/>
      <c r="R5826" s="103"/>
      <c r="S5826" s="103"/>
      <c r="T5826" s="103"/>
      <c r="U5826" s="103"/>
      <c r="V5826" s="9"/>
      <c r="W5826" s="9"/>
      <c r="X5826" s="9"/>
      <c r="Y5826" s="9"/>
      <c r="Z5826" s="9"/>
      <c r="AA5826" s="9"/>
      <c r="AB5826" s="9"/>
    </row>
    <row r="5827" ht="18.0" customHeight="1">
      <c r="A5827" s="131">
        <f t="shared" si="1"/>
        <v>5821</v>
      </c>
      <c r="B5827" s="90"/>
      <c r="C5827" s="81"/>
      <c r="D5827" s="171"/>
      <c r="E5827" s="125"/>
      <c r="F5827" s="81"/>
      <c r="G5827" s="125"/>
      <c r="H5827" s="81"/>
      <c r="I5827" s="149"/>
      <c r="J5827" s="103"/>
      <c r="K5827" s="103"/>
      <c r="L5827" s="103"/>
      <c r="M5827" s="103"/>
      <c r="N5827" s="103"/>
      <c r="O5827" s="103"/>
      <c r="P5827" s="103"/>
      <c r="Q5827" s="103"/>
      <c r="R5827" s="103"/>
      <c r="S5827" s="103"/>
      <c r="T5827" s="103"/>
      <c r="U5827" s="103"/>
      <c r="V5827" s="9"/>
      <c r="W5827" s="9"/>
      <c r="X5827" s="9"/>
      <c r="Y5827" s="9"/>
      <c r="Z5827" s="9"/>
      <c r="AA5827" s="9"/>
      <c r="AB5827" s="9"/>
    </row>
    <row r="5828" ht="18.0" customHeight="1">
      <c r="A5828" s="131">
        <f t="shared" si="1"/>
        <v>5822</v>
      </c>
      <c r="B5828" s="90"/>
      <c r="C5828" s="81"/>
      <c r="D5828" s="171"/>
      <c r="E5828" s="125"/>
      <c r="F5828" s="81"/>
      <c r="G5828" s="125"/>
      <c r="H5828" s="81"/>
      <c r="I5828" s="149"/>
      <c r="J5828" s="103"/>
      <c r="K5828" s="103"/>
      <c r="L5828" s="103"/>
      <c r="M5828" s="103"/>
      <c r="N5828" s="103"/>
      <c r="O5828" s="103"/>
      <c r="P5828" s="103"/>
      <c r="Q5828" s="103"/>
      <c r="R5828" s="103"/>
      <c r="S5828" s="103"/>
      <c r="T5828" s="103"/>
      <c r="U5828" s="103"/>
      <c r="V5828" s="9"/>
      <c r="W5828" s="9"/>
      <c r="X5828" s="9"/>
      <c r="Y5828" s="9"/>
      <c r="Z5828" s="9"/>
      <c r="AA5828" s="9"/>
      <c r="AB5828" s="9"/>
    </row>
    <row r="5829" ht="18.0" customHeight="1">
      <c r="A5829" s="131">
        <f t="shared" si="1"/>
        <v>5823</v>
      </c>
      <c r="B5829" s="90"/>
      <c r="C5829" s="81"/>
      <c r="D5829" s="171"/>
      <c r="E5829" s="125"/>
      <c r="F5829" s="81"/>
      <c r="G5829" s="125"/>
      <c r="H5829" s="81"/>
      <c r="I5829" s="149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1">
        <f t="shared" si="1"/>
        <v>5824</v>
      </c>
      <c r="B5830" s="90"/>
      <c r="C5830" s="81"/>
      <c r="D5830" s="171"/>
      <c r="E5830" s="125"/>
      <c r="F5830" s="81"/>
      <c r="G5830" s="125"/>
      <c r="H5830" s="81"/>
      <c r="I5830" s="149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1">
        <f t="shared" si="1"/>
        <v>5825</v>
      </c>
      <c r="B5831" s="90"/>
      <c r="C5831" s="81"/>
      <c r="D5831" s="171"/>
      <c r="E5831" s="125"/>
      <c r="F5831" s="81"/>
      <c r="G5831" s="125"/>
      <c r="H5831" s="81"/>
      <c r="I5831" s="149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1">
        <f t="shared" si="1"/>
        <v>5826</v>
      </c>
      <c r="B5832" s="90"/>
      <c r="C5832" s="81"/>
      <c r="D5832" s="171"/>
      <c r="E5832" s="125"/>
      <c r="F5832" s="81"/>
      <c r="G5832" s="125"/>
      <c r="H5832" s="81"/>
      <c r="I5832" s="149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1">
        <f t="shared" si="1"/>
        <v>5827</v>
      </c>
      <c r="B5833" s="90"/>
      <c r="C5833" s="81"/>
      <c r="D5833" s="171"/>
      <c r="E5833" s="125"/>
      <c r="F5833" s="81"/>
      <c r="G5833" s="125"/>
      <c r="H5833" s="81"/>
      <c r="I5833" s="149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1">
        <f t="shared" si="1"/>
        <v>5828</v>
      </c>
      <c r="B5834" s="90"/>
      <c r="C5834" s="81"/>
      <c r="D5834" s="171"/>
      <c r="E5834" s="125"/>
      <c r="F5834" s="81"/>
      <c r="G5834" s="125"/>
      <c r="H5834" s="81"/>
      <c r="I5834" s="149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1">
        <f t="shared" si="1"/>
        <v>5829</v>
      </c>
      <c r="B5835" s="90"/>
      <c r="C5835" s="81"/>
      <c r="D5835" s="171"/>
      <c r="E5835" s="125"/>
      <c r="F5835" s="81"/>
      <c r="G5835" s="125"/>
      <c r="H5835" s="81"/>
      <c r="I5835" s="149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1">
        <f t="shared" si="1"/>
        <v>5830</v>
      </c>
      <c r="B5836" s="90"/>
      <c r="C5836" s="81"/>
      <c r="D5836" s="171"/>
      <c r="E5836" s="125"/>
      <c r="F5836" s="81"/>
      <c r="G5836" s="125"/>
      <c r="H5836" s="81"/>
      <c r="I5836" s="149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1">
        <f t="shared" si="1"/>
        <v>5831</v>
      </c>
      <c r="B5837" s="90"/>
      <c r="C5837" s="81"/>
      <c r="D5837" s="171"/>
      <c r="E5837" s="125"/>
      <c r="F5837" s="81"/>
      <c r="G5837" s="125"/>
      <c r="H5837" s="81"/>
      <c r="I5837" s="149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1">
        <f t="shared" si="1"/>
        <v>5832</v>
      </c>
      <c r="B5838" s="90"/>
      <c r="C5838" s="81"/>
      <c r="D5838" s="171"/>
      <c r="E5838" s="125"/>
      <c r="F5838" s="81"/>
      <c r="G5838" s="125"/>
      <c r="H5838" s="81"/>
      <c r="I5838" s="149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1">
        <f t="shared" si="1"/>
        <v>5833</v>
      </c>
      <c r="B5839" s="90"/>
      <c r="C5839" s="81"/>
      <c r="D5839" s="171"/>
      <c r="E5839" s="125"/>
      <c r="F5839" s="81"/>
      <c r="G5839" s="125"/>
      <c r="H5839" s="81"/>
      <c r="I5839" s="149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1">
        <f t="shared" si="1"/>
        <v>5834</v>
      </c>
      <c r="B5840" s="90"/>
      <c r="C5840" s="81"/>
      <c r="D5840" s="171"/>
      <c r="E5840" s="125"/>
      <c r="F5840" s="81"/>
      <c r="G5840" s="125"/>
      <c r="H5840" s="81"/>
      <c r="I5840" s="149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1">
        <f t="shared" si="1"/>
        <v>5835</v>
      </c>
      <c r="B5841" s="90"/>
      <c r="C5841" s="81"/>
      <c r="D5841" s="171"/>
      <c r="E5841" s="125"/>
      <c r="F5841" s="81"/>
      <c r="G5841" s="125"/>
      <c r="H5841" s="81"/>
      <c r="I5841" s="149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1">
        <f t="shared" si="1"/>
        <v>5836</v>
      </c>
      <c r="B5842" s="90"/>
      <c r="C5842" s="81"/>
      <c r="D5842" s="171"/>
      <c r="E5842" s="125"/>
      <c r="F5842" s="81"/>
      <c r="G5842" s="125"/>
      <c r="H5842" s="81"/>
      <c r="I5842" s="149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1">
        <f t="shared" si="1"/>
        <v>5837</v>
      </c>
      <c r="B5843" s="90"/>
      <c r="C5843" s="81"/>
      <c r="D5843" s="171"/>
      <c r="E5843" s="125"/>
      <c r="F5843" s="81"/>
      <c r="G5843" s="125"/>
      <c r="H5843" s="81"/>
      <c r="I5843" s="149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1">
        <f t="shared" si="1"/>
        <v>5838</v>
      </c>
      <c r="B5844" s="90"/>
      <c r="C5844" s="81"/>
      <c r="D5844" s="171"/>
      <c r="E5844" s="125"/>
      <c r="F5844" s="81"/>
      <c r="G5844" s="125"/>
      <c r="H5844" s="81"/>
      <c r="I5844" s="149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1">
        <f t="shared" si="1"/>
        <v>5839</v>
      </c>
      <c r="B5845" s="90"/>
      <c r="C5845" s="81"/>
      <c r="D5845" s="171"/>
      <c r="E5845" s="125"/>
      <c r="F5845" s="81"/>
      <c r="G5845" s="125"/>
      <c r="H5845" s="81"/>
      <c r="I5845" s="149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1">
        <f t="shared" si="1"/>
        <v>5840</v>
      </c>
      <c r="B5846" s="90"/>
      <c r="C5846" s="81"/>
      <c r="D5846" s="171"/>
      <c r="E5846" s="125"/>
      <c r="F5846" s="81"/>
      <c r="G5846" s="125"/>
      <c r="H5846" s="81"/>
      <c r="I5846" s="149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1">
        <f t="shared" si="1"/>
        <v>5841</v>
      </c>
      <c r="B5847" s="90"/>
      <c r="C5847" s="81"/>
      <c r="D5847" s="171"/>
      <c r="E5847" s="125"/>
      <c r="F5847" s="81"/>
      <c r="G5847" s="125"/>
      <c r="H5847" s="81"/>
      <c r="I5847" s="149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1">
        <f t="shared" si="1"/>
        <v>5842</v>
      </c>
      <c r="B5848" s="90"/>
      <c r="C5848" s="81"/>
      <c r="D5848" s="171"/>
      <c r="E5848" s="125"/>
      <c r="F5848" s="81"/>
      <c r="G5848" s="125"/>
      <c r="H5848" s="81"/>
      <c r="I5848" s="149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1">
        <f t="shared" si="1"/>
        <v>5843</v>
      </c>
      <c r="B5849" s="90"/>
      <c r="C5849" s="81"/>
      <c r="D5849" s="171"/>
      <c r="E5849" s="125"/>
      <c r="F5849" s="81"/>
      <c r="G5849" s="125"/>
      <c r="H5849" s="81"/>
      <c r="I5849" s="149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1">
        <f t="shared" si="1"/>
        <v>5844</v>
      </c>
      <c r="B5850" s="90"/>
      <c r="C5850" s="81"/>
      <c r="D5850" s="171"/>
      <c r="E5850" s="125"/>
      <c r="F5850" s="81"/>
      <c r="G5850" s="125"/>
      <c r="H5850" s="81"/>
      <c r="I5850" s="149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1">
        <f t="shared" si="1"/>
        <v>5845</v>
      </c>
      <c r="B5851" s="90"/>
      <c r="C5851" s="81"/>
      <c r="D5851" s="171"/>
      <c r="E5851" s="125"/>
      <c r="F5851" s="81"/>
      <c r="G5851" s="125"/>
      <c r="H5851" s="81"/>
      <c r="I5851" s="149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1">
        <f t="shared" si="1"/>
        <v>5846</v>
      </c>
      <c r="B5852" s="90"/>
      <c r="C5852" s="81"/>
      <c r="D5852" s="171"/>
      <c r="E5852" s="125"/>
      <c r="F5852" s="81"/>
      <c r="G5852" s="125"/>
      <c r="H5852" s="81"/>
      <c r="I5852" s="149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1">
        <f t="shared" si="1"/>
        <v>5847</v>
      </c>
      <c r="B5853" s="90"/>
      <c r="C5853" s="81"/>
      <c r="D5853" s="171"/>
      <c r="E5853" s="125"/>
      <c r="F5853" s="81"/>
      <c r="G5853" s="125"/>
      <c r="H5853" s="81"/>
      <c r="I5853" s="149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1">
        <f t="shared" si="1"/>
        <v>5848</v>
      </c>
      <c r="B5854" s="90"/>
      <c r="C5854" s="81"/>
      <c r="D5854" s="171"/>
      <c r="E5854" s="125"/>
      <c r="F5854" s="81"/>
      <c r="G5854" s="125"/>
      <c r="H5854" s="81"/>
      <c r="I5854" s="149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1">
        <f t="shared" si="1"/>
        <v>5849</v>
      </c>
      <c r="B5855" s="90"/>
      <c r="C5855" s="81"/>
      <c r="D5855" s="171"/>
      <c r="E5855" s="125"/>
      <c r="F5855" s="81"/>
      <c r="G5855" s="125"/>
      <c r="H5855" s="81"/>
      <c r="I5855" s="149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1">
        <f t="shared" si="1"/>
        <v>5850</v>
      </c>
      <c r="B5856" s="90"/>
      <c r="C5856" s="81"/>
      <c r="D5856" s="171"/>
      <c r="E5856" s="125"/>
      <c r="F5856" s="81"/>
      <c r="G5856" s="125"/>
      <c r="H5856" s="81"/>
      <c r="I5856" s="149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1">
        <f t="shared" si="1"/>
        <v>5851</v>
      </c>
      <c r="B5857" s="90"/>
      <c r="C5857" s="81"/>
      <c r="D5857" s="171"/>
      <c r="E5857" s="125"/>
      <c r="F5857" s="81"/>
      <c r="G5857" s="125"/>
      <c r="H5857" s="81"/>
      <c r="I5857" s="149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1">
        <f t="shared" si="1"/>
        <v>5852</v>
      </c>
      <c r="B5858" s="90"/>
      <c r="C5858" s="81"/>
      <c r="D5858" s="171"/>
      <c r="E5858" s="125"/>
      <c r="F5858" s="81"/>
      <c r="G5858" s="125"/>
      <c r="H5858" s="81"/>
      <c r="I5858" s="149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1">
        <f t="shared" si="1"/>
        <v>5853</v>
      </c>
      <c r="B5859" s="90"/>
      <c r="C5859" s="81"/>
      <c r="D5859" s="171"/>
      <c r="E5859" s="125"/>
      <c r="F5859" s="81"/>
      <c r="G5859" s="125"/>
      <c r="H5859" s="81"/>
      <c r="I5859" s="149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1">
        <f t="shared" si="1"/>
        <v>5854</v>
      </c>
      <c r="B5860" s="90"/>
      <c r="C5860" s="81"/>
      <c r="D5860" s="171"/>
      <c r="E5860" s="125"/>
      <c r="F5860" s="81"/>
      <c r="G5860" s="125"/>
      <c r="H5860" s="81"/>
      <c r="I5860" s="149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1">
        <f t="shared" si="1"/>
        <v>5855</v>
      </c>
      <c r="B5861" s="90"/>
      <c r="C5861" s="81"/>
      <c r="D5861" s="171"/>
      <c r="E5861" s="125"/>
      <c r="F5861" s="81"/>
      <c r="G5861" s="125"/>
      <c r="H5861" s="81"/>
      <c r="I5861" s="149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1">
        <f t="shared" si="1"/>
        <v>5856</v>
      </c>
      <c r="B5862" s="90"/>
      <c r="C5862" s="81"/>
      <c r="D5862" s="171"/>
      <c r="E5862" s="125"/>
      <c r="F5862" s="81"/>
      <c r="G5862" s="125"/>
      <c r="H5862" s="81"/>
      <c r="I5862" s="149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1">
        <f t="shared" si="1"/>
        <v>5857</v>
      </c>
      <c r="B5863" s="90"/>
      <c r="C5863" s="81"/>
      <c r="D5863" s="171"/>
      <c r="E5863" s="125"/>
      <c r="F5863" s="81"/>
      <c r="G5863" s="125"/>
      <c r="H5863" s="81"/>
      <c r="I5863" s="149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1">
        <f t="shared" si="1"/>
        <v>5858</v>
      </c>
      <c r="B5864" s="90"/>
      <c r="C5864" s="81"/>
      <c r="D5864" s="171"/>
      <c r="E5864" s="125"/>
      <c r="F5864" s="81"/>
      <c r="G5864" s="125"/>
      <c r="H5864" s="81"/>
      <c r="I5864" s="149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1">
        <f t="shared" si="1"/>
        <v>5859</v>
      </c>
      <c r="B5865" s="90"/>
      <c r="C5865" s="81"/>
      <c r="D5865" s="171"/>
      <c r="E5865" s="125"/>
      <c r="F5865" s="81"/>
      <c r="G5865" s="125"/>
      <c r="H5865" s="81"/>
      <c r="I5865" s="149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1">
        <f t="shared" si="1"/>
        <v>5860</v>
      </c>
      <c r="B5866" s="90"/>
      <c r="C5866" s="81"/>
      <c r="D5866" s="171"/>
      <c r="E5866" s="125"/>
      <c r="F5866" s="81"/>
      <c r="G5866" s="125"/>
      <c r="H5866" s="81"/>
      <c r="I5866" s="149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1">
        <f t="shared" si="1"/>
        <v>5861</v>
      </c>
      <c r="B5867" s="90"/>
      <c r="C5867" s="81"/>
      <c r="D5867" s="171"/>
      <c r="E5867" s="125"/>
      <c r="F5867" s="81"/>
      <c r="G5867" s="125"/>
      <c r="H5867" s="81"/>
      <c r="I5867" s="149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1">
        <f t="shared" si="1"/>
        <v>5862</v>
      </c>
      <c r="B5868" s="90"/>
      <c r="C5868" s="81"/>
      <c r="D5868" s="171"/>
      <c r="E5868" s="125"/>
      <c r="F5868" s="81"/>
      <c r="G5868" s="125"/>
      <c r="H5868" s="81"/>
      <c r="I5868" s="149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1">
        <f t="shared" si="1"/>
        <v>5863</v>
      </c>
      <c r="B5869" s="90"/>
      <c r="C5869" s="81"/>
      <c r="D5869" s="171"/>
      <c r="E5869" s="125"/>
      <c r="F5869" s="81"/>
      <c r="G5869" s="125"/>
      <c r="H5869" s="81"/>
      <c r="I5869" s="149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1">
        <f t="shared" si="1"/>
        <v>5864</v>
      </c>
      <c r="B5870" s="90"/>
      <c r="C5870" s="81"/>
      <c r="D5870" s="171"/>
      <c r="E5870" s="125"/>
      <c r="F5870" s="81"/>
      <c r="G5870" s="125"/>
      <c r="H5870" s="81"/>
      <c r="I5870" s="149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1">
        <f t="shared" si="1"/>
        <v>5865</v>
      </c>
      <c r="B5871" s="90"/>
      <c r="C5871" s="81"/>
      <c r="D5871" s="171"/>
      <c r="E5871" s="125"/>
      <c r="F5871" s="81"/>
      <c r="G5871" s="125"/>
      <c r="H5871" s="81"/>
      <c r="I5871" s="149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1">
        <f t="shared" si="1"/>
        <v>5866</v>
      </c>
      <c r="B5872" s="90"/>
      <c r="C5872" s="81"/>
      <c r="D5872" s="171"/>
      <c r="E5872" s="125"/>
      <c r="F5872" s="81"/>
      <c r="G5872" s="125"/>
      <c r="H5872" s="81"/>
      <c r="I5872" s="149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1">
        <f t="shared" si="1"/>
        <v>5867</v>
      </c>
      <c r="B5873" s="90"/>
      <c r="C5873" s="81"/>
      <c r="D5873" s="171"/>
      <c r="E5873" s="125"/>
      <c r="F5873" s="81"/>
      <c r="G5873" s="125"/>
      <c r="H5873" s="81"/>
      <c r="I5873" s="149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1">
        <f t="shared" si="1"/>
        <v>5868</v>
      </c>
      <c r="B5874" s="90"/>
      <c r="C5874" s="81"/>
      <c r="D5874" s="171"/>
      <c r="E5874" s="125"/>
      <c r="F5874" s="81"/>
      <c r="G5874" s="125"/>
      <c r="H5874" s="81"/>
      <c r="I5874" s="149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1">
        <f t="shared" si="1"/>
        <v>5869</v>
      </c>
      <c r="B5875" s="90"/>
      <c r="C5875" s="81"/>
      <c r="D5875" s="171"/>
      <c r="E5875" s="125"/>
      <c r="F5875" s="81"/>
      <c r="G5875" s="125"/>
      <c r="H5875" s="81"/>
      <c r="I5875" s="149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1">
        <f t="shared" si="1"/>
        <v>5870</v>
      </c>
      <c r="B5876" s="90"/>
      <c r="C5876" s="81"/>
      <c r="D5876" s="171"/>
      <c r="E5876" s="125"/>
      <c r="F5876" s="81"/>
      <c r="G5876" s="125"/>
      <c r="H5876" s="81"/>
      <c r="I5876" s="149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1">
        <f t="shared" si="1"/>
        <v>5871</v>
      </c>
      <c r="B5877" s="90"/>
      <c r="C5877" s="81"/>
      <c r="D5877" s="171"/>
      <c r="E5877" s="125"/>
      <c r="F5877" s="81"/>
      <c r="G5877" s="125"/>
      <c r="H5877" s="81"/>
      <c r="I5877" s="149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1">
        <f t="shared" si="1"/>
        <v>5872</v>
      </c>
      <c r="B5878" s="90"/>
      <c r="C5878" s="81"/>
      <c r="D5878" s="171"/>
      <c r="E5878" s="125"/>
      <c r="F5878" s="81"/>
      <c r="G5878" s="125"/>
      <c r="H5878" s="81"/>
      <c r="I5878" s="149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1">
        <f t="shared" si="1"/>
        <v>5873</v>
      </c>
      <c r="B5879" s="90"/>
      <c r="C5879" s="81"/>
      <c r="D5879" s="171"/>
      <c r="E5879" s="125"/>
      <c r="F5879" s="81"/>
      <c r="G5879" s="125"/>
      <c r="H5879" s="81"/>
      <c r="I5879" s="149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1">
        <f t="shared" si="1"/>
        <v>5874</v>
      </c>
      <c r="B5880" s="90"/>
      <c r="C5880" s="81"/>
      <c r="D5880" s="171"/>
      <c r="E5880" s="125"/>
      <c r="F5880" s="81"/>
      <c r="G5880" s="125"/>
      <c r="H5880" s="81"/>
      <c r="I5880" s="149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1">
        <f t="shared" si="1"/>
        <v>5875</v>
      </c>
      <c r="B5881" s="90"/>
      <c r="C5881" s="81"/>
      <c r="D5881" s="171"/>
      <c r="E5881" s="125"/>
      <c r="F5881" s="81"/>
      <c r="G5881" s="125"/>
      <c r="H5881" s="81"/>
      <c r="I5881" s="149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1">
        <f t="shared" si="1"/>
        <v>5876</v>
      </c>
      <c r="B5882" s="90"/>
      <c r="C5882" s="81"/>
      <c r="D5882" s="171"/>
      <c r="E5882" s="125"/>
      <c r="F5882" s="81"/>
      <c r="G5882" s="125"/>
      <c r="H5882" s="81"/>
      <c r="I5882" s="149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1">
        <f t="shared" si="1"/>
        <v>5877</v>
      </c>
      <c r="B5883" s="90"/>
      <c r="C5883" s="81"/>
      <c r="D5883" s="171"/>
      <c r="E5883" s="125"/>
      <c r="F5883" s="81"/>
      <c r="G5883" s="125"/>
      <c r="H5883" s="81"/>
      <c r="I5883" s="149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1">
        <f t="shared" si="1"/>
        <v>5878</v>
      </c>
      <c r="B5884" s="90"/>
      <c r="C5884" s="81"/>
      <c r="D5884" s="171"/>
      <c r="E5884" s="125"/>
      <c r="F5884" s="81"/>
      <c r="G5884" s="125"/>
      <c r="H5884" s="81"/>
      <c r="I5884" s="149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1">
        <f t="shared" si="1"/>
        <v>5879</v>
      </c>
      <c r="B5885" s="90"/>
      <c r="C5885" s="81"/>
      <c r="D5885" s="171"/>
      <c r="E5885" s="125"/>
      <c r="F5885" s="81"/>
      <c r="G5885" s="125"/>
      <c r="H5885" s="81"/>
      <c r="I5885" s="149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1">
        <f t="shared" si="1"/>
        <v>5880</v>
      </c>
      <c r="B5886" s="90"/>
      <c r="C5886" s="81"/>
      <c r="D5886" s="171"/>
      <c r="E5886" s="125"/>
      <c r="F5886" s="81"/>
      <c r="G5886" s="125"/>
      <c r="H5886" s="81"/>
      <c r="I5886" s="149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1">
        <f t="shared" si="1"/>
        <v>5881</v>
      </c>
      <c r="B5887" s="90"/>
      <c r="C5887" s="81"/>
      <c r="D5887" s="171"/>
      <c r="E5887" s="125"/>
      <c r="F5887" s="81"/>
      <c r="G5887" s="125"/>
      <c r="H5887" s="81"/>
      <c r="I5887" s="149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1">
        <f t="shared" si="1"/>
        <v>5882</v>
      </c>
      <c r="B5888" s="90"/>
      <c r="C5888" s="81"/>
      <c r="D5888" s="171"/>
      <c r="E5888" s="125"/>
      <c r="F5888" s="81"/>
      <c r="G5888" s="125"/>
      <c r="H5888" s="81"/>
      <c r="I5888" s="149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1">
        <f t="shared" si="1"/>
        <v>5883</v>
      </c>
      <c r="B5889" s="90"/>
      <c r="C5889" s="81"/>
      <c r="D5889" s="171"/>
      <c r="E5889" s="125"/>
      <c r="F5889" s="81"/>
      <c r="G5889" s="125"/>
      <c r="H5889" s="81"/>
      <c r="I5889" s="149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1">
        <f t="shared" si="1"/>
        <v>5884</v>
      </c>
      <c r="B5890" s="90"/>
      <c r="C5890" s="81"/>
      <c r="D5890" s="171"/>
      <c r="E5890" s="125"/>
      <c r="F5890" s="81"/>
      <c r="G5890" s="125"/>
      <c r="H5890" s="81"/>
      <c r="I5890" s="149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1">
        <f t="shared" si="1"/>
        <v>5885</v>
      </c>
      <c r="B5891" s="90"/>
      <c r="C5891" s="81"/>
      <c r="D5891" s="171"/>
      <c r="E5891" s="125"/>
      <c r="F5891" s="81"/>
      <c r="G5891" s="125"/>
      <c r="H5891" s="81"/>
      <c r="I5891" s="149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1">
        <f t="shared" si="1"/>
        <v>5886</v>
      </c>
      <c r="B5892" s="90"/>
      <c r="C5892" s="81"/>
      <c r="D5892" s="171"/>
      <c r="E5892" s="125"/>
      <c r="F5892" s="81"/>
      <c r="G5892" s="125"/>
      <c r="H5892" s="81"/>
      <c r="I5892" s="149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1">
        <f t="shared" si="1"/>
        <v>5887</v>
      </c>
      <c r="B5893" s="90"/>
      <c r="C5893" s="81"/>
      <c r="D5893" s="171"/>
      <c r="E5893" s="125"/>
      <c r="F5893" s="81"/>
      <c r="G5893" s="125"/>
      <c r="H5893" s="81"/>
      <c r="I5893" s="149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1">
        <f t="shared" si="1"/>
        <v>5888</v>
      </c>
      <c r="B5894" s="90"/>
      <c r="C5894" s="81"/>
      <c r="D5894" s="171"/>
      <c r="E5894" s="125"/>
      <c r="F5894" s="81"/>
      <c r="G5894" s="125"/>
      <c r="H5894" s="81"/>
      <c r="I5894" s="149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1">
        <f t="shared" si="1"/>
        <v>5889</v>
      </c>
      <c r="B5895" s="90"/>
      <c r="C5895" s="81"/>
      <c r="D5895" s="171"/>
      <c r="E5895" s="125"/>
      <c r="F5895" s="81"/>
      <c r="G5895" s="125"/>
      <c r="H5895" s="81"/>
      <c r="I5895" s="149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1">
        <f t="shared" si="1"/>
        <v>5890</v>
      </c>
      <c r="B5896" s="90"/>
      <c r="C5896" s="81"/>
      <c r="D5896" s="171"/>
      <c r="E5896" s="125"/>
      <c r="F5896" s="81"/>
      <c r="G5896" s="125"/>
      <c r="H5896" s="81"/>
      <c r="I5896" s="149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1">
        <f t="shared" si="1"/>
        <v>5891</v>
      </c>
      <c r="B5897" s="90"/>
      <c r="C5897" s="81"/>
      <c r="D5897" s="171"/>
      <c r="E5897" s="125"/>
      <c r="F5897" s="81"/>
      <c r="G5897" s="125"/>
      <c r="H5897" s="81"/>
      <c r="I5897" s="149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1">
        <f t="shared" si="1"/>
        <v>5892</v>
      </c>
      <c r="B5898" s="90"/>
      <c r="C5898" s="81"/>
      <c r="D5898" s="171"/>
      <c r="E5898" s="125"/>
      <c r="F5898" s="81"/>
      <c r="G5898" s="125"/>
      <c r="H5898" s="81"/>
      <c r="I5898" s="149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1"/>
      <c r="B5899" s="90"/>
      <c r="C5899" s="81"/>
      <c r="D5899" s="171"/>
      <c r="E5899" s="125"/>
      <c r="F5899" s="81"/>
      <c r="G5899" s="125"/>
      <c r="H5899" s="81"/>
      <c r="I5899" s="149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1"/>
      <c r="B5900" s="90"/>
      <c r="C5900" s="81"/>
      <c r="D5900" s="171"/>
      <c r="E5900" s="125"/>
      <c r="F5900" s="81"/>
      <c r="G5900" s="125"/>
      <c r="H5900" s="81"/>
      <c r="I5900" s="149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1"/>
      <c r="B5901" s="90"/>
      <c r="C5901" s="81"/>
      <c r="D5901" s="171"/>
      <c r="E5901" s="125"/>
      <c r="F5901" s="81"/>
      <c r="G5901" s="125"/>
      <c r="H5901" s="81"/>
      <c r="I5901" s="149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1"/>
      <c r="B5902" s="90"/>
      <c r="C5902" s="81"/>
      <c r="D5902" s="171"/>
      <c r="E5902" s="125"/>
      <c r="F5902" s="81"/>
      <c r="G5902" s="125"/>
      <c r="H5902" s="81"/>
      <c r="I5902" s="149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1"/>
      <c r="B5903" s="90"/>
      <c r="C5903" s="81"/>
      <c r="D5903" s="171"/>
      <c r="E5903" s="125"/>
      <c r="F5903" s="81"/>
      <c r="G5903" s="125"/>
      <c r="H5903" s="81"/>
      <c r="I5903" s="149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1"/>
      <c r="B5904" s="90"/>
      <c r="C5904" s="81"/>
      <c r="D5904" s="171"/>
      <c r="E5904" s="125"/>
      <c r="F5904" s="81"/>
      <c r="G5904" s="125"/>
      <c r="H5904" s="81"/>
      <c r="I5904" s="149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1"/>
      <c r="B5905" s="90"/>
      <c r="C5905" s="81"/>
      <c r="D5905" s="171"/>
      <c r="E5905" s="125"/>
      <c r="F5905" s="81"/>
      <c r="G5905" s="125"/>
      <c r="H5905" s="81"/>
      <c r="I5905" s="149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1"/>
      <c r="B5906" s="90"/>
      <c r="C5906" s="81"/>
      <c r="D5906" s="171"/>
      <c r="E5906" s="125"/>
      <c r="F5906" s="81"/>
      <c r="G5906" s="125"/>
      <c r="H5906" s="81"/>
      <c r="I5906" s="149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1"/>
      <c r="B5907" s="90"/>
      <c r="C5907" s="81"/>
      <c r="D5907" s="171"/>
      <c r="E5907" s="125"/>
      <c r="F5907" s="81"/>
      <c r="G5907" s="125"/>
      <c r="H5907" s="81"/>
      <c r="I5907" s="149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1"/>
      <c r="B5908" s="90"/>
      <c r="C5908" s="81"/>
      <c r="D5908" s="171"/>
      <c r="E5908" s="125"/>
      <c r="F5908" s="81"/>
      <c r="G5908" s="125"/>
      <c r="H5908" s="81"/>
      <c r="I5908" s="149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1"/>
      <c r="B5909" s="90"/>
      <c r="C5909" s="81"/>
      <c r="D5909" s="171"/>
      <c r="E5909" s="125"/>
      <c r="F5909" s="81"/>
      <c r="G5909" s="125"/>
      <c r="H5909" s="81"/>
      <c r="I5909" s="149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1"/>
      <c r="B5910" s="90"/>
      <c r="C5910" s="81"/>
      <c r="D5910" s="171"/>
      <c r="E5910" s="125"/>
      <c r="F5910" s="81"/>
      <c r="G5910" s="125"/>
      <c r="H5910" s="81"/>
      <c r="I5910" s="149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1"/>
      <c r="B5911" s="90"/>
      <c r="C5911" s="81"/>
      <c r="D5911" s="171"/>
      <c r="E5911" s="125"/>
      <c r="F5911" s="81"/>
      <c r="G5911" s="125"/>
      <c r="H5911" s="81"/>
      <c r="I5911" s="149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1"/>
      <c r="B5912" s="90"/>
      <c r="C5912" s="81"/>
      <c r="D5912" s="171"/>
      <c r="E5912" s="125"/>
      <c r="F5912" s="81"/>
      <c r="G5912" s="125"/>
      <c r="H5912" s="81"/>
      <c r="I5912" s="149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1"/>
      <c r="B5913" s="90"/>
      <c r="C5913" s="81"/>
      <c r="D5913" s="171"/>
      <c r="E5913" s="125"/>
      <c r="F5913" s="81"/>
      <c r="G5913" s="125"/>
      <c r="H5913" s="81"/>
      <c r="I5913" s="149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1"/>
      <c r="B5914" s="90"/>
      <c r="C5914" s="81"/>
      <c r="D5914" s="171"/>
      <c r="E5914" s="125"/>
      <c r="F5914" s="81"/>
      <c r="G5914" s="125"/>
      <c r="H5914" s="81"/>
      <c r="I5914" s="149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1"/>
      <c r="B5915" s="90"/>
      <c r="C5915" s="81"/>
      <c r="D5915" s="171"/>
      <c r="E5915" s="125"/>
      <c r="F5915" s="81"/>
      <c r="G5915" s="125"/>
      <c r="H5915" s="81"/>
      <c r="I5915" s="149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1"/>
      <c r="B5916" s="90"/>
      <c r="C5916" s="81"/>
      <c r="D5916" s="171"/>
      <c r="E5916" s="125"/>
      <c r="F5916" s="81"/>
      <c r="G5916" s="125"/>
      <c r="H5916" s="81"/>
      <c r="I5916" s="149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1"/>
      <c r="B5917" s="90"/>
      <c r="C5917" s="81"/>
      <c r="D5917" s="171"/>
      <c r="E5917" s="125"/>
      <c r="F5917" s="81"/>
      <c r="G5917" s="125"/>
      <c r="H5917" s="81"/>
      <c r="I5917" s="149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1"/>
      <c r="B5918" s="90"/>
      <c r="C5918" s="81"/>
      <c r="D5918" s="171"/>
      <c r="E5918" s="125"/>
      <c r="F5918" s="81"/>
      <c r="G5918" s="125"/>
      <c r="H5918" s="81"/>
      <c r="I5918" s="149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1"/>
      <c r="B5919" s="90"/>
      <c r="C5919" s="81"/>
      <c r="D5919" s="171"/>
      <c r="E5919" s="125"/>
      <c r="F5919" s="81"/>
      <c r="G5919" s="125"/>
      <c r="H5919" s="81"/>
      <c r="I5919" s="149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1"/>
      <c r="B5920" s="90"/>
      <c r="C5920" s="81"/>
      <c r="D5920" s="171"/>
      <c r="E5920" s="125"/>
      <c r="F5920" s="81"/>
      <c r="G5920" s="125"/>
      <c r="H5920" s="81"/>
      <c r="I5920" s="149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1"/>
      <c r="B5921" s="90"/>
      <c r="C5921" s="81"/>
      <c r="D5921" s="171"/>
      <c r="E5921" s="125"/>
      <c r="F5921" s="81"/>
      <c r="G5921" s="125"/>
      <c r="H5921" s="81"/>
      <c r="I5921" s="149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1"/>
      <c r="B5922" s="90"/>
      <c r="C5922" s="81"/>
      <c r="D5922" s="171"/>
      <c r="E5922" s="125"/>
      <c r="F5922" s="81"/>
      <c r="G5922" s="125"/>
      <c r="H5922" s="81"/>
      <c r="I5922" s="149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1"/>
      <c r="B5923" s="90"/>
      <c r="C5923" s="81"/>
      <c r="D5923" s="171"/>
      <c r="E5923" s="125"/>
      <c r="F5923" s="81"/>
      <c r="G5923" s="125"/>
      <c r="H5923" s="81"/>
      <c r="I5923" s="149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1"/>
      <c r="B5924" s="90"/>
      <c r="C5924" s="81"/>
      <c r="D5924" s="171"/>
      <c r="E5924" s="125"/>
      <c r="F5924" s="81"/>
      <c r="G5924" s="125"/>
      <c r="H5924" s="81"/>
      <c r="I5924" s="149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1"/>
      <c r="B5925" s="90"/>
      <c r="C5925" s="81"/>
      <c r="D5925" s="171"/>
      <c r="E5925" s="125"/>
      <c r="F5925" s="81"/>
      <c r="G5925" s="125"/>
      <c r="H5925" s="81"/>
      <c r="I5925" s="149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1"/>
      <c r="B5926" s="90"/>
      <c r="C5926" s="81"/>
      <c r="D5926" s="171"/>
      <c r="E5926" s="125"/>
      <c r="F5926" s="81"/>
      <c r="G5926" s="125"/>
      <c r="H5926" s="81"/>
      <c r="I5926" s="149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1"/>
      <c r="B5927" s="90"/>
      <c r="C5927" s="81"/>
      <c r="D5927" s="171"/>
      <c r="E5927" s="125"/>
      <c r="F5927" s="81"/>
      <c r="G5927" s="125"/>
      <c r="H5927" s="81"/>
      <c r="I5927" s="149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1"/>
      <c r="B5928" s="90"/>
      <c r="C5928" s="81"/>
      <c r="D5928" s="171"/>
      <c r="E5928" s="125"/>
      <c r="F5928" s="81"/>
      <c r="G5928" s="125"/>
      <c r="H5928" s="81"/>
      <c r="I5928" s="149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1"/>
      <c r="B5929" s="90"/>
      <c r="C5929" s="81"/>
      <c r="D5929" s="171"/>
      <c r="E5929" s="125"/>
      <c r="F5929" s="81"/>
      <c r="G5929" s="125"/>
      <c r="H5929" s="81"/>
      <c r="I5929" s="149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1"/>
      <c r="B5930" s="90"/>
      <c r="C5930" s="81"/>
      <c r="D5930" s="171"/>
      <c r="E5930" s="125"/>
      <c r="F5930" s="81"/>
      <c r="G5930" s="125"/>
      <c r="H5930" s="81"/>
      <c r="I5930" s="149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1"/>
      <c r="B5931" s="90"/>
      <c r="C5931" s="81"/>
      <c r="D5931" s="171"/>
      <c r="E5931" s="125"/>
      <c r="F5931" s="81"/>
      <c r="G5931" s="125"/>
      <c r="H5931" s="81"/>
      <c r="I5931" s="149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1"/>
      <c r="B5932" s="90"/>
      <c r="C5932" s="81"/>
      <c r="D5932" s="171"/>
      <c r="E5932" s="125"/>
      <c r="F5932" s="81"/>
      <c r="G5932" s="125"/>
      <c r="H5932" s="81"/>
      <c r="I5932" s="149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1"/>
      <c r="B5933" s="90"/>
      <c r="C5933" s="81"/>
      <c r="D5933" s="171"/>
      <c r="E5933" s="125"/>
      <c r="F5933" s="81"/>
      <c r="G5933" s="125"/>
      <c r="H5933" s="81"/>
      <c r="I5933" s="149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1"/>
      <c r="B5934" s="90"/>
      <c r="C5934" s="81"/>
      <c r="D5934" s="171"/>
      <c r="E5934" s="125"/>
      <c r="F5934" s="81"/>
      <c r="G5934" s="125"/>
      <c r="H5934" s="81"/>
      <c r="I5934" s="149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1"/>
      <c r="B5935" s="90"/>
      <c r="C5935" s="81"/>
      <c r="D5935" s="171"/>
      <c r="E5935" s="125"/>
      <c r="F5935" s="81"/>
      <c r="G5935" s="125"/>
      <c r="H5935" s="81"/>
      <c r="I5935" s="149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1"/>
      <c r="B5936" s="90"/>
      <c r="C5936" s="81"/>
      <c r="D5936" s="171"/>
      <c r="E5936" s="125"/>
      <c r="F5936" s="81"/>
      <c r="G5936" s="125"/>
      <c r="H5936" s="81"/>
      <c r="I5936" s="149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1"/>
      <c r="B5937" s="90"/>
      <c r="C5937" s="81"/>
      <c r="D5937" s="171"/>
      <c r="E5937" s="125"/>
      <c r="F5937" s="81"/>
      <c r="G5937" s="125"/>
      <c r="H5937" s="81"/>
      <c r="I5937" s="149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1"/>
      <c r="B5938" s="90"/>
      <c r="C5938" s="81"/>
      <c r="D5938" s="171"/>
      <c r="E5938" s="125"/>
      <c r="F5938" s="81"/>
      <c r="G5938" s="125"/>
      <c r="H5938" s="81"/>
      <c r="I5938" s="149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1"/>
      <c r="B5939" s="90"/>
      <c r="C5939" s="81"/>
      <c r="D5939" s="171"/>
      <c r="E5939" s="125"/>
      <c r="F5939" s="81"/>
      <c r="G5939" s="125"/>
      <c r="H5939" s="81"/>
      <c r="I5939" s="149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1"/>
      <c r="B5940" s="90"/>
      <c r="C5940" s="81"/>
      <c r="D5940" s="171"/>
      <c r="E5940" s="125"/>
      <c r="F5940" s="81"/>
      <c r="G5940" s="125"/>
      <c r="H5940" s="81"/>
      <c r="I5940" s="149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1"/>
      <c r="B5941" s="90"/>
      <c r="C5941" s="81"/>
      <c r="D5941" s="171"/>
      <c r="E5941" s="125"/>
      <c r="F5941" s="81"/>
      <c r="G5941" s="125"/>
      <c r="H5941" s="81"/>
      <c r="I5941" s="149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1"/>
      <c r="B5942" s="90"/>
      <c r="C5942" s="81"/>
      <c r="D5942" s="171"/>
      <c r="E5942" s="125"/>
      <c r="F5942" s="81"/>
      <c r="G5942" s="125"/>
      <c r="H5942" s="81"/>
      <c r="I5942" s="149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1"/>
      <c r="B5943" s="90"/>
      <c r="C5943" s="81"/>
      <c r="D5943" s="171"/>
      <c r="E5943" s="125"/>
      <c r="F5943" s="81"/>
      <c r="G5943" s="125"/>
      <c r="H5943" s="81"/>
      <c r="I5943" s="149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1"/>
      <c r="B5944" s="90"/>
      <c r="C5944" s="81"/>
      <c r="D5944" s="171"/>
      <c r="E5944" s="125"/>
      <c r="F5944" s="81"/>
      <c r="G5944" s="125"/>
      <c r="H5944" s="81"/>
      <c r="I5944" s="149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1"/>
      <c r="B5945" s="90"/>
      <c r="C5945" s="81"/>
      <c r="D5945" s="171"/>
      <c r="E5945" s="125"/>
      <c r="F5945" s="81"/>
      <c r="G5945" s="125"/>
      <c r="H5945" s="81"/>
      <c r="I5945" s="149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1"/>
      <c r="B5946" s="90"/>
      <c r="C5946" s="81"/>
      <c r="D5946" s="171"/>
      <c r="E5946" s="125"/>
      <c r="F5946" s="81"/>
      <c r="G5946" s="125"/>
      <c r="H5946" s="81"/>
      <c r="I5946" s="149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1"/>
      <c r="B5947" s="90"/>
      <c r="C5947" s="81"/>
      <c r="D5947" s="171"/>
      <c r="E5947" s="125"/>
      <c r="F5947" s="81"/>
      <c r="G5947" s="125"/>
      <c r="H5947" s="81"/>
      <c r="I5947" s="149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1"/>
      <c r="B5948" s="90"/>
      <c r="C5948" s="81"/>
      <c r="D5948" s="171"/>
      <c r="E5948" s="125"/>
      <c r="F5948" s="81"/>
      <c r="G5948" s="125"/>
      <c r="H5948" s="81"/>
      <c r="I5948" s="149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1"/>
      <c r="B5949" s="90"/>
      <c r="C5949" s="81"/>
      <c r="D5949" s="171"/>
      <c r="E5949" s="125"/>
      <c r="F5949" s="81"/>
      <c r="G5949" s="125"/>
      <c r="H5949" s="81"/>
      <c r="I5949" s="149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1"/>
      <c r="B5950" s="90"/>
      <c r="C5950" s="81"/>
      <c r="D5950" s="171"/>
      <c r="E5950" s="125"/>
      <c r="F5950" s="81"/>
      <c r="G5950" s="125"/>
      <c r="H5950" s="81"/>
      <c r="I5950" s="149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1"/>
      <c r="B5951" s="90"/>
      <c r="C5951" s="81"/>
      <c r="D5951" s="171"/>
      <c r="E5951" s="125"/>
      <c r="F5951" s="81"/>
      <c r="G5951" s="125"/>
      <c r="H5951" s="81"/>
      <c r="I5951" s="149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1"/>
      <c r="B5952" s="90"/>
      <c r="C5952" s="81"/>
      <c r="D5952" s="171"/>
      <c r="E5952" s="125"/>
      <c r="F5952" s="81"/>
      <c r="G5952" s="125"/>
      <c r="H5952" s="81"/>
      <c r="I5952" s="149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1"/>
      <c r="B5953" s="90"/>
      <c r="C5953" s="81"/>
      <c r="D5953" s="171"/>
      <c r="E5953" s="125"/>
      <c r="F5953" s="81"/>
      <c r="G5953" s="125"/>
      <c r="H5953" s="81"/>
      <c r="I5953" s="149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1"/>
      <c r="B5954" s="90"/>
      <c r="C5954" s="81"/>
      <c r="D5954" s="171"/>
      <c r="E5954" s="125"/>
      <c r="F5954" s="81"/>
      <c r="G5954" s="125"/>
      <c r="H5954" s="81"/>
      <c r="I5954" s="149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1"/>
      <c r="B5955" s="90"/>
      <c r="C5955" s="81"/>
      <c r="D5955" s="171"/>
      <c r="E5955" s="125"/>
      <c r="F5955" s="81"/>
      <c r="G5955" s="125"/>
      <c r="H5955" s="81"/>
      <c r="I5955" s="149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1"/>
      <c r="B5956" s="90"/>
      <c r="C5956" s="81"/>
      <c r="D5956" s="171"/>
      <c r="E5956" s="125"/>
      <c r="F5956" s="81"/>
      <c r="G5956" s="125"/>
      <c r="H5956" s="81"/>
      <c r="I5956" s="149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1"/>
      <c r="B5957" s="90"/>
      <c r="C5957" s="81"/>
      <c r="D5957" s="171"/>
      <c r="E5957" s="125"/>
      <c r="F5957" s="81"/>
      <c r="G5957" s="125"/>
      <c r="H5957" s="81"/>
      <c r="I5957" s="149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1"/>
      <c r="B5958" s="90"/>
      <c r="C5958" s="81"/>
      <c r="D5958" s="171"/>
      <c r="E5958" s="125"/>
      <c r="F5958" s="81"/>
      <c r="G5958" s="125"/>
      <c r="H5958" s="81"/>
      <c r="I5958" s="149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1"/>
      <c r="B5959" s="90"/>
      <c r="C5959" s="81"/>
      <c r="D5959" s="171"/>
      <c r="E5959" s="125"/>
      <c r="F5959" s="81"/>
      <c r="G5959" s="125"/>
      <c r="H5959" s="81"/>
      <c r="I5959" s="149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1"/>
      <c r="B5960" s="90"/>
      <c r="C5960" s="81"/>
      <c r="D5960" s="171"/>
      <c r="E5960" s="125"/>
      <c r="F5960" s="81"/>
      <c r="G5960" s="125"/>
      <c r="H5960" s="81"/>
      <c r="I5960" s="149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1"/>
      <c r="B5961" s="90"/>
      <c r="C5961" s="81"/>
      <c r="D5961" s="171"/>
      <c r="E5961" s="125"/>
      <c r="F5961" s="81"/>
      <c r="G5961" s="125"/>
      <c r="H5961" s="81"/>
      <c r="I5961" s="149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1"/>
      <c r="B5962" s="90"/>
      <c r="C5962" s="81"/>
      <c r="D5962" s="171"/>
      <c r="E5962" s="125"/>
      <c r="F5962" s="81"/>
      <c r="G5962" s="125"/>
      <c r="H5962" s="81"/>
      <c r="I5962" s="149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1"/>
      <c r="B5963" s="90"/>
      <c r="C5963" s="81"/>
      <c r="D5963" s="171"/>
      <c r="E5963" s="125"/>
      <c r="F5963" s="81"/>
      <c r="G5963" s="125"/>
      <c r="H5963" s="81"/>
      <c r="I5963" s="149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1"/>
      <c r="B5964" s="90"/>
      <c r="C5964" s="81"/>
      <c r="D5964" s="171"/>
      <c r="E5964" s="125"/>
      <c r="F5964" s="81"/>
      <c r="G5964" s="125"/>
      <c r="H5964" s="81"/>
      <c r="I5964" s="149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1"/>
      <c r="B5965" s="90"/>
      <c r="C5965" s="81"/>
      <c r="D5965" s="171"/>
      <c r="E5965" s="125"/>
      <c r="F5965" s="81"/>
      <c r="G5965" s="125"/>
      <c r="H5965" s="81"/>
      <c r="I5965" s="149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1"/>
      <c r="B5966" s="90"/>
      <c r="C5966" s="81"/>
      <c r="D5966" s="171"/>
      <c r="E5966" s="125"/>
      <c r="F5966" s="81"/>
      <c r="G5966" s="125"/>
      <c r="H5966" s="81"/>
      <c r="I5966" s="149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1"/>
      <c r="B5967" s="90"/>
      <c r="C5967" s="81"/>
      <c r="D5967" s="171"/>
      <c r="E5967" s="125"/>
      <c r="F5967" s="81"/>
      <c r="G5967" s="125"/>
      <c r="H5967" s="81"/>
      <c r="I5967" s="149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1"/>
      <c r="B5968" s="90"/>
      <c r="C5968" s="81"/>
      <c r="D5968" s="171"/>
      <c r="E5968" s="125"/>
      <c r="F5968" s="81"/>
      <c r="G5968" s="125"/>
      <c r="H5968" s="81"/>
      <c r="I5968" s="149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1"/>
      <c r="B5969" s="90"/>
      <c r="C5969" s="81"/>
      <c r="D5969" s="171"/>
      <c r="E5969" s="125"/>
      <c r="F5969" s="81"/>
      <c r="G5969" s="125"/>
      <c r="H5969" s="81"/>
      <c r="I5969" s="149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1"/>
      <c r="B5970" s="90"/>
      <c r="C5970" s="81"/>
      <c r="D5970" s="171"/>
      <c r="E5970" s="125"/>
      <c r="F5970" s="81"/>
      <c r="G5970" s="125"/>
      <c r="H5970" s="81"/>
      <c r="I5970" s="149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1"/>
      <c r="B5971" s="90"/>
      <c r="C5971" s="81"/>
      <c r="D5971" s="171"/>
      <c r="E5971" s="125"/>
      <c r="F5971" s="81"/>
      <c r="G5971" s="125"/>
      <c r="H5971" s="81"/>
      <c r="I5971" s="149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1"/>
      <c r="B5972" s="90"/>
      <c r="C5972" s="81"/>
      <c r="D5972" s="171"/>
      <c r="E5972" s="125"/>
      <c r="F5972" s="81"/>
      <c r="G5972" s="125"/>
      <c r="H5972" s="81"/>
      <c r="I5972" s="149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1"/>
      <c r="B5973" s="90"/>
      <c r="C5973" s="81"/>
      <c r="D5973" s="171"/>
      <c r="E5973" s="125"/>
      <c r="F5973" s="81"/>
      <c r="G5973" s="125"/>
      <c r="H5973" s="81"/>
      <c r="I5973" s="149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1"/>
      <c r="B5974" s="90"/>
      <c r="C5974" s="81"/>
      <c r="D5974" s="171"/>
      <c r="E5974" s="125"/>
      <c r="F5974" s="81"/>
      <c r="G5974" s="125"/>
      <c r="H5974" s="81"/>
      <c r="I5974" s="149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1"/>
      <c r="B5975" s="90"/>
      <c r="C5975" s="81"/>
      <c r="D5975" s="171"/>
      <c r="E5975" s="125"/>
      <c r="F5975" s="81"/>
      <c r="G5975" s="125"/>
      <c r="H5975" s="81"/>
      <c r="I5975" s="149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1"/>
      <c r="B5976" s="90"/>
      <c r="C5976" s="81"/>
      <c r="D5976" s="171"/>
      <c r="E5976" s="125"/>
      <c r="F5976" s="81"/>
      <c r="G5976" s="125"/>
      <c r="H5976" s="81"/>
      <c r="I5976" s="149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1"/>
      <c r="B5977" s="90"/>
      <c r="C5977" s="81"/>
      <c r="D5977" s="171"/>
      <c r="E5977" s="125"/>
      <c r="F5977" s="81"/>
      <c r="G5977" s="125"/>
      <c r="H5977" s="81"/>
      <c r="I5977" s="149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1"/>
      <c r="B5978" s="90"/>
      <c r="C5978" s="81"/>
      <c r="D5978" s="171"/>
      <c r="E5978" s="125"/>
      <c r="F5978" s="81"/>
      <c r="G5978" s="125"/>
      <c r="H5978" s="81"/>
      <c r="I5978" s="149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1"/>
      <c r="B5979" s="90"/>
      <c r="C5979" s="81"/>
      <c r="D5979" s="171"/>
      <c r="E5979" s="125"/>
      <c r="F5979" s="81"/>
      <c r="G5979" s="125"/>
      <c r="H5979" s="81"/>
      <c r="I5979" s="149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1"/>
      <c r="B5980" s="90"/>
      <c r="C5980" s="81"/>
      <c r="D5980" s="171"/>
      <c r="E5980" s="125"/>
      <c r="F5980" s="81"/>
      <c r="G5980" s="125"/>
      <c r="H5980" s="81"/>
      <c r="I5980" s="149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1"/>
      <c r="B5981" s="90"/>
      <c r="C5981" s="81"/>
      <c r="D5981" s="171"/>
      <c r="E5981" s="125"/>
      <c r="F5981" s="81"/>
      <c r="G5981" s="125"/>
      <c r="H5981" s="81"/>
      <c r="I5981" s="149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1"/>
      <c r="B5982" s="90"/>
      <c r="C5982" s="81"/>
      <c r="D5982" s="171"/>
      <c r="E5982" s="125"/>
      <c r="F5982" s="81"/>
      <c r="G5982" s="125"/>
      <c r="H5982" s="81"/>
      <c r="I5982" s="149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1"/>
      <c r="B5983" s="90"/>
      <c r="C5983" s="81"/>
      <c r="D5983" s="171"/>
      <c r="E5983" s="125"/>
      <c r="F5983" s="81"/>
      <c r="G5983" s="125"/>
      <c r="H5983" s="81"/>
      <c r="I5983" s="149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1"/>
      <c r="B5984" s="90"/>
      <c r="C5984" s="81"/>
      <c r="D5984" s="171"/>
      <c r="E5984" s="125"/>
      <c r="F5984" s="81"/>
      <c r="G5984" s="125"/>
      <c r="H5984" s="81"/>
      <c r="I5984" s="149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1"/>
      <c r="B5985" s="90"/>
      <c r="C5985" s="81"/>
      <c r="D5985" s="171"/>
      <c r="E5985" s="125"/>
      <c r="F5985" s="81"/>
      <c r="G5985" s="125"/>
      <c r="H5985" s="81"/>
      <c r="I5985" s="149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1"/>
      <c r="B5986" s="90"/>
      <c r="C5986" s="81"/>
      <c r="D5986" s="171"/>
      <c r="E5986" s="125"/>
      <c r="F5986" s="81"/>
      <c r="G5986" s="125"/>
      <c r="H5986" s="81"/>
      <c r="I5986" s="149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1"/>
      <c r="B5987" s="90"/>
      <c r="C5987" s="81"/>
      <c r="D5987" s="171"/>
      <c r="E5987" s="125"/>
      <c r="F5987" s="81"/>
      <c r="G5987" s="125"/>
      <c r="H5987" s="81"/>
      <c r="I5987" s="149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1"/>
      <c r="B5988" s="90"/>
      <c r="C5988" s="81"/>
      <c r="D5988" s="171"/>
      <c r="E5988" s="125"/>
      <c r="F5988" s="81"/>
      <c r="G5988" s="125"/>
      <c r="H5988" s="81"/>
      <c r="I5988" s="149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1"/>
      <c r="B5989" s="90"/>
      <c r="C5989" s="81"/>
      <c r="D5989" s="171"/>
      <c r="E5989" s="125"/>
      <c r="F5989" s="81"/>
      <c r="G5989" s="125"/>
      <c r="H5989" s="81"/>
      <c r="I5989" s="149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1"/>
      <c r="B5990" s="90"/>
      <c r="C5990" s="81"/>
      <c r="D5990" s="171"/>
      <c r="E5990" s="125"/>
      <c r="F5990" s="81"/>
      <c r="G5990" s="125"/>
      <c r="H5990" s="81"/>
      <c r="I5990" s="149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1"/>
      <c r="B5991" s="90"/>
      <c r="C5991" s="81"/>
      <c r="D5991" s="171"/>
      <c r="E5991" s="125"/>
      <c r="F5991" s="81"/>
      <c r="G5991" s="125"/>
      <c r="H5991" s="81"/>
      <c r="I5991" s="149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1"/>
      <c r="B5992" s="90"/>
      <c r="C5992" s="81"/>
      <c r="D5992" s="171"/>
      <c r="E5992" s="125"/>
      <c r="F5992" s="81"/>
      <c r="G5992" s="125"/>
      <c r="H5992" s="81"/>
      <c r="I5992" s="149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1"/>
      <c r="B5993" s="90"/>
      <c r="C5993" s="81"/>
      <c r="D5993" s="171"/>
      <c r="E5993" s="125"/>
      <c r="F5993" s="81"/>
      <c r="G5993" s="125"/>
      <c r="H5993" s="81"/>
      <c r="I5993" s="149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1"/>
      <c r="B5994" s="90"/>
      <c r="C5994" s="81"/>
      <c r="D5994" s="171"/>
      <c r="E5994" s="125"/>
      <c r="F5994" s="81"/>
      <c r="G5994" s="125"/>
      <c r="H5994" s="81"/>
      <c r="I5994" s="149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1"/>
      <c r="B5995" s="90"/>
      <c r="C5995" s="81"/>
      <c r="D5995" s="171"/>
      <c r="E5995" s="125"/>
      <c r="F5995" s="81"/>
      <c r="G5995" s="125"/>
      <c r="H5995" s="81"/>
      <c r="I5995" s="149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1"/>
      <c r="B5996" s="90"/>
      <c r="C5996" s="81"/>
      <c r="D5996" s="171"/>
      <c r="E5996" s="125"/>
      <c r="F5996" s="81"/>
      <c r="G5996" s="125"/>
      <c r="H5996" s="81"/>
      <c r="I5996" s="149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1"/>
      <c r="B5997" s="90"/>
      <c r="C5997" s="81"/>
      <c r="D5997" s="171"/>
      <c r="E5997" s="125"/>
      <c r="F5997" s="81"/>
      <c r="G5997" s="125"/>
      <c r="H5997" s="81"/>
      <c r="I5997" s="149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1"/>
      <c r="B5998" s="90"/>
      <c r="C5998" s="81"/>
      <c r="D5998" s="171"/>
      <c r="E5998" s="125"/>
      <c r="F5998" s="81"/>
      <c r="G5998" s="125"/>
      <c r="H5998" s="81"/>
      <c r="I5998" s="149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1"/>
      <c r="B5999" s="90"/>
      <c r="C5999" s="81"/>
      <c r="D5999" s="171"/>
      <c r="E5999" s="125"/>
      <c r="F5999" s="81"/>
      <c r="G5999" s="125"/>
      <c r="H5999" s="81"/>
      <c r="I5999" s="149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1"/>
      <c r="B6000" s="90"/>
      <c r="C6000" s="81"/>
      <c r="D6000" s="171"/>
      <c r="E6000" s="125"/>
      <c r="F6000" s="81"/>
      <c r="G6000" s="125"/>
      <c r="H6000" s="81"/>
      <c r="I6000" s="149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1"/>
      <c r="B6001" s="90"/>
      <c r="C6001" s="81"/>
      <c r="D6001" s="171"/>
      <c r="E6001" s="125"/>
      <c r="F6001" s="81"/>
      <c r="G6001" s="125"/>
      <c r="H6001" s="81"/>
      <c r="I6001" s="149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1"/>
      <c r="B6002" s="90"/>
      <c r="C6002" s="81"/>
      <c r="D6002" s="171"/>
      <c r="E6002" s="125"/>
      <c r="F6002" s="81"/>
      <c r="G6002" s="125"/>
      <c r="H6002" s="81"/>
      <c r="I6002" s="149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1"/>
      <c r="B6003" s="90"/>
      <c r="C6003" s="81"/>
      <c r="D6003" s="171"/>
      <c r="E6003" s="125"/>
      <c r="F6003" s="81"/>
      <c r="G6003" s="125"/>
      <c r="H6003" s="81"/>
      <c r="I6003" s="149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1"/>
      <c r="B6004" s="90"/>
      <c r="C6004" s="81"/>
      <c r="D6004" s="171"/>
      <c r="E6004" s="125"/>
      <c r="F6004" s="81"/>
      <c r="G6004" s="125"/>
      <c r="H6004" s="81"/>
      <c r="I6004" s="149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1"/>
      <c r="B6005" s="90"/>
      <c r="C6005" s="81"/>
      <c r="D6005" s="171"/>
      <c r="E6005" s="125"/>
      <c r="F6005" s="81"/>
      <c r="G6005" s="125"/>
      <c r="H6005" s="81"/>
      <c r="I6005" s="149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1"/>
      <c r="B6006" s="90"/>
      <c r="C6006" s="81"/>
      <c r="D6006" s="171"/>
      <c r="E6006" s="125"/>
      <c r="F6006" s="81"/>
      <c r="G6006" s="125"/>
      <c r="H6006" s="81"/>
      <c r="I6006" s="149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1"/>
      <c r="B6007" s="90"/>
      <c r="C6007" s="81"/>
      <c r="D6007" s="171"/>
      <c r="E6007" s="125"/>
      <c r="F6007" s="81"/>
      <c r="G6007" s="125"/>
      <c r="H6007" s="81"/>
      <c r="I6007" s="149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1"/>
      <c r="B6008" s="90"/>
      <c r="C6008" s="81"/>
      <c r="D6008" s="171"/>
      <c r="E6008" s="125"/>
      <c r="F6008" s="81"/>
      <c r="G6008" s="125"/>
      <c r="H6008" s="81"/>
      <c r="I6008" s="149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1"/>
      <c r="B6009" s="90"/>
      <c r="C6009" s="81"/>
      <c r="D6009" s="171"/>
      <c r="E6009" s="125"/>
      <c r="F6009" s="81"/>
      <c r="G6009" s="125"/>
      <c r="H6009" s="81"/>
      <c r="I6009" s="149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1"/>
      <c r="B6010" s="90"/>
      <c r="C6010" s="81"/>
      <c r="D6010" s="171"/>
      <c r="E6010" s="125"/>
      <c r="F6010" s="81"/>
      <c r="G6010" s="125"/>
      <c r="H6010" s="81"/>
      <c r="I6010" s="149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1"/>
      <c r="B6011" s="90"/>
      <c r="C6011" s="81"/>
      <c r="D6011" s="171"/>
      <c r="E6011" s="125"/>
      <c r="F6011" s="81"/>
      <c r="G6011" s="125"/>
      <c r="H6011" s="81"/>
      <c r="I6011" s="149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1"/>
      <c r="B6012" s="90"/>
      <c r="C6012" s="81"/>
      <c r="D6012" s="171"/>
      <c r="E6012" s="125"/>
      <c r="F6012" s="81"/>
      <c r="G6012" s="125"/>
      <c r="H6012" s="81"/>
      <c r="I6012" s="149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1"/>
      <c r="B6013" s="90"/>
      <c r="C6013" s="81"/>
      <c r="D6013" s="171"/>
      <c r="E6013" s="125"/>
      <c r="F6013" s="81"/>
      <c r="G6013" s="125"/>
      <c r="H6013" s="81"/>
      <c r="I6013" s="149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1"/>
      <c r="B6014" s="90"/>
      <c r="C6014" s="81"/>
      <c r="D6014" s="171"/>
      <c r="E6014" s="125"/>
      <c r="F6014" s="81"/>
      <c r="G6014" s="125"/>
      <c r="H6014" s="81"/>
      <c r="I6014" s="149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1"/>
      <c r="B6015" s="90"/>
      <c r="C6015" s="81"/>
      <c r="D6015" s="171"/>
      <c r="E6015" s="125"/>
      <c r="F6015" s="81"/>
      <c r="G6015" s="125"/>
      <c r="H6015" s="81"/>
      <c r="I6015" s="149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1"/>
      <c r="B6016" s="90"/>
      <c r="C6016" s="81"/>
      <c r="D6016" s="171"/>
      <c r="E6016" s="125"/>
      <c r="F6016" s="81"/>
      <c r="G6016" s="125"/>
      <c r="H6016" s="81"/>
      <c r="I6016" s="149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1"/>
      <c r="B6017" s="90"/>
      <c r="C6017" s="81"/>
      <c r="D6017" s="171"/>
      <c r="E6017" s="125"/>
      <c r="F6017" s="81"/>
      <c r="G6017" s="125"/>
      <c r="H6017" s="81"/>
      <c r="I6017" s="149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1"/>
      <c r="B6018" s="90"/>
      <c r="C6018" s="81"/>
      <c r="D6018" s="171"/>
      <c r="E6018" s="125"/>
      <c r="F6018" s="81"/>
      <c r="G6018" s="125"/>
      <c r="H6018" s="81"/>
      <c r="I6018" s="149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1"/>
      <c r="B6019" s="90"/>
      <c r="C6019" s="81"/>
      <c r="D6019" s="171"/>
      <c r="E6019" s="125"/>
      <c r="F6019" s="81"/>
      <c r="G6019" s="125"/>
      <c r="H6019" s="81"/>
      <c r="I6019" s="149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1"/>
      <c r="B6020" s="90"/>
      <c r="C6020" s="81"/>
      <c r="D6020" s="171"/>
      <c r="E6020" s="125"/>
      <c r="F6020" s="81"/>
      <c r="G6020" s="125"/>
      <c r="H6020" s="81"/>
      <c r="I6020" s="149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1"/>
      <c r="B6021" s="90"/>
      <c r="C6021" s="81"/>
      <c r="D6021" s="171"/>
      <c r="E6021" s="125"/>
      <c r="F6021" s="81"/>
      <c r="G6021" s="125"/>
      <c r="H6021" s="81"/>
      <c r="I6021" s="149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1"/>
      <c r="B6022" s="90"/>
      <c r="C6022" s="81"/>
      <c r="D6022" s="171"/>
      <c r="E6022" s="125"/>
      <c r="F6022" s="81"/>
      <c r="G6022" s="125"/>
      <c r="H6022" s="81"/>
      <c r="I6022" s="149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1"/>
      <c r="B6023" s="90"/>
      <c r="C6023" s="81"/>
      <c r="D6023" s="171"/>
      <c r="E6023" s="125"/>
      <c r="F6023" s="81"/>
      <c r="G6023" s="125"/>
      <c r="H6023" s="81"/>
      <c r="I6023" s="149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1"/>
      <c r="B6024" s="90"/>
      <c r="C6024" s="81"/>
      <c r="D6024" s="171"/>
      <c r="E6024" s="125"/>
      <c r="F6024" s="81"/>
      <c r="G6024" s="125"/>
      <c r="H6024" s="81"/>
      <c r="I6024" s="149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1"/>
      <c r="B6025" s="90"/>
      <c r="C6025" s="81"/>
      <c r="D6025" s="171"/>
      <c r="E6025" s="125"/>
      <c r="F6025" s="81"/>
      <c r="G6025" s="125"/>
      <c r="H6025" s="81"/>
      <c r="I6025" s="149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1"/>
      <c r="B6026" s="90"/>
      <c r="C6026" s="81"/>
      <c r="D6026" s="171"/>
      <c r="E6026" s="125"/>
      <c r="F6026" s="81"/>
      <c r="G6026" s="125"/>
      <c r="H6026" s="81"/>
      <c r="I6026" s="149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1"/>
      <c r="B6027" s="90"/>
      <c r="C6027" s="81"/>
      <c r="D6027" s="171"/>
      <c r="E6027" s="125"/>
      <c r="F6027" s="81"/>
      <c r="G6027" s="125"/>
      <c r="H6027" s="81"/>
      <c r="I6027" s="149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1"/>
      <c r="B6028" s="90"/>
      <c r="C6028" s="81"/>
      <c r="D6028" s="171"/>
      <c r="E6028" s="125"/>
      <c r="F6028" s="81"/>
      <c r="G6028" s="125"/>
      <c r="H6028" s="81"/>
      <c r="I6028" s="149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1"/>
      <c r="B6029" s="90"/>
      <c r="C6029" s="81"/>
      <c r="D6029" s="171"/>
      <c r="E6029" s="125"/>
      <c r="F6029" s="81"/>
      <c r="G6029" s="125"/>
      <c r="H6029" s="81"/>
      <c r="I6029" s="149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1"/>
      <c r="B6030" s="90"/>
      <c r="C6030" s="81"/>
      <c r="D6030" s="171"/>
      <c r="E6030" s="125"/>
      <c r="F6030" s="81"/>
      <c r="G6030" s="125"/>
      <c r="H6030" s="81"/>
      <c r="I6030" s="149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1"/>
      <c r="B6031" s="90"/>
      <c r="C6031" s="81"/>
      <c r="D6031" s="171"/>
      <c r="E6031" s="125"/>
      <c r="F6031" s="81"/>
      <c r="G6031" s="125"/>
      <c r="H6031" s="81"/>
      <c r="I6031" s="149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1"/>
      <c r="B6032" s="90"/>
      <c r="C6032" s="81"/>
      <c r="D6032" s="171"/>
      <c r="E6032" s="125"/>
      <c r="F6032" s="81"/>
      <c r="G6032" s="125"/>
      <c r="H6032" s="81"/>
      <c r="I6032" s="149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1"/>
      <c r="B6033" s="90"/>
      <c r="C6033" s="81"/>
      <c r="D6033" s="171"/>
      <c r="E6033" s="125"/>
      <c r="F6033" s="81"/>
      <c r="G6033" s="125"/>
      <c r="H6033" s="81"/>
      <c r="I6033" s="149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1"/>
      <c r="B6034" s="90"/>
      <c r="C6034" s="81"/>
      <c r="D6034" s="171"/>
      <c r="E6034" s="125"/>
      <c r="F6034" s="81"/>
      <c r="G6034" s="125"/>
      <c r="H6034" s="81"/>
      <c r="I6034" s="149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1"/>
      <c r="B6035" s="90"/>
      <c r="C6035" s="81"/>
      <c r="D6035" s="171"/>
      <c r="E6035" s="125"/>
      <c r="F6035" s="81"/>
      <c r="G6035" s="125"/>
      <c r="H6035" s="81"/>
      <c r="I6035" s="149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1"/>
      <c r="B6036" s="90"/>
      <c r="C6036" s="81"/>
      <c r="D6036" s="171"/>
      <c r="E6036" s="125"/>
      <c r="F6036" s="81"/>
      <c r="G6036" s="125"/>
      <c r="H6036" s="81"/>
      <c r="I6036" s="149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1"/>
      <c r="B6037" s="90"/>
      <c r="C6037" s="81"/>
      <c r="D6037" s="171"/>
      <c r="E6037" s="125"/>
      <c r="F6037" s="81"/>
      <c r="G6037" s="125"/>
      <c r="H6037" s="81"/>
      <c r="I6037" s="149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1"/>
      <c r="B6038" s="90"/>
      <c r="C6038" s="81"/>
      <c r="D6038" s="171"/>
      <c r="E6038" s="125"/>
      <c r="F6038" s="81"/>
      <c r="G6038" s="125"/>
      <c r="H6038" s="81"/>
      <c r="I6038" s="149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1"/>
      <c r="B6039" s="90"/>
      <c r="C6039" s="81"/>
      <c r="D6039" s="171"/>
      <c r="E6039" s="125"/>
      <c r="F6039" s="81"/>
      <c r="G6039" s="125"/>
      <c r="H6039" s="81"/>
      <c r="I6039" s="149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1"/>
      <c r="B6040" s="90"/>
      <c r="C6040" s="81"/>
      <c r="D6040" s="171"/>
      <c r="E6040" s="125"/>
      <c r="F6040" s="81"/>
      <c r="G6040" s="125"/>
      <c r="H6040" s="81"/>
      <c r="I6040" s="149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1"/>
      <c r="B6041" s="90"/>
      <c r="C6041" s="81"/>
      <c r="D6041" s="171"/>
      <c r="E6041" s="125"/>
      <c r="F6041" s="81"/>
      <c r="G6041" s="125"/>
      <c r="H6041" s="81"/>
      <c r="I6041" s="149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1"/>
      <c r="B6042" s="90"/>
      <c r="C6042" s="81"/>
      <c r="D6042" s="171"/>
      <c r="E6042" s="125"/>
      <c r="F6042" s="81"/>
      <c r="G6042" s="125"/>
      <c r="H6042" s="81"/>
      <c r="I6042" s="149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1"/>
      <c r="B6043" s="90"/>
      <c r="C6043" s="81"/>
      <c r="D6043" s="171"/>
      <c r="E6043" s="125"/>
      <c r="F6043" s="81"/>
      <c r="G6043" s="125"/>
      <c r="H6043" s="81"/>
      <c r="I6043" s="149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1"/>
      <c r="B6044" s="90"/>
      <c r="C6044" s="81"/>
      <c r="D6044" s="171"/>
      <c r="E6044" s="125"/>
      <c r="F6044" s="81"/>
      <c r="G6044" s="125"/>
      <c r="H6044" s="81"/>
      <c r="I6044" s="149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1"/>
      <c r="B6045" s="90"/>
      <c r="C6045" s="81"/>
      <c r="D6045" s="171"/>
      <c r="E6045" s="125"/>
      <c r="F6045" s="81"/>
      <c r="G6045" s="125"/>
      <c r="H6045" s="81"/>
      <c r="I6045" s="149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1"/>
      <c r="B6046" s="90"/>
      <c r="C6046" s="81"/>
      <c r="D6046" s="171"/>
      <c r="E6046" s="125"/>
      <c r="F6046" s="81"/>
      <c r="G6046" s="125"/>
      <c r="H6046" s="81"/>
      <c r="I6046" s="149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1"/>
      <c r="B6047" s="90"/>
      <c r="C6047" s="81"/>
      <c r="D6047" s="171"/>
      <c r="E6047" s="125"/>
      <c r="F6047" s="81"/>
      <c r="G6047" s="125"/>
      <c r="H6047" s="81"/>
      <c r="I6047" s="149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1"/>
      <c r="B6048" s="90"/>
      <c r="C6048" s="81"/>
      <c r="D6048" s="171"/>
      <c r="E6048" s="125"/>
      <c r="F6048" s="81"/>
      <c r="G6048" s="125"/>
      <c r="H6048" s="81"/>
      <c r="I6048" s="149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1"/>
      <c r="B6049" s="90"/>
      <c r="C6049" s="81"/>
      <c r="D6049" s="171"/>
      <c r="E6049" s="125"/>
      <c r="F6049" s="81"/>
      <c r="G6049" s="125"/>
      <c r="H6049" s="81"/>
      <c r="I6049" s="149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1"/>
      <c r="B6050" s="90"/>
      <c r="C6050" s="81"/>
      <c r="D6050" s="171"/>
      <c r="E6050" s="125"/>
      <c r="F6050" s="81"/>
      <c r="G6050" s="125"/>
      <c r="H6050" s="81"/>
      <c r="I6050" s="149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1"/>
      <c r="B6051" s="90"/>
      <c r="C6051" s="81"/>
      <c r="D6051" s="171"/>
      <c r="E6051" s="125"/>
      <c r="F6051" s="81"/>
      <c r="G6051" s="125"/>
      <c r="H6051" s="81"/>
      <c r="I6051" s="149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1"/>
      <c r="B6052" s="90"/>
      <c r="C6052" s="81"/>
      <c r="D6052" s="171"/>
      <c r="E6052" s="125"/>
      <c r="F6052" s="81"/>
      <c r="G6052" s="125"/>
      <c r="H6052" s="81"/>
      <c r="I6052" s="149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1"/>
      <c r="B6053" s="90"/>
      <c r="C6053" s="81"/>
      <c r="D6053" s="171"/>
      <c r="E6053" s="125"/>
      <c r="F6053" s="81"/>
      <c r="G6053" s="125"/>
      <c r="H6053" s="81"/>
      <c r="I6053" s="149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1"/>
      <c r="B6054" s="90"/>
      <c r="C6054" s="81"/>
      <c r="D6054" s="171"/>
      <c r="E6054" s="125"/>
      <c r="F6054" s="81"/>
      <c r="G6054" s="125"/>
      <c r="H6054" s="81"/>
      <c r="I6054" s="149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1"/>
      <c r="B6055" s="90"/>
      <c r="C6055" s="81"/>
      <c r="D6055" s="171"/>
      <c r="E6055" s="125"/>
      <c r="F6055" s="81"/>
      <c r="G6055" s="125"/>
      <c r="H6055" s="81"/>
      <c r="I6055" s="149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1"/>
      <c r="B6056" s="90"/>
      <c r="C6056" s="81"/>
      <c r="D6056" s="171"/>
      <c r="E6056" s="125"/>
      <c r="F6056" s="81"/>
      <c r="G6056" s="125"/>
      <c r="H6056" s="81"/>
      <c r="I6056" s="149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1"/>
      <c r="B6057" s="90"/>
      <c r="C6057" s="81"/>
      <c r="D6057" s="171"/>
      <c r="E6057" s="125"/>
      <c r="F6057" s="81"/>
      <c r="G6057" s="125"/>
      <c r="H6057" s="81"/>
      <c r="I6057" s="149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1"/>
      <c r="B6058" s="90"/>
      <c r="C6058" s="81"/>
      <c r="D6058" s="171"/>
      <c r="E6058" s="125"/>
      <c r="F6058" s="81"/>
      <c r="G6058" s="125"/>
      <c r="H6058" s="81"/>
      <c r="I6058" s="149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1"/>
      <c r="B6059" s="90"/>
      <c r="C6059" s="81"/>
      <c r="D6059" s="171"/>
      <c r="E6059" s="125"/>
      <c r="F6059" s="81"/>
      <c r="G6059" s="125"/>
      <c r="H6059" s="81"/>
      <c r="I6059" s="149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1"/>
      <c r="B6060" s="90"/>
      <c r="C6060" s="81"/>
      <c r="D6060" s="171"/>
      <c r="E6060" s="125"/>
      <c r="F6060" s="81"/>
      <c r="G6060" s="125"/>
      <c r="H6060" s="81"/>
      <c r="I6060" s="149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1"/>
      <c r="B6061" s="90"/>
      <c r="C6061" s="81"/>
      <c r="D6061" s="171"/>
      <c r="E6061" s="125"/>
      <c r="F6061" s="81"/>
      <c r="G6061" s="125"/>
      <c r="H6061" s="81"/>
      <c r="I6061" s="149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1"/>
      <c r="B6062" s="90"/>
      <c r="C6062" s="81"/>
      <c r="D6062" s="171"/>
      <c r="E6062" s="125"/>
      <c r="F6062" s="81"/>
      <c r="G6062" s="125"/>
      <c r="H6062" s="81"/>
      <c r="I6062" s="149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1"/>
      <c r="B6063" s="90"/>
      <c r="C6063" s="81"/>
      <c r="D6063" s="171"/>
      <c r="E6063" s="125"/>
      <c r="F6063" s="81"/>
      <c r="G6063" s="125"/>
      <c r="H6063" s="81"/>
      <c r="I6063" s="149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1"/>
      <c r="B6064" s="90"/>
      <c r="C6064" s="81"/>
      <c r="D6064" s="171"/>
      <c r="E6064" s="125"/>
      <c r="F6064" s="81"/>
      <c r="G6064" s="125"/>
      <c r="H6064" s="81"/>
      <c r="I6064" s="149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1"/>
      <c r="B6065" s="90"/>
      <c r="C6065" s="81"/>
      <c r="D6065" s="171"/>
      <c r="E6065" s="125"/>
      <c r="F6065" s="81"/>
      <c r="G6065" s="125"/>
      <c r="H6065" s="81"/>
      <c r="I6065" s="149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1"/>
      <c r="B6066" s="90"/>
      <c r="C6066" s="81"/>
      <c r="D6066" s="171"/>
      <c r="E6066" s="125"/>
      <c r="F6066" s="81"/>
      <c r="G6066" s="125"/>
      <c r="H6066" s="81"/>
      <c r="I6066" s="149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1"/>
      <c r="B6067" s="90"/>
      <c r="C6067" s="81"/>
      <c r="D6067" s="171"/>
      <c r="E6067" s="125"/>
      <c r="F6067" s="81"/>
      <c r="G6067" s="125"/>
      <c r="H6067" s="81"/>
      <c r="I6067" s="149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1"/>
      <c r="B6068" s="90"/>
      <c r="C6068" s="81"/>
      <c r="D6068" s="171"/>
      <c r="E6068" s="125"/>
      <c r="F6068" s="81"/>
      <c r="G6068" s="125"/>
      <c r="H6068" s="81"/>
      <c r="I6068" s="149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1"/>
      <c r="B6069" s="90"/>
      <c r="C6069" s="81"/>
      <c r="D6069" s="171"/>
      <c r="E6069" s="125"/>
      <c r="F6069" s="81"/>
      <c r="G6069" s="125"/>
      <c r="H6069" s="81"/>
      <c r="I6069" s="149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1"/>
      <c r="B6070" s="90"/>
      <c r="C6070" s="81"/>
      <c r="D6070" s="171"/>
      <c r="E6070" s="125"/>
      <c r="F6070" s="81"/>
      <c r="G6070" s="125"/>
      <c r="H6070" s="81"/>
      <c r="I6070" s="149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1"/>
      <c r="B6071" s="90"/>
      <c r="C6071" s="81"/>
      <c r="D6071" s="171"/>
      <c r="E6071" s="125"/>
      <c r="F6071" s="81"/>
      <c r="G6071" s="125"/>
      <c r="H6071" s="81"/>
      <c r="I6071" s="149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1"/>
      <c r="B6072" s="90"/>
      <c r="C6072" s="81"/>
      <c r="D6072" s="171"/>
      <c r="E6072" s="125"/>
      <c r="F6072" s="81"/>
      <c r="G6072" s="125"/>
      <c r="H6072" s="81"/>
      <c r="I6072" s="149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1"/>
      <c r="B6073" s="90"/>
      <c r="C6073" s="81"/>
      <c r="D6073" s="171"/>
      <c r="E6073" s="125"/>
      <c r="F6073" s="81"/>
      <c r="G6073" s="125"/>
      <c r="H6073" s="81"/>
      <c r="I6073" s="149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1"/>
      <c r="B6074" s="90"/>
      <c r="C6074" s="81"/>
      <c r="D6074" s="171"/>
      <c r="E6074" s="125"/>
      <c r="F6074" s="81"/>
      <c r="G6074" s="125"/>
      <c r="H6074" s="81"/>
      <c r="I6074" s="149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1"/>
      <c r="B6075" s="90"/>
      <c r="C6075" s="81"/>
      <c r="D6075" s="171"/>
      <c r="E6075" s="125"/>
      <c r="F6075" s="81"/>
      <c r="G6075" s="125"/>
      <c r="H6075" s="81"/>
      <c r="I6075" s="149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1"/>
      <c r="B6076" s="90"/>
      <c r="C6076" s="81"/>
      <c r="D6076" s="171"/>
      <c r="E6076" s="125"/>
      <c r="F6076" s="81"/>
      <c r="G6076" s="125"/>
      <c r="H6076" s="81"/>
      <c r="I6076" s="149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1"/>
      <c r="B6077" s="90"/>
      <c r="C6077" s="81"/>
      <c r="D6077" s="171"/>
      <c r="E6077" s="125"/>
      <c r="F6077" s="81"/>
      <c r="G6077" s="125"/>
      <c r="H6077" s="81"/>
      <c r="I6077" s="149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1"/>
      <c r="B6078" s="90"/>
      <c r="C6078" s="81"/>
      <c r="D6078" s="171"/>
      <c r="E6078" s="125"/>
      <c r="F6078" s="81"/>
      <c r="G6078" s="125"/>
      <c r="H6078" s="81"/>
      <c r="I6078" s="149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1"/>
      <c r="B6079" s="90"/>
      <c r="C6079" s="81"/>
      <c r="D6079" s="171"/>
      <c r="E6079" s="125"/>
      <c r="F6079" s="81"/>
      <c r="G6079" s="125"/>
      <c r="H6079" s="81"/>
      <c r="I6079" s="149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1"/>
      <c r="B6080" s="90"/>
      <c r="C6080" s="81"/>
      <c r="D6080" s="171"/>
      <c r="E6080" s="125"/>
      <c r="F6080" s="81"/>
      <c r="G6080" s="125"/>
      <c r="H6080" s="81"/>
      <c r="I6080" s="149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1"/>
      <c r="B6081" s="90"/>
      <c r="C6081" s="81"/>
      <c r="D6081" s="171"/>
      <c r="E6081" s="125"/>
      <c r="F6081" s="81"/>
      <c r="G6081" s="125"/>
      <c r="H6081" s="81"/>
      <c r="I6081" s="149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1"/>
      <c r="B6082" s="90"/>
      <c r="C6082" s="81"/>
      <c r="D6082" s="171"/>
      <c r="E6082" s="125"/>
      <c r="F6082" s="81"/>
      <c r="G6082" s="125"/>
      <c r="H6082" s="81"/>
      <c r="I6082" s="149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1"/>
      <c r="B6083" s="90"/>
      <c r="C6083" s="81"/>
      <c r="D6083" s="171"/>
      <c r="E6083" s="125"/>
      <c r="F6083" s="81"/>
      <c r="G6083" s="125"/>
      <c r="H6083" s="81"/>
      <c r="I6083" s="149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1"/>
      <c r="B6084" s="90"/>
      <c r="C6084" s="81"/>
      <c r="D6084" s="171"/>
      <c r="E6084" s="125"/>
      <c r="F6084" s="81"/>
      <c r="G6084" s="125"/>
      <c r="H6084" s="81"/>
      <c r="I6084" s="149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1"/>
      <c r="B6085" s="90"/>
      <c r="C6085" s="81"/>
      <c r="D6085" s="171"/>
      <c r="E6085" s="125"/>
      <c r="F6085" s="81"/>
      <c r="G6085" s="125"/>
      <c r="H6085" s="81"/>
      <c r="I6085" s="149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1"/>
      <c r="B6086" s="90"/>
      <c r="C6086" s="81"/>
      <c r="D6086" s="171"/>
      <c r="E6086" s="125"/>
      <c r="F6086" s="81"/>
      <c r="G6086" s="125"/>
      <c r="H6086" s="81"/>
      <c r="I6086" s="149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1"/>
      <c r="B6087" s="90"/>
      <c r="C6087" s="81"/>
      <c r="D6087" s="171"/>
      <c r="E6087" s="125"/>
      <c r="F6087" s="81"/>
      <c r="G6087" s="125"/>
      <c r="H6087" s="81"/>
      <c r="I6087" s="149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1"/>
      <c r="B6088" s="90"/>
      <c r="C6088" s="81"/>
      <c r="D6088" s="171"/>
      <c r="E6088" s="125"/>
      <c r="F6088" s="81"/>
      <c r="G6088" s="125"/>
      <c r="H6088" s="81"/>
      <c r="I6088" s="149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1"/>
      <c r="B6089" s="90"/>
      <c r="C6089" s="81"/>
      <c r="D6089" s="171"/>
      <c r="E6089" s="125"/>
      <c r="F6089" s="81"/>
      <c r="G6089" s="125"/>
      <c r="H6089" s="81"/>
      <c r="I6089" s="149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1"/>
      <c r="B6090" s="90"/>
      <c r="C6090" s="81"/>
      <c r="D6090" s="171"/>
      <c r="E6090" s="125"/>
      <c r="F6090" s="81"/>
      <c r="G6090" s="125"/>
      <c r="H6090" s="81"/>
      <c r="I6090" s="149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1"/>
      <c r="B6091" s="90"/>
      <c r="C6091" s="81"/>
      <c r="D6091" s="171"/>
      <c r="E6091" s="125"/>
      <c r="F6091" s="81"/>
      <c r="G6091" s="125"/>
      <c r="H6091" s="81"/>
      <c r="I6091" s="149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1"/>
      <c r="B6092" s="90"/>
      <c r="C6092" s="81"/>
      <c r="D6092" s="171"/>
      <c r="E6092" s="125"/>
      <c r="F6092" s="81"/>
      <c r="G6092" s="125"/>
      <c r="H6092" s="81"/>
      <c r="I6092" s="149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1"/>
      <c r="B6093" s="90"/>
      <c r="C6093" s="81"/>
      <c r="D6093" s="171"/>
      <c r="E6093" s="125"/>
      <c r="F6093" s="81"/>
      <c r="G6093" s="125"/>
      <c r="H6093" s="81"/>
      <c r="I6093" s="149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1"/>
      <c r="B6094" s="90"/>
      <c r="C6094" s="81"/>
      <c r="D6094" s="171"/>
      <c r="E6094" s="125"/>
      <c r="F6094" s="81"/>
      <c r="G6094" s="125"/>
      <c r="H6094" s="81"/>
      <c r="I6094" s="149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1"/>
      <c r="B6095" s="90"/>
      <c r="C6095" s="81"/>
      <c r="D6095" s="171"/>
      <c r="E6095" s="125"/>
      <c r="F6095" s="81"/>
      <c r="G6095" s="125"/>
      <c r="H6095" s="81"/>
      <c r="I6095" s="149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1"/>
      <c r="B6096" s="90"/>
      <c r="C6096" s="81"/>
      <c r="D6096" s="171"/>
      <c r="E6096" s="125"/>
      <c r="F6096" s="81"/>
      <c r="G6096" s="125"/>
      <c r="H6096" s="81"/>
      <c r="I6096" s="149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1"/>
      <c r="B6097" s="90"/>
      <c r="C6097" s="81"/>
      <c r="D6097" s="171"/>
      <c r="E6097" s="125"/>
      <c r="F6097" s="81"/>
      <c r="G6097" s="125"/>
      <c r="H6097" s="81"/>
      <c r="I6097" s="149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1"/>
      <c r="B6098" s="90"/>
      <c r="C6098" s="81"/>
      <c r="D6098" s="171"/>
      <c r="E6098" s="125"/>
      <c r="F6098" s="81"/>
      <c r="G6098" s="125"/>
      <c r="H6098" s="81"/>
      <c r="I6098" s="149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1"/>
      <c r="B6099" s="90"/>
      <c r="C6099" s="81"/>
      <c r="D6099" s="171"/>
      <c r="E6099" s="125"/>
      <c r="F6099" s="81"/>
      <c r="G6099" s="125"/>
      <c r="H6099" s="81"/>
      <c r="I6099" s="149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1"/>
      <c r="B6100" s="90"/>
      <c r="C6100" s="81"/>
      <c r="D6100" s="171"/>
      <c r="E6100" s="125"/>
      <c r="F6100" s="81"/>
      <c r="G6100" s="125"/>
      <c r="H6100" s="81"/>
      <c r="I6100" s="149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1"/>
      <c r="B6101" s="90"/>
      <c r="C6101" s="81"/>
      <c r="D6101" s="171"/>
      <c r="E6101" s="125"/>
      <c r="F6101" s="81"/>
      <c r="G6101" s="125"/>
      <c r="H6101" s="81"/>
      <c r="I6101" s="149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1"/>
      <c r="B6102" s="90"/>
      <c r="C6102" s="81"/>
      <c r="D6102" s="171"/>
      <c r="E6102" s="125"/>
      <c r="F6102" s="81"/>
      <c r="G6102" s="125"/>
      <c r="H6102" s="81"/>
      <c r="I6102" s="149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1"/>
      <c r="B6103" s="90"/>
      <c r="C6103" s="81"/>
      <c r="D6103" s="171"/>
      <c r="E6103" s="125"/>
      <c r="F6103" s="81"/>
      <c r="G6103" s="125"/>
      <c r="H6103" s="81"/>
      <c r="I6103" s="149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1"/>
      <c r="B6104" s="90"/>
      <c r="C6104" s="81"/>
      <c r="D6104" s="171"/>
      <c r="E6104" s="125"/>
      <c r="F6104" s="81"/>
      <c r="G6104" s="125"/>
      <c r="H6104" s="81"/>
      <c r="I6104" s="149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1"/>
      <c r="B6105" s="90"/>
      <c r="C6105" s="81"/>
      <c r="D6105" s="171"/>
      <c r="E6105" s="125"/>
      <c r="F6105" s="81"/>
      <c r="G6105" s="125"/>
      <c r="H6105" s="81"/>
      <c r="I6105" s="149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1"/>
      <c r="B6106" s="90"/>
      <c r="C6106" s="81"/>
      <c r="D6106" s="171"/>
      <c r="E6106" s="125"/>
      <c r="F6106" s="81"/>
      <c r="G6106" s="125"/>
      <c r="H6106" s="81"/>
      <c r="I6106" s="149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1"/>
      <c r="B6107" s="90"/>
      <c r="C6107" s="81"/>
      <c r="D6107" s="171"/>
      <c r="E6107" s="125"/>
      <c r="F6107" s="81"/>
      <c r="G6107" s="125"/>
      <c r="H6107" s="81"/>
      <c r="I6107" s="149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1"/>
      <c r="B6108" s="90"/>
      <c r="C6108" s="81"/>
      <c r="D6108" s="171"/>
      <c r="E6108" s="125"/>
      <c r="F6108" s="81"/>
      <c r="G6108" s="125"/>
      <c r="H6108" s="81"/>
      <c r="I6108" s="149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1"/>
      <c r="B6109" s="90"/>
      <c r="C6109" s="81"/>
      <c r="D6109" s="171"/>
      <c r="E6109" s="125"/>
      <c r="F6109" s="81"/>
      <c r="G6109" s="125"/>
      <c r="H6109" s="81"/>
      <c r="I6109" s="149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1"/>
      <c r="B6110" s="90"/>
      <c r="C6110" s="81"/>
      <c r="D6110" s="171"/>
      <c r="E6110" s="125"/>
      <c r="F6110" s="81"/>
      <c r="G6110" s="125"/>
      <c r="H6110" s="81"/>
      <c r="I6110" s="149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1"/>
      <c r="B6111" s="90"/>
      <c r="C6111" s="81"/>
      <c r="D6111" s="171"/>
      <c r="E6111" s="125"/>
      <c r="F6111" s="81"/>
      <c r="G6111" s="125"/>
      <c r="H6111" s="81"/>
      <c r="I6111" s="149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1"/>
      <c r="B6112" s="90"/>
      <c r="C6112" s="81"/>
      <c r="D6112" s="171"/>
      <c r="E6112" s="125"/>
      <c r="F6112" s="81"/>
      <c r="G6112" s="125"/>
      <c r="H6112" s="81"/>
      <c r="I6112" s="149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1"/>
      <c r="B6113" s="90"/>
      <c r="C6113" s="81"/>
      <c r="D6113" s="171"/>
      <c r="E6113" s="125"/>
      <c r="F6113" s="81"/>
      <c r="G6113" s="125"/>
      <c r="H6113" s="81"/>
      <c r="I6113" s="149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1"/>
      <c r="B6114" s="90"/>
      <c r="C6114" s="81"/>
      <c r="D6114" s="171"/>
      <c r="E6114" s="125"/>
      <c r="F6114" s="81"/>
      <c r="G6114" s="125"/>
      <c r="H6114" s="81"/>
      <c r="I6114" s="149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1"/>
      <c r="B6115" s="90"/>
      <c r="C6115" s="81"/>
      <c r="D6115" s="171"/>
      <c r="E6115" s="125"/>
      <c r="F6115" s="81"/>
      <c r="G6115" s="125"/>
      <c r="H6115" s="81"/>
      <c r="I6115" s="149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1"/>
      <c r="B6116" s="90"/>
      <c r="C6116" s="81"/>
      <c r="D6116" s="171"/>
      <c r="E6116" s="125"/>
      <c r="F6116" s="81"/>
      <c r="G6116" s="125"/>
      <c r="H6116" s="81"/>
      <c r="I6116" s="149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1"/>
      <c r="B6117" s="90"/>
      <c r="C6117" s="81"/>
      <c r="D6117" s="171"/>
      <c r="E6117" s="125"/>
      <c r="F6117" s="81"/>
      <c r="G6117" s="125"/>
      <c r="H6117" s="81"/>
      <c r="I6117" s="149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1"/>
      <c r="B6118" s="90"/>
      <c r="C6118" s="81"/>
      <c r="D6118" s="171"/>
      <c r="E6118" s="125"/>
      <c r="F6118" s="81"/>
      <c r="G6118" s="125"/>
      <c r="H6118" s="81"/>
      <c r="I6118" s="149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1"/>
      <c r="B6119" s="90"/>
      <c r="C6119" s="81"/>
      <c r="D6119" s="171"/>
      <c r="E6119" s="125"/>
      <c r="F6119" s="81"/>
      <c r="G6119" s="125"/>
      <c r="H6119" s="81"/>
      <c r="I6119" s="149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1"/>
      <c r="B6120" s="90"/>
      <c r="C6120" s="81"/>
      <c r="D6120" s="171"/>
      <c r="E6120" s="125"/>
      <c r="F6120" s="81"/>
      <c r="G6120" s="125"/>
      <c r="H6120" s="81"/>
      <c r="I6120" s="149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1"/>
      <c r="B6121" s="90"/>
      <c r="C6121" s="81"/>
      <c r="D6121" s="171"/>
      <c r="E6121" s="125"/>
      <c r="F6121" s="81"/>
      <c r="G6121" s="125"/>
      <c r="H6121" s="81"/>
      <c r="I6121" s="149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1"/>
      <c r="B6122" s="90"/>
      <c r="C6122" s="81"/>
      <c r="D6122" s="171"/>
      <c r="E6122" s="125"/>
      <c r="F6122" s="81"/>
      <c r="G6122" s="125"/>
      <c r="H6122" s="81"/>
      <c r="I6122" s="149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1"/>
      <c r="B6123" s="90"/>
      <c r="C6123" s="81"/>
      <c r="D6123" s="171"/>
      <c r="E6123" s="125"/>
      <c r="F6123" s="81"/>
      <c r="G6123" s="125"/>
      <c r="H6123" s="81"/>
      <c r="I6123" s="149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1"/>
      <c r="B6124" s="90"/>
      <c r="C6124" s="81"/>
      <c r="D6124" s="171"/>
      <c r="E6124" s="125"/>
      <c r="F6124" s="81"/>
      <c r="G6124" s="125"/>
      <c r="H6124" s="81"/>
      <c r="I6124" s="149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1"/>
      <c r="B6125" s="90"/>
      <c r="C6125" s="81"/>
      <c r="D6125" s="171"/>
      <c r="E6125" s="125"/>
      <c r="F6125" s="81"/>
      <c r="G6125" s="125"/>
      <c r="H6125" s="81"/>
      <c r="I6125" s="149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1"/>
      <c r="B6126" s="90"/>
      <c r="C6126" s="81"/>
      <c r="D6126" s="171"/>
      <c r="E6126" s="125"/>
      <c r="F6126" s="81"/>
      <c r="G6126" s="125"/>
      <c r="H6126" s="81"/>
      <c r="I6126" s="149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1"/>
      <c r="B6127" s="90"/>
      <c r="C6127" s="81"/>
      <c r="D6127" s="171"/>
      <c r="E6127" s="125"/>
      <c r="F6127" s="81"/>
      <c r="G6127" s="125"/>
      <c r="H6127" s="81"/>
      <c r="I6127" s="149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1"/>
      <c r="B6128" s="90"/>
      <c r="C6128" s="81"/>
      <c r="D6128" s="171"/>
      <c r="E6128" s="125"/>
      <c r="F6128" s="81"/>
      <c r="G6128" s="125"/>
      <c r="H6128" s="81"/>
      <c r="I6128" s="149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1"/>
      <c r="B6129" s="90"/>
      <c r="C6129" s="81"/>
      <c r="D6129" s="171"/>
      <c r="E6129" s="125"/>
      <c r="F6129" s="81"/>
      <c r="G6129" s="125"/>
      <c r="H6129" s="81"/>
      <c r="I6129" s="149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1"/>
      <c r="B6130" s="90"/>
      <c r="C6130" s="81"/>
      <c r="D6130" s="171"/>
      <c r="E6130" s="125"/>
      <c r="F6130" s="81"/>
      <c r="G6130" s="125"/>
      <c r="H6130" s="81"/>
      <c r="I6130" s="149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1"/>
      <c r="B6131" s="90"/>
      <c r="C6131" s="81"/>
      <c r="D6131" s="171"/>
      <c r="E6131" s="125"/>
      <c r="F6131" s="81"/>
      <c r="G6131" s="125"/>
      <c r="H6131" s="81"/>
      <c r="I6131" s="149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1"/>
      <c r="B6132" s="90"/>
      <c r="C6132" s="81"/>
      <c r="D6132" s="171"/>
      <c r="E6132" s="125"/>
      <c r="F6132" s="81"/>
      <c r="G6132" s="125"/>
      <c r="H6132" s="81"/>
      <c r="I6132" s="149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1"/>
      <c r="B6133" s="90"/>
      <c r="C6133" s="81"/>
      <c r="D6133" s="171"/>
      <c r="E6133" s="125"/>
      <c r="F6133" s="81"/>
      <c r="G6133" s="125"/>
      <c r="H6133" s="81"/>
      <c r="I6133" s="149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1"/>
      <c r="B6134" s="90"/>
      <c r="C6134" s="81"/>
      <c r="D6134" s="171"/>
      <c r="E6134" s="125"/>
      <c r="F6134" s="81"/>
      <c r="G6134" s="125"/>
      <c r="H6134" s="81"/>
      <c r="I6134" s="149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1"/>
      <c r="B6135" s="90"/>
      <c r="C6135" s="81"/>
      <c r="D6135" s="171"/>
      <c r="E6135" s="125"/>
      <c r="F6135" s="81"/>
      <c r="G6135" s="125"/>
      <c r="H6135" s="81"/>
      <c r="I6135" s="149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1"/>
      <c r="B6136" s="90"/>
      <c r="C6136" s="81"/>
      <c r="D6136" s="171"/>
      <c r="E6136" s="125"/>
      <c r="F6136" s="81"/>
      <c r="G6136" s="125"/>
      <c r="H6136" s="81"/>
      <c r="I6136" s="149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1"/>
      <c r="B6137" s="90"/>
      <c r="C6137" s="81"/>
      <c r="D6137" s="171"/>
      <c r="E6137" s="125"/>
      <c r="F6137" s="81"/>
      <c r="G6137" s="125"/>
      <c r="H6137" s="81"/>
      <c r="I6137" s="149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1"/>
      <c r="B6138" s="90"/>
      <c r="C6138" s="81"/>
      <c r="D6138" s="171"/>
      <c r="E6138" s="125"/>
      <c r="F6138" s="81"/>
      <c r="G6138" s="125"/>
      <c r="H6138" s="81"/>
      <c r="I6138" s="149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1"/>
      <c r="B6139" s="90"/>
      <c r="C6139" s="81"/>
      <c r="D6139" s="171"/>
      <c r="E6139" s="125"/>
      <c r="F6139" s="81"/>
      <c r="G6139" s="125"/>
      <c r="H6139" s="81"/>
      <c r="I6139" s="149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1"/>
      <c r="B6140" s="90"/>
      <c r="C6140" s="81"/>
      <c r="D6140" s="171"/>
      <c r="E6140" s="125"/>
      <c r="F6140" s="81"/>
      <c r="G6140" s="125"/>
      <c r="H6140" s="81"/>
      <c r="I6140" s="149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1"/>
      <c r="B6141" s="90"/>
      <c r="C6141" s="81"/>
      <c r="D6141" s="171"/>
      <c r="E6141" s="125"/>
      <c r="F6141" s="81"/>
      <c r="G6141" s="125"/>
      <c r="H6141" s="81"/>
      <c r="I6141" s="149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1"/>
      <c r="B6142" s="90"/>
      <c r="C6142" s="81"/>
      <c r="D6142" s="171"/>
      <c r="E6142" s="125"/>
      <c r="F6142" s="81"/>
      <c r="G6142" s="125"/>
      <c r="H6142" s="81"/>
      <c r="I6142" s="149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1"/>
      <c r="B6143" s="90"/>
      <c r="C6143" s="81"/>
      <c r="D6143" s="171"/>
      <c r="E6143" s="125"/>
      <c r="F6143" s="81"/>
      <c r="G6143" s="125"/>
      <c r="H6143" s="81"/>
      <c r="I6143" s="149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1"/>
      <c r="B6144" s="90"/>
      <c r="C6144" s="81"/>
      <c r="D6144" s="171"/>
      <c r="E6144" s="125"/>
      <c r="F6144" s="81"/>
      <c r="G6144" s="125"/>
      <c r="H6144" s="81"/>
      <c r="I6144" s="149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1"/>
      <c r="B6145" s="90"/>
      <c r="C6145" s="81"/>
      <c r="D6145" s="171"/>
      <c r="E6145" s="125"/>
      <c r="F6145" s="81"/>
      <c r="G6145" s="125"/>
      <c r="H6145" s="81"/>
      <c r="I6145" s="149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1"/>
      <c r="B6146" s="90"/>
      <c r="C6146" s="81"/>
      <c r="D6146" s="171"/>
      <c r="E6146" s="125"/>
      <c r="F6146" s="81"/>
      <c r="G6146" s="125"/>
      <c r="H6146" s="81"/>
      <c r="I6146" s="149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1"/>
      <c r="B6147" s="90"/>
      <c r="C6147" s="81"/>
      <c r="D6147" s="171"/>
      <c r="E6147" s="125"/>
      <c r="F6147" s="81"/>
      <c r="G6147" s="125"/>
      <c r="H6147" s="81"/>
      <c r="I6147" s="149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1"/>
      <c r="B6148" s="90"/>
      <c r="C6148" s="81"/>
      <c r="D6148" s="171"/>
      <c r="E6148" s="125"/>
      <c r="F6148" s="81"/>
      <c r="G6148" s="125"/>
      <c r="H6148" s="81"/>
      <c r="I6148" s="149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1"/>
      <c r="B6149" s="90"/>
      <c r="C6149" s="81"/>
      <c r="D6149" s="171"/>
      <c r="E6149" s="125"/>
      <c r="F6149" s="81"/>
      <c r="G6149" s="125"/>
      <c r="H6149" s="81"/>
      <c r="I6149" s="149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A4AB7D60-7356-4872-AF7D-0566D0D88F83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44A248BA-3710-4F62-BDA3-4C94DAD224EB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57" t="s">
        <v>22</v>
      </c>
      <c r="F2" s="59"/>
    </row>
    <row r="3" ht="21.0" customHeight="1">
      <c r="E3" s="62" t="s">
        <v>24</v>
      </c>
      <c r="F3" s="67">
        <f>F5+F4</f>
        <v>4982</v>
      </c>
    </row>
    <row r="4" ht="21.0" customHeight="1">
      <c r="E4" s="69" t="s">
        <v>28</v>
      </c>
      <c r="F4" s="71">
        <f>'MP Register'!$AE$2</f>
        <v>4002</v>
      </c>
    </row>
    <row r="5" ht="22.5" customHeight="1">
      <c r="E5" s="73" t="s">
        <v>31</v>
      </c>
      <c r="F5" s="75">
        <f>'MP Register'!$AE$3</f>
        <v>980</v>
      </c>
      <c r="L5" s="76" t="s">
        <v>33</v>
      </c>
    </row>
    <row r="6" ht="14.25" customHeight="1">
      <c r="L6" s="77" t="s">
        <v>34</v>
      </c>
    </row>
    <row r="7" ht="14.25" customHeight="1">
      <c r="L7" s="77" t="s">
        <v>35</v>
      </c>
    </row>
    <row r="8" ht="14.25" customHeight="1">
      <c r="L8" s="77" t="s">
        <v>36</v>
      </c>
    </row>
    <row r="9" ht="14.25" customHeight="1">
      <c r="L9" s="77" t="s">
        <v>37</v>
      </c>
    </row>
    <row r="10" ht="14.25" customHeight="1">
      <c r="L10" s="77" t="s">
        <v>38</v>
      </c>
    </row>
    <row r="11" ht="14.25" customHeight="1">
      <c r="L11" s="77" t="s">
        <v>39</v>
      </c>
    </row>
    <row r="12" ht="14.25" customHeight="1">
      <c r="L12" s="77" t="s">
        <v>40</v>
      </c>
    </row>
    <row r="13" ht="14.25" customHeight="1">
      <c r="L13" s="77" t="s">
        <v>41</v>
      </c>
    </row>
    <row r="14" ht="14.25" customHeight="1">
      <c r="L14" s="77" t="s">
        <v>42</v>
      </c>
    </row>
    <row r="15" ht="14.25" customHeight="1">
      <c r="L15" s="77" t="s">
        <v>43</v>
      </c>
    </row>
    <row r="16" ht="14.25" customHeight="1">
      <c r="L16" s="77" t="s">
        <v>44</v>
      </c>
    </row>
    <row r="17" ht="14.25" customHeight="1">
      <c r="L17" s="77" t="s">
        <v>45</v>
      </c>
    </row>
    <row r="18" ht="14.25" customHeight="1">
      <c r="L18" s="77" t="s">
        <v>46</v>
      </c>
    </row>
    <row r="19" ht="14.25" customHeight="1">
      <c r="L19" s="77" t="s">
        <v>48</v>
      </c>
    </row>
    <row r="20" ht="14.25" customHeight="1">
      <c r="L20" s="77" t="s">
        <v>49</v>
      </c>
    </row>
    <row r="21" ht="14.25" customHeight="1">
      <c r="L21" s="77" t="s">
        <v>50</v>
      </c>
    </row>
    <row r="22" ht="14.25" customHeight="1">
      <c r="L22" s="77" t="s">
        <v>51</v>
      </c>
    </row>
    <row r="23" ht="14.25" customHeight="1">
      <c r="L23" s="77" t="s">
        <v>52</v>
      </c>
    </row>
    <row r="24" ht="14.25" customHeight="1">
      <c r="L24" s="77" t="s">
        <v>53</v>
      </c>
    </row>
    <row r="25" ht="14.25" customHeight="1">
      <c r="L25" s="77" t="s">
        <v>54</v>
      </c>
    </row>
    <row r="26" ht="14.25" customHeight="1">
      <c r="L26" s="77" t="s">
        <v>55</v>
      </c>
    </row>
    <row r="27" ht="14.25" customHeight="1">
      <c r="L27" s="80"/>
    </row>
    <row r="28" ht="14.25" customHeight="1">
      <c r="L28" s="80"/>
    </row>
    <row r="29" ht="14.25" customHeight="1">
      <c r="L29" s="80"/>
    </row>
    <row r="30" ht="14.25" customHeight="1">
      <c r="L30" s="80"/>
    </row>
    <row r="31" ht="14.25" customHeight="1">
      <c r="L31" s="80"/>
    </row>
    <row r="32" ht="14.25" customHeight="1">
      <c r="L32" s="80"/>
    </row>
    <row r="33" ht="14.25" customHeight="1">
      <c r="L33" s="80"/>
    </row>
    <row r="34" ht="14.25" customHeight="1">
      <c r="L34" s="80"/>
    </row>
    <row r="35" ht="14.25" customHeight="1">
      <c r="L35" s="83"/>
    </row>
    <row r="36" ht="14.25" customHeight="1">
      <c r="L36" s="83"/>
    </row>
    <row r="37" ht="14.25" customHeight="1">
      <c r="L37" s="83"/>
    </row>
    <row r="38" ht="14.25" customHeight="1">
      <c r="L38" s="83"/>
    </row>
    <row r="39" ht="14.25" customHeight="1">
      <c r="L39" s="83"/>
    </row>
    <row r="40" ht="14.25" customHeight="1">
      <c r="L40" s="83"/>
    </row>
    <row r="41" ht="14.25" customHeight="1">
      <c r="L41" s="83"/>
    </row>
    <row r="42" ht="14.25" customHeight="1">
      <c r="L42" s="83"/>
    </row>
    <row r="43" ht="14.25" customHeight="1">
      <c r="L43" s="83"/>
    </row>
    <row r="44" ht="14.25" customHeight="1">
      <c r="L44" s="83"/>
    </row>
    <row r="45" ht="14.25" customHeight="1">
      <c r="L45" s="83"/>
    </row>
    <row r="46" ht="14.25" customHeight="1">
      <c r="L46" s="83"/>
    </row>
    <row r="47" ht="14.25" customHeight="1">
      <c r="L47" s="83"/>
    </row>
    <row r="48" ht="14.25" customHeight="1">
      <c r="L48" s="83"/>
    </row>
    <row r="49" ht="14.25" customHeight="1">
      <c r="L49" s="83"/>
    </row>
    <row r="50" ht="14.25" customHeight="1">
      <c r="L50" s="83"/>
    </row>
    <row r="51" ht="14.25" customHeight="1">
      <c r="L51" s="83"/>
    </row>
    <row r="52" ht="14.25" customHeight="1">
      <c r="L52" s="83"/>
    </row>
    <row r="53" ht="14.25" customHeight="1">
      <c r="L53" s="88"/>
    </row>
    <row r="54" ht="14.25" customHeight="1">
      <c r="L54" s="88"/>
    </row>
    <row r="55" ht="14.25" customHeight="1">
      <c r="L55" s="88"/>
    </row>
    <row r="56" ht="14.25" customHeight="1">
      <c r="L56" s="88"/>
    </row>
    <row r="57" ht="14.25" customHeight="1">
      <c r="L57" s="88"/>
    </row>
    <row r="58" ht="14.25" customHeight="1">
      <c r="L58" s="88"/>
    </row>
    <row r="59" ht="14.25" customHeight="1">
      <c r="L59" s="88"/>
    </row>
    <row r="60" ht="14.25" customHeight="1">
      <c r="L60" s="88"/>
    </row>
    <row r="61" ht="14.25" customHeight="1">
      <c r="L61" s="88"/>
    </row>
    <row r="62" ht="14.25" customHeight="1">
      <c r="L62" s="88"/>
    </row>
    <row r="63" ht="14.25" customHeight="1">
      <c r="L63" s="88"/>
    </row>
    <row r="64" ht="14.25" customHeight="1">
      <c r="L64" s="88"/>
    </row>
    <row r="65" ht="14.25" customHeight="1">
      <c r="L65" s="88"/>
    </row>
    <row r="66" ht="14.25" customHeight="1">
      <c r="L66" s="88"/>
    </row>
    <row r="67" ht="14.25" customHeight="1">
      <c r="L67" s="88"/>
    </row>
    <row r="68" ht="14.25" customHeight="1">
      <c r="L68" s="55"/>
    </row>
    <row r="69" ht="14.25" customHeight="1">
      <c r="L69" s="55"/>
    </row>
    <row r="70" ht="14.25" customHeight="1">
      <c r="L70" s="55"/>
    </row>
    <row r="71" ht="14.25" customHeight="1">
      <c r="L71" s="55"/>
    </row>
    <row r="72" ht="14.25" customHeight="1">
      <c r="L72" s="55"/>
    </row>
    <row r="73" ht="14.25" customHeight="1">
      <c r="L73" s="55"/>
    </row>
    <row r="74" ht="14.25" customHeight="1">
      <c r="L74" s="55"/>
    </row>
    <row r="75" ht="14.25" customHeight="1">
      <c r="L75" s="55"/>
    </row>
    <row r="76" ht="14.25" customHeight="1">
      <c r="L76" s="55"/>
    </row>
    <row r="77" ht="14.25" customHeight="1">
      <c r="L77" s="55"/>
    </row>
    <row r="78" ht="14.25" customHeight="1">
      <c r="L78" s="55"/>
    </row>
    <row r="79" ht="14.25" customHeight="1">
      <c r="L79" s="55"/>
    </row>
    <row r="80" ht="14.25" customHeight="1">
      <c r="L80" s="55"/>
    </row>
    <row r="81" ht="14.25" customHeight="1">
      <c r="L81" s="55"/>
    </row>
    <row r="82" ht="14.25" customHeight="1">
      <c r="L82" s="55"/>
    </row>
    <row r="83" ht="14.25" customHeight="1">
      <c r="L83" s="55"/>
    </row>
    <row r="84" ht="14.25" customHeight="1">
      <c r="L84" s="55"/>
    </row>
    <row r="85" ht="14.25" customHeight="1">
      <c r="L85" s="55"/>
    </row>
    <row r="86" ht="14.25" customHeight="1">
      <c r="L86" s="55"/>
    </row>
    <row r="87" ht="14.25" customHeight="1">
      <c r="L87" s="55"/>
    </row>
    <row r="88" ht="14.25" customHeight="1">
      <c r="L88" s="55"/>
    </row>
    <row r="89" ht="14.25" customHeight="1">
      <c r="L89" s="55"/>
    </row>
    <row r="90" ht="14.25" customHeight="1">
      <c r="L90" s="55"/>
    </row>
    <row r="91" ht="14.25" customHeight="1">
      <c r="L91" s="55"/>
    </row>
    <row r="92" ht="14.25" customHeight="1">
      <c r="L92" s="55"/>
    </row>
    <row r="93" ht="14.25" customHeight="1">
      <c r="L93" s="55"/>
    </row>
    <row r="94" ht="14.25" customHeight="1">
      <c r="L94" s="55"/>
    </row>
    <row r="95" ht="14.25" customHeight="1">
      <c r="L95" s="55"/>
    </row>
    <row r="96" ht="14.25" customHeight="1">
      <c r="L96" s="55"/>
    </row>
    <row r="97" ht="14.25" customHeight="1">
      <c r="L97" s="55"/>
    </row>
    <row r="98" ht="14.25" customHeight="1">
      <c r="L98" s="55"/>
    </row>
    <row r="99" ht="14.25" customHeight="1">
      <c r="L99" s="55"/>
    </row>
    <row r="100" ht="14.25" customHeight="1">
      <c r="L100" s="55"/>
    </row>
    <row r="101" ht="14.25" customHeight="1">
      <c r="L101" s="55"/>
    </row>
    <row r="102" ht="14.25" customHeight="1">
      <c r="L102" s="55"/>
    </row>
    <row r="103" ht="14.25" customHeight="1">
      <c r="L103" s="55"/>
    </row>
    <row r="104" ht="14.25" customHeight="1">
      <c r="L104" s="55"/>
    </row>
    <row r="105" ht="14.25" customHeight="1">
      <c r="L105" s="55"/>
    </row>
    <row r="106" ht="14.25" customHeight="1">
      <c r="L106" s="55"/>
    </row>
    <row r="107" ht="14.25" customHeight="1">
      <c r="L107" s="55"/>
    </row>
    <row r="108" ht="14.25" customHeight="1">
      <c r="L108" s="55"/>
    </row>
    <row r="109" ht="14.25" customHeight="1">
      <c r="L109" s="55"/>
    </row>
    <row r="110" ht="14.25" customHeight="1">
      <c r="L110" s="55"/>
    </row>
    <row r="111" ht="14.25" customHeight="1">
      <c r="L111" s="55"/>
    </row>
    <row r="112" ht="14.25" customHeight="1">
      <c r="L112" s="55"/>
    </row>
    <row r="113" ht="14.25" customHeight="1">
      <c r="L113" s="55"/>
    </row>
    <row r="114" ht="14.25" customHeight="1">
      <c r="L114" s="55"/>
    </row>
    <row r="115" ht="14.25" customHeight="1">
      <c r="L115" s="55"/>
    </row>
    <row r="116" ht="14.25" customHeight="1">
      <c r="L116" s="55"/>
    </row>
    <row r="117" ht="14.25" customHeight="1">
      <c r="L117" s="55"/>
    </row>
    <row r="118" ht="14.25" customHeight="1">
      <c r="L118" s="55"/>
    </row>
    <row r="119" ht="14.25" customHeight="1">
      <c r="L119" s="55"/>
    </row>
    <row r="120" ht="14.25" customHeight="1">
      <c r="L120" s="55"/>
    </row>
    <row r="121" ht="14.25" customHeight="1">
      <c r="L121" s="55"/>
    </row>
    <row r="122" ht="14.25" customHeight="1">
      <c r="L122" s="55"/>
    </row>
    <row r="123" ht="14.25" customHeight="1">
      <c r="L123" s="55"/>
    </row>
    <row r="124" ht="14.25" customHeight="1">
      <c r="L124" s="55"/>
    </row>
    <row r="125" ht="14.25" customHeight="1">
      <c r="L125" s="55"/>
    </row>
    <row r="126" ht="14.25" customHeight="1">
      <c r="L126" s="55"/>
    </row>
    <row r="127" ht="14.25" customHeight="1">
      <c r="L127" s="55"/>
    </row>
    <row r="128" ht="14.25" customHeight="1">
      <c r="L128" s="55"/>
    </row>
    <row r="129" ht="14.25" customHeight="1">
      <c r="L129" s="55"/>
    </row>
    <row r="130" ht="14.25" customHeight="1">
      <c r="L130" s="55"/>
    </row>
    <row r="131" ht="14.25" customHeight="1">
      <c r="L131" s="55"/>
    </row>
    <row r="132" ht="14.25" customHeight="1">
      <c r="L132" s="55"/>
    </row>
    <row r="133" ht="14.25" customHeight="1">
      <c r="L133" s="55"/>
    </row>
    <row r="134" ht="14.25" customHeight="1">
      <c r="L134" s="55"/>
    </row>
    <row r="135" ht="14.25" customHeight="1">
      <c r="L135" s="55"/>
    </row>
    <row r="136" ht="14.25" customHeight="1">
      <c r="L136" s="55"/>
    </row>
    <row r="137" ht="14.25" customHeight="1">
      <c r="L137" s="55"/>
    </row>
    <row r="138" ht="14.25" customHeight="1">
      <c r="L138" s="55"/>
    </row>
    <row r="139" ht="14.25" customHeight="1">
      <c r="L139" s="55"/>
    </row>
    <row r="140" ht="14.25" customHeight="1">
      <c r="L140" s="55"/>
    </row>
    <row r="141" ht="14.25" customHeight="1">
      <c r="L141" s="55"/>
    </row>
    <row r="142" ht="14.25" customHeight="1">
      <c r="L142" s="55"/>
    </row>
    <row r="143" ht="14.25" customHeight="1">
      <c r="L143" s="55"/>
    </row>
    <row r="144" ht="14.25" customHeight="1">
      <c r="L144" s="55"/>
    </row>
    <row r="145" ht="14.25" customHeight="1">
      <c r="L145" s="55"/>
    </row>
    <row r="146" ht="14.25" customHeight="1">
      <c r="L146" s="55"/>
    </row>
    <row r="147" ht="14.25" customHeight="1">
      <c r="L147" s="55"/>
    </row>
    <row r="148" ht="14.25" customHeight="1">
      <c r="L148" s="55"/>
    </row>
    <row r="149" ht="14.25" customHeight="1">
      <c r="L149" s="55"/>
    </row>
    <row r="150" ht="14.25" customHeight="1">
      <c r="L150" s="55"/>
    </row>
    <row r="151" ht="14.25" customHeight="1">
      <c r="L151" s="55"/>
    </row>
    <row r="152" ht="14.25" customHeight="1">
      <c r="L152" s="55"/>
    </row>
    <row r="153" ht="14.25" customHeight="1">
      <c r="L153" s="55"/>
    </row>
    <row r="154" ht="14.25" customHeight="1">
      <c r="L154" s="55"/>
    </row>
    <row r="155" ht="14.25" customHeight="1">
      <c r="L155" s="55"/>
    </row>
    <row r="156" ht="14.25" customHeight="1">
      <c r="L156" s="55"/>
    </row>
    <row r="157" ht="14.25" customHeight="1">
      <c r="L157" s="55"/>
    </row>
    <row r="158" ht="14.25" customHeight="1">
      <c r="L158" s="55"/>
    </row>
    <row r="159" ht="14.25" customHeight="1">
      <c r="L159" s="55"/>
    </row>
    <row r="160" ht="14.25" customHeight="1">
      <c r="L160" s="55"/>
    </row>
    <row r="161" ht="14.25" customHeight="1">
      <c r="L161" s="55"/>
    </row>
    <row r="162" ht="14.25" customHeight="1">
      <c r="L162" s="55"/>
    </row>
    <row r="163" ht="14.25" customHeight="1">
      <c r="L163" s="55"/>
    </row>
    <row r="164" ht="14.25" customHeight="1">
      <c r="L164" s="55"/>
    </row>
    <row r="165" ht="14.25" customHeight="1">
      <c r="L165" s="55"/>
    </row>
    <row r="166" ht="14.25" customHeight="1">
      <c r="L166" s="55"/>
    </row>
    <row r="167" ht="14.25" customHeight="1">
      <c r="L167" s="55"/>
    </row>
    <row r="168" ht="14.25" customHeight="1">
      <c r="L168" s="55"/>
    </row>
    <row r="169" ht="14.25" customHeight="1">
      <c r="L169" s="55"/>
    </row>
    <row r="170" ht="14.25" customHeight="1">
      <c r="L170" s="55"/>
    </row>
    <row r="171" ht="14.25" customHeight="1">
      <c r="L171" s="55"/>
    </row>
    <row r="172" ht="14.25" customHeight="1">
      <c r="L172" s="55"/>
    </row>
    <row r="173" ht="14.25" customHeight="1">
      <c r="L173" s="55"/>
    </row>
    <row r="174" ht="14.25" customHeight="1">
      <c r="L174" s="55"/>
    </row>
    <row r="175" ht="14.25" customHeight="1">
      <c r="L175" s="55"/>
    </row>
    <row r="176" ht="14.25" customHeight="1">
      <c r="L176" s="55"/>
    </row>
    <row r="177" ht="14.25" customHeight="1">
      <c r="L177" s="55"/>
    </row>
    <row r="178" ht="14.25" customHeight="1">
      <c r="L178" s="55"/>
    </row>
    <row r="179" ht="14.25" customHeight="1">
      <c r="L179" s="55"/>
    </row>
    <row r="180" ht="14.25" customHeight="1">
      <c r="L180" s="55"/>
    </row>
    <row r="181" ht="14.25" customHeight="1">
      <c r="L181" s="55"/>
    </row>
    <row r="182" ht="14.25" customHeight="1">
      <c r="L182" s="55"/>
    </row>
    <row r="183" ht="14.25" customHeight="1">
      <c r="L183" s="55"/>
    </row>
    <row r="184" ht="14.25" customHeight="1">
      <c r="L184" s="55"/>
    </row>
    <row r="185" ht="14.25" customHeight="1">
      <c r="L185" s="55"/>
    </row>
    <row r="186" ht="14.25" customHeight="1">
      <c r="L186" s="55"/>
    </row>
    <row r="187" ht="14.25" customHeight="1">
      <c r="L187" s="55"/>
    </row>
    <row r="188" ht="14.25" customHeight="1">
      <c r="L188" s="55"/>
    </row>
    <row r="189" ht="14.25" customHeight="1">
      <c r="L189" s="55"/>
    </row>
    <row r="190" ht="14.25" customHeight="1">
      <c r="L190" s="55"/>
    </row>
    <row r="191" ht="14.25" customHeight="1">
      <c r="L191" s="55"/>
    </row>
    <row r="192" ht="14.25" customHeight="1">
      <c r="L192" s="55"/>
    </row>
    <row r="193" ht="14.25" customHeight="1">
      <c r="L193" s="55"/>
    </row>
    <row r="194" ht="14.25" customHeight="1">
      <c r="L194" s="55"/>
    </row>
    <row r="195" ht="14.25" customHeight="1">
      <c r="L195" s="55"/>
    </row>
    <row r="196" ht="14.25" customHeight="1">
      <c r="L196" s="55"/>
    </row>
    <row r="197" ht="14.25" customHeight="1">
      <c r="L197" s="55"/>
    </row>
    <row r="198" ht="14.25" customHeight="1">
      <c r="L198" s="55"/>
    </row>
    <row r="199" ht="14.25" customHeight="1">
      <c r="L199" s="55"/>
    </row>
    <row r="200" ht="14.25" customHeight="1">
      <c r="L200" s="55"/>
    </row>
    <row r="201" ht="14.25" customHeight="1">
      <c r="L201" s="55"/>
    </row>
    <row r="202" ht="14.25" customHeight="1">
      <c r="L202" s="55"/>
    </row>
    <row r="203" ht="14.25" customHeight="1">
      <c r="L203" s="55"/>
    </row>
    <row r="204" ht="14.25" customHeight="1">
      <c r="L204" s="55"/>
    </row>
    <row r="205" ht="14.25" customHeight="1">
      <c r="L205" s="55"/>
    </row>
    <row r="206" ht="14.25" customHeight="1">
      <c r="L206" s="55"/>
    </row>
    <row r="207" ht="14.25" customHeight="1">
      <c r="L207" s="55"/>
    </row>
    <row r="208" ht="14.25" customHeight="1">
      <c r="L208" s="55"/>
    </row>
    <row r="209" ht="14.25" customHeight="1">
      <c r="L209" s="55"/>
    </row>
    <row r="210" ht="14.25" customHeight="1">
      <c r="L210" s="55"/>
    </row>
    <row r="211" ht="14.25" customHeight="1">
      <c r="L211" s="55"/>
    </row>
    <row r="212" ht="14.25" customHeight="1">
      <c r="L212" s="55"/>
    </row>
    <row r="213" ht="14.25" customHeight="1">
      <c r="L213" s="55"/>
    </row>
    <row r="214" ht="14.25" customHeight="1">
      <c r="L214" s="55"/>
    </row>
    <row r="215" ht="14.25" customHeight="1">
      <c r="L215" s="55"/>
    </row>
    <row r="216" ht="14.25" customHeight="1">
      <c r="L216" s="55"/>
    </row>
    <row r="217" ht="14.25" customHeight="1">
      <c r="L217" s="55"/>
    </row>
    <row r="218" ht="14.25" customHeight="1">
      <c r="L218" s="55"/>
    </row>
    <row r="219" ht="14.25" customHeight="1">
      <c r="L219" s="55"/>
    </row>
    <row r="220" ht="14.25" customHeight="1">
      <c r="L220" s="55"/>
    </row>
    <row r="221" ht="14.25" customHeight="1">
      <c r="L221" s="55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